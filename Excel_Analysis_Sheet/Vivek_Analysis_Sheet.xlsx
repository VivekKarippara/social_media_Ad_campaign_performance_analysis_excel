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dell\Desktop\HAckathons\Final Submit\"/>
    </mc:Choice>
  </mc:AlternateContent>
  <xr:revisionPtr revIDLastSave="0" documentId="13_ncr:1_{8A77D5BA-5ED6-4A5D-811D-08FBEF859380}" xr6:coauthVersionLast="47" xr6:coauthVersionMax="47" xr10:uidLastSave="{00000000-0000-0000-0000-000000000000}"/>
  <bookViews>
    <workbookView xWindow="-120" yWindow="-120" windowWidth="20730" windowHeight="11160" xr2:uid="{E93B39CE-91B2-403D-BF21-2A8EE704AE23}"/>
  </bookViews>
  <sheets>
    <sheet name="Dashboard" sheetId="12" r:id="rId1"/>
    <sheet name="KAG_conversion_data_raw" sheetId="1" r:id="rId2"/>
    <sheet name="Converted Raw Data" sheetId="2" r:id="rId3"/>
    <sheet name="Steps" sheetId="3" r:id="rId4"/>
    <sheet name="Pivot_for_General_Analysis" sheetId="6" r:id="rId5"/>
    <sheet name="Pivot_for_Dashborad" sheetId="13" r:id="rId6"/>
    <sheet name="Insights_for_PDF_Report" sheetId="10" r:id="rId7"/>
    <sheet name="Calculations" sheetId="5" r:id="rId8"/>
  </sheets>
  <definedNames>
    <definedName name="_xlnm._FilterDatabase" localSheetId="2" hidden="1">'Converted Raw Data'!$A$1:$P$1144</definedName>
    <definedName name="_xlchart.v2.0" hidden="1">Pivot_for_Dashborad!$X$17:$X$20</definedName>
    <definedName name="_xlchart.v2.1" hidden="1">Pivot_for_Dashborad!$Y$16</definedName>
    <definedName name="_xlchart.v2.2" hidden="1">Pivot_for_Dashborad!$Y$17:$Y$20</definedName>
    <definedName name="_xlnm.Print_Area" localSheetId="0">Dashboard!$A$1:$R$36</definedName>
    <definedName name="Slicer_age">#N/A</definedName>
    <definedName name="Slicer_gender">#N/A</definedName>
    <definedName name="Slicer_xyz_campaign_id">#N/A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1" i="13" l="1"/>
  <c r="AP10" i="13"/>
  <c r="AP12" i="13"/>
  <c r="AP13" i="13"/>
  <c r="AP14" i="13"/>
  <c r="AP15" i="13"/>
  <c r="AP16" i="13"/>
  <c r="AP17" i="13"/>
  <c r="AP18" i="13"/>
  <c r="AP19" i="13"/>
  <c r="AP20" i="13"/>
  <c r="AP21" i="13"/>
  <c r="AP22" i="13"/>
  <c r="AP23" i="13"/>
  <c r="AP24" i="13"/>
  <c r="AP25" i="13"/>
  <c r="AP26" i="13"/>
  <c r="AP27" i="13"/>
  <c r="AP28" i="13"/>
  <c r="AP29" i="13"/>
  <c r="AP30" i="13"/>
  <c r="AP31" i="13"/>
  <c r="AP32" i="13"/>
  <c r="AP33" i="13"/>
  <c r="AP34" i="13"/>
  <c r="AP35" i="13"/>
  <c r="AP36" i="13"/>
  <c r="AP37" i="13"/>
  <c r="AP38" i="13"/>
  <c r="AP39" i="13"/>
  <c r="AP40" i="13"/>
  <c r="AP41" i="13"/>
  <c r="AP42" i="13"/>
  <c r="AP43" i="13"/>
  <c r="AP44" i="13"/>
  <c r="AP45" i="13"/>
  <c r="AP46" i="13"/>
  <c r="AP47" i="13"/>
  <c r="AP48" i="13"/>
  <c r="AP49" i="13"/>
  <c r="AP50" i="13"/>
  <c r="AP51" i="13"/>
  <c r="AP52" i="13"/>
  <c r="AP53" i="13"/>
  <c r="AP54" i="13"/>
  <c r="AP55" i="13"/>
  <c r="AP56" i="13"/>
  <c r="AP57" i="13"/>
  <c r="AP58" i="13"/>
  <c r="AP59" i="13"/>
  <c r="AP60" i="13"/>
  <c r="AP61" i="13"/>
  <c r="AP62" i="13"/>
  <c r="AP63" i="13"/>
  <c r="AP64" i="13"/>
  <c r="AP65" i="13"/>
  <c r="AP66" i="13"/>
  <c r="AP67" i="13"/>
  <c r="AP68" i="13"/>
  <c r="AP69" i="13"/>
  <c r="AP70" i="13"/>
  <c r="AP71" i="13"/>
  <c r="AP72" i="13"/>
  <c r="AP73" i="13"/>
  <c r="AP74" i="13"/>
  <c r="AP75" i="13"/>
  <c r="AP76" i="13"/>
  <c r="AP77" i="13"/>
  <c r="AP78" i="13"/>
  <c r="AP79" i="13"/>
  <c r="AP80" i="13"/>
  <c r="AP81" i="13"/>
  <c r="AP82" i="13"/>
  <c r="AP83" i="13"/>
  <c r="AP84" i="13"/>
  <c r="AP85" i="13"/>
  <c r="AP86" i="13"/>
  <c r="AP87" i="13"/>
  <c r="AP88" i="13"/>
  <c r="AP89" i="13"/>
  <c r="AP90" i="13"/>
  <c r="AP91" i="13"/>
  <c r="AP92" i="13"/>
  <c r="AP93" i="13"/>
  <c r="AP94" i="13"/>
  <c r="AP95" i="13"/>
  <c r="AP96" i="13"/>
  <c r="AP97" i="13"/>
  <c r="AP98" i="13"/>
  <c r="AP99" i="13"/>
  <c r="AP100" i="13"/>
  <c r="AP101" i="13"/>
  <c r="AP102" i="13"/>
  <c r="AP103" i="13"/>
  <c r="AP104" i="13"/>
  <c r="AP105" i="13"/>
  <c r="AP106" i="13"/>
  <c r="AP107" i="13"/>
  <c r="AP108" i="13"/>
  <c r="AP109" i="13"/>
  <c r="AP110" i="13"/>
  <c r="AP111" i="13"/>
  <c r="AP112" i="13"/>
  <c r="AP113" i="13"/>
  <c r="AP114" i="13"/>
  <c r="AP115" i="13"/>
  <c r="AP116" i="13"/>
  <c r="AP117" i="13"/>
  <c r="AP118" i="13"/>
  <c r="AP119" i="13"/>
  <c r="AP120" i="13"/>
  <c r="AP121" i="13"/>
  <c r="AP122" i="13"/>
  <c r="AP123" i="13"/>
  <c r="AP124" i="13"/>
  <c r="AP125" i="13"/>
  <c r="AP126" i="13"/>
  <c r="AP127" i="13"/>
  <c r="AP128" i="13"/>
  <c r="AP129" i="13"/>
  <c r="AP130" i="13"/>
  <c r="AP131" i="13"/>
  <c r="AP132" i="13"/>
  <c r="AP133" i="13"/>
  <c r="AP134" i="13"/>
  <c r="AP135" i="13"/>
  <c r="AP136" i="13"/>
  <c r="AP137" i="13"/>
  <c r="AP138" i="13"/>
  <c r="AP139" i="13"/>
  <c r="AP140" i="13"/>
  <c r="AP141" i="13"/>
  <c r="AP142" i="13"/>
  <c r="AP143" i="13"/>
  <c r="AP144" i="13"/>
  <c r="AP145" i="13"/>
  <c r="AP146" i="13"/>
  <c r="AP147" i="13"/>
  <c r="AP148" i="13"/>
  <c r="AP149" i="13"/>
  <c r="AP150" i="13"/>
  <c r="AP151" i="13"/>
  <c r="AP152" i="13"/>
  <c r="AP153" i="13"/>
  <c r="AP154" i="13"/>
  <c r="AP155" i="13"/>
  <c r="AP156" i="13"/>
  <c r="AP157" i="13"/>
  <c r="AP158" i="13"/>
  <c r="AP159" i="13"/>
  <c r="AP160" i="13"/>
  <c r="AP161" i="13"/>
  <c r="AP162" i="13"/>
  <c r="AP163" i="13"/>
  <c r="AP164" i="13"/>
  <c r="AP165" i="13"/>
  <c r="AP166" i="13"/>
  <c r="AP167" i="13"/>
  <c r="AP168" i="13"/>
  <c r="AP169" i="13"/>
  <c r="AP170" i="13"/>
  <c r="AP171" i="13"/>
  <c r="AP172" i="13"/>
  <c r="AP173" i="13"/>
  <c r="AP174" i="13"/>
  <c r="AP175" i="13"/>
  <c r="AP176" i="13"/>
  <c r="AP177" i="13"/>
  <c r="AP178" i="13"/>
  <c r="AP179" i="13"/>
  <c r="AP180" i="13"/>
  <c r="AP181" i="13"/>
  <c r="AP182" i="13"/>
  <c r="AP183" i="13"/>
  <c r="AP184" i="13"/>
  <c r="AP185" i="13"/>
  <c r="AP186" i="13"/>
  <c r="AP187" i="13"/>
  <c r="AP188" i="13"/>
  <c r="AP189" i="13"/>
  <c r="AP190" i="13"/>
  <c r="AP191" i="13"/>
  <c r="AP192" i="13"/>
  <c r="AP193" i="13"/>
  <c r="AP194" i="13"/>
  <c r="AP195" i="13"/>
  <c r="AP196" i="13"/>
  <c r="AP197" i="13"/>
  <c r="AP198" i="13"/>
  <c r="AP199" i="13"/>
  <c r="AP200" i="13"/>
  <c r="AP201" i="13"/>
  <c r="AP202" i="13"/>
  <c r="AP203" i="13"/>
  <c r="AP204" i="13"/>
  <c r="AP205" i="13"/>
  <c r="AP206" i="13"/>
  <c r="AP207" i="13"/>
  <c r="AP208" i="13"/>
  <c r="AP209" i="13"/>
  <c r="AP210" i="13"/>
  <c r="AP211" i="13"/>
  <c r="AP212" i="13"/>
  <c r="AP213" i="13"/>
  <c r="AP214" i="13"/>
  <c r="AP215" i="13"/>
  <c r="AP216" i="13"/>
  <c r="AP217" i="13"/>
  <c r="AP218" i="13"/>
  <c r="AP219" i="13"/>
  <c r="AP220" i="13"/>
  <c r="AP221" i="13"/>
  <c r="AP222" i="13"/>
  <c r="AP223" i="13"/>
  <c r="AP224" i="13"/>
  <c r="AP225" i="13"/>
  <c r="AP226" i="13"/>
  <c r="AP227" i="13"/>
  <c r="AP228" i="13"/>
  <c r="AP229" i="13"/>
  <c r="AP230" i="13"/>
  <c r="AP231" i="13"/>
  <c r="AP232" i="13"/>
  <c r="AP233" i="13"/>
  <c r="AP234" i="13"/>
  <c r="AP235" i="13"/>
  <c r="AP236" i="13"/>
  <c r="AP237" i="13"/>
  <c r="AP238" i="13"/>
  <c r="AP239" i="13"/>
  <c r="AP240" i="13"/>
  <c r="AP241" i="13"/>
  <c r="AP242" i="13"/>
  <c r="AP243" i="13"/>
  <c r="AP244" i="13"/>
  <c r="AP245" i="13"/>
  <c r="AP246" i="13"/>
  <c r="AP247" i="13"/>
  <c r="AP248" i="13"/>
  <c r="AP249" i="13"/>
  <c r="AP250" i="13"/>
  <c r="AP251" i="13"/>
  <c r="AP252" i="13"/>
  <c r="AP253" i="13"/>
  <c r="AP254" i="13"/>
  <c r="AP255" i="13"/>
  <c r="AP256" i="13"/>
  <c r="AP257" i="13"/>
  <c r="AP258" i="13"/>
  <c r="AP259" i="13"/>
  <c r="AP260" i="13"/>
  <c r="AP261" i="13"/>
  <c r="AP262" i="13"/>
  <c r="AP263" i="13"/>
  <c r="AP264" i="13"/>
  <c r="AP265" i="13"/>
  <c r="AP266" i="13"/>
  <c r="AP267" i="13"/>
  <c r="AP268" i="13"/>
  <c r="AP269" i="13"/>
  <c r="AP270" i="13"/>
  <c r="AP271" i="13"/>
  <c r="AP272" i="13"/>
  <c r="AP273" i="13"/>
  <c r="AP274" i="13"/>
  <c r="AP275" i="13"/>
  <c r="AP276" i="13"/>
  <c r="AP277" i="13"/>
  <c r="AP278" i="13"/>
  <c r="AP279" i="13"/>
  <c r="AP280" i="13"/>
  <c r="AP281" i="13"/>
  <c r="AP282" i="13"/>
  <c r="AP283" i="13"/>
  <c r="AP284" i="13"/>
  <c r="AP285" i="13"/>
  <c r="AP286" i="13"/>
  <c r="AP287" i="13"/>
  <c r="AP288" i="13"/>
  <c r="AP289" i="13"/>
  <c r="AP290" i="13"/>
  <c r="AP291" i="13"/>
  <c r="AP292" i="13"/>
  <c r="AP293" i="13"/>
  <c r="AP294" i="13"/>
  <c r="AP295" i="13"/>
  <c r="AP296" i="13"/>
  <c r="AP297" i="13"/>
  <c r="AP298" i="13"/>
  <c r="AP299" i="13"/>
  <c r="AP300" i="13"/>
  <c r="AP301" i="13"/>
  <c r="AP302" i="13"/>
  <c r="AP303" i="13"/>
  <c r="AP304" i="13"/>
  <c r="AP305" i="13"/>
  <c r="AP306" i="13"/>
  <c r="AP307" i="13"/>
  <c r="AP308" i="13"/>
  <c r="AP309" i="13"/>
  <c r="AP310" i="13"/>
  <c r="AP311" i="13"/>
  <c r="AP312" i="13"/>
  <c r="AP313" i="13"/>
  <c r="AP314" i="13"/>
  <c r="AP315" i="13"/>
  <c r="AP316" i="13"/>
  <c r="AP317" i="13"/>
  <c r="AP318" i="13"/>
  <c r="AP319" i="13"/>
  <c r="AP320" i="13"/>
  <c r="AP321" i="13"/>
  <c r="AP322" i="13"/>
  <c r="AP323" i="13"/>
  <c r="AP324" i="13"/>
  <c r="AP325" i="13"/>
  <c r="AP326" i="13"/>
  <c r="AP327" i="13"/>
  <c r="AP328" i="13"/>
  <c r="AP329" i="13"/>
  <c r="AP330" i="13"/>
  <c r="AP331" i="13"/>
  <c r="AP332" i="13"/>
  <c r="AP333" i="13"/>
  <c r="AP334" i="13"/>
  <c r="AP335" i="13"/>
  <c r="AP336" i="13"/>
  <c r="AP337" i="13"/>
  <c r="AP338" i="13"/>
  <c r="AP339" i="13"/>
  <c r="AP340" i="13"/>
  <c r="AP341" i="13"/>
  <c r="AP342" i="13"/>
  <c r="AP343" i="13"/>
  <c r="AP344" i="13"/>
  <c r="AP345" i="13"/>
  <c r="AP346" i="13"/>
  <c r="AP347" i="13"/>
  <c r="AP348" i="13"/>
  <c r="AP349" i="13"/>
  <c r="AP350" i="13"/>
  <c r="AP351" i="13"/>
  <c r="AP352" i="13"/>
  <c r="AP353" i="13"/>
  <c r="AP354" i="13"/>
  <c r="AP355" i="13"/>
  <c r="AP356" i="13"/>
  <c r="AP357" i="13"/>
  <c r="AP358" i="13"/>
  <c r="AP359" i="13"/>
  <c r="AP360" i="13"/>
  <c r="AP361" i="13"/>
  <c r="AP362" i="13"/>
  <c r="AP363" i="13"/>
  <c r="AP364" i="13"/>
  <c r="AP365" i="13"/>
  <c r="AP366" i="13"/>
  <c r="AP367" i="13"/>
  <c r="AP368" i="13"/>
  <c r="AP369" i="13"/>
  <c r="AP370" i="13"/>
  <c r="AP371" i="13"/>
  <c r="AP372" i="13"/>
  <c r="AP373" i="13"/>
  <c r="AP374" i="13"/>
  <c r="AP375" i="13"/>
  <c r="AP376" i="13"/>
  <c r="AP377" i="13"/>
  <c r="AP378" i="13"/>
  <c r="AP379" i="13"/>
  <c r="AP380" i="13"/>
  <c r="AP381" i="13"/>
  <c r="AP382" i="13"/>
  <c r="AP383" i="13"/>
  <c r="AP384" i="13"/>
  <c r="AP385" i="13"/>
  <c r="AP386" i="13"/>
  <c r="AP387" i="13"/>
  <c r="AP388" i="13"/>
  <c r="AP389" i="13"/>
  <c r="AP390" i="13"/>
  <c r="AP391" i="13"/>
  <c r="AP392" i="13"/>
  <c r="AP393" i="13"/>
  <c r="AP394" i="13"/>
  <c r="AP395" i="13"/>
  <c r="AP396" i="13"/>
  <c r="AP397" i="13"/>
  <c r="AP398" i="13"/>
  <c r="AP399" i="13"/>
  <c r="AP400" i="13"/>
  <c r="AP401" i="13"/>
  <c r="AP402" i="13"/>
  <c r="AP403" i="13"/>
  <c r="AP404" i="13"/>
  <c r="AP405" i="13"/>
  <c r="AP406" i="13"/>
  <c r="AP407" i="13"/>
  <c r="AP408" i="13"/>
  <c r="AP409" i="13"/>
  <c r="AP410" i="13"/>
  <c r="AP411" i="13"/>
  <c r="AP412" i="13"/>
  <c r="AP413" i="13"/>
  <c r="AP414" i="13"/>
  <c r="AP415" i="13"/>
  <c r="AP416" i="13"/>
  <c r="AP417" i="13"/>
  <c r="AP418" i="13"/>
  <c r="AP419" i="13"/>
  <c r="AP420" i="13"/>
  <c r="AP421" i="13"/>
  <c r="AP422" i="13"/>
  <c r="AP423" i="13"/>
  <c r="AP424" i="13"/>
  <c r="AP425" i="13"/>
  <c r="AP426" i="13"/>
  <c r="AP427" i="13"/>
  <c r="AP428" i="13"/>
  <c r="AP429" i="13"/>
  <c r="AP430" i="13"/>
  <c r="AP431" i="13"/>
  <c r="AP432" i="13"/>
  <c r="AP433" i="13"/>
  <c r="AP434" i="13"/>
  <c r="AP435" i="13"/>
  <c r="AP436" i="13"/>
  <c r="AP437" i="13"/>
  <c r="AP438" i="13"/>
  <c r="AP439" i="13"/>
  <c r="AP440" i="13"/>
  <c r="AP441" i="13"/>
  <c r="AP442" i="13"/>
  <c r="AP443" i="13"/>
  <c r="AP444" i="13"/>
  <c r="AP445" i="13"/>
  <c r="AP446" i="13"/>
  <c r="AP447" i="13"/>
  <c r="AP448" i="13"/>
  <c r="AP449" i="13"/>
  <c r="AP450" i="13"/>
  <c r="AP451" i="13"/>
  <c r="AP452" i="13"/>
  <c r="AP453" i="13"/>
  <c r="AP454" i="13"/>
  <c r="AP455" i="13"/>
  <c r="AP456" i="13"/>
  <c r="AP457" i="13"/>
  <c r="AP458" i="13"/>
  <c r="AP459" i="13"/>
  <c r="AP460" i="13"/>
  <c r="AP461" i="13"/>
  <c r="AP462" i="13"/>
  <c r="AP463" i="13"/>
  <c r="AP464" i="13"/>
  <c r="AP465" i="13"/>
  <c r="AP466" i="13"/>
  <c r="AP467" i="13"/>
  <c r="AP468" i="13"/>
  <c r="AP469" i="13"/>
  <c r="AP470" i="13"/>
  <c r="AP471" i="13"/>
  <c r="AP472" i="13"/>
  <c r="AP473" i="13"/>
  <c r="AP474" i="13"/>
  <c r="AP475" i="13"/>
  <c r="AP476" i="13"/>
  <c r="AP477" i="13"/>
  <c r="AP478" i="13"/>
  <c r="AP479" i="13"/>
  <c r="AP480" i="13"/>
  <c r="AP481" i="13"/>
  <c r="AP482" i="13"/>
  <c r="AP483" i="13"/>
  <c r="AP484" i="13"/>
  <c r="AP485" i="13"/>
  <c r="AP486" i="13"/>
  <c r="AP487" i="13"/>
  <c r="AP488" i="13"/>
  <c r="AP489" i="13"/>
  <c r="AP490" i="13"/>
  <c r="AP491" i="13"/>
  <c r="AP492" i="13"/>
  <c r="AP493" i="13"/>
  <c r="AP494" i="13"/>
  <c r="AP495" i="13"/>
  <c r="AP496" i="13"/>
  <c r="AP497" i="13"/>
  <c r="AP498" i="13"/>
  <c r="AP499" i="13"/>
  <c r="AP500" i="13"/>
  <c r="AP501" i="13"/>
  <c r="AP502" i="13"/>
  <c r="AP503" i="13"/>
  <c r="AP504" i="13"/>
  <c r="AP505" i="13"/>
  <c r="AP506" i="13"/>
  <c r="AP507" i="13"/>
  <c r="AP508" i="13"/>
  <c r="AP509" i="13"/>
  <c r="AP510" i="13"/>
  <c r="AP511" i="13"/>
  <c r="AP512" i="13"/>
  <c r="AP513" i="13"/>
  <c r="AP514" i="13"/>
  <c r="AP515" i="13"/>
  <c r="AP516" i="13"/>
  <c r="AP517" i="13"/>
  <c r="AP518" i="13"/>
  <c r="AP519" i="13"/>
  <c r="AP520" i="13"/>
  <c r="AP521" i="13"/>
  <c r="AP522" i="13"/>
  <c r="AP523" i="13"/>
  <c r="AP524" i="13"/>
  <c r="AP525" i="13"/>
  <c r="AP526" i="13"/>
  <c r="AP527" i="13"/>
  <c r="AP528" i="13"/>
  <c r="AP529" i="13"/>
  <c r="AP530" i="13"/>
  <c r="AP531" i="13"/>
  <c r="AP532" i="13"/>
  <c r="AP533" i="13"/>
  <c r="AP534" i="13"/>
  <c r="AP535" i="13"/>
  <c r="AP536" i="13"/>
  <c r="AP537" i="13"/>
  <c r="AP538" i="13"/>
  <c r="AP539" i="13"/>
  <c r="AP540" i="13"/>
  <c r="AP541" i="13"/>
  <c r="AP542" i="13"/>
  <c r="AP543" i="13"/>
  <c r="AP544" i="13"/>
  <c r="AP545" i="13"/>
  <c r="AP546" i="13"/>
  <c r="AP547" i="13"/>
  <c r="AP548" i="13"/>
  <c r="AP549" i="13"/>
  <c r="AP550" i="13"/>
  <c r="AP551" i="13"/>
  <c r="AP552" i="13"/>
  <c r="AP553" i="13"/>
  <c r="AP554" i="13"/>
  <c r="AP555" i="13"/>
  <c r="AP556" i="13"/>
  <c r="AP557" i="13"/>
  <c r="AP558" i="13"/>
  <c r="AP559" i="13"/>
  <c r="AP560" i="13"/>
  <c r="AP561" i="13"/>
  <c r="AP562" i="13"/>
  <c r="AP563" i="13"/>
  <c r="AP564" i="13"/>
  <c r="AP565" i="13"/>
  <c r="AP566" i="13"/>
  <c r="AP567" i="13"/>
  <c r="AP568" i="13"/>
  <c r="AP569" i="13"/>
  <c r="AP570" i="13"/>
  <c r="AP571" i="13"/>
  <c r="AP572" i="13"/>
  <c r="AP573" i="13"/>
  <c r="AP574" i="13"/>
  <c r="AP575" i="13"/>
  <c r="AP576" i="13"/>
  <c r="AP577" i="13"/>
  <c r="AP578" i="13"/>
  <c r="AP579" i="13"/>
  <c r="AP580" i="13"/>
  <c r="AP581" i="13"/>
  <c r="AP582" i="13"/>
  <c r="AP583" i="13"/>
  <c r="AP584" i="13"/>
  <c r="AP585" i="13"/>
  <c r="AP586" i="13"/>
  <c r="AP587" i="13"/>
  <c r="AP588" i="13"/>
  <c r="AP589" i="13"/>
  <c r="AP590" i="13"/>
  <c r="AP591" i="13"/>
  <c r="AP592" i="13"/>
  <c r="AP593" i="13"/>
  <c r="AP594" i="13"/>
  <c r="AP595" i="13"/>
  <c r="AP596" i="13"/>
  <c r="AP597" i="13"/>
  <c r="AP598" i="13"/>
  <c r="AP599" i="13"/>
  <c r="AP600" i="13"/>
  <c r="AP601" i="13"/>
  <c r="AP602" i="13"/>
  <c r="AP603" i="13"/>
  <c r="AP604" i="13"/>
  <c r="AP605" i="13"/>
  <c r="AP606" i="13"/>
  <c r="AP607" i="13"/>
  <c r="AP608" i="13"/>
  <c r="AP609" i="13"/>
  <c r="AP610" i="13"/>
  <c r="AP611" i="13"/>
  <c r="AP612" i="13"/>
  <c r="AP613" i="13"/>
  <c r="AP614" i="13"/>
  <c r="AP615" i="13"/>
  <c r="AP616" i="13"/>
  <c r="AP617" i="13"/>
  <c r="AP618" i="13"/>
  <c r="AP619" i="13"/>
  <c r="AP620" i="13"/>
  <c r="AP621" i="13"/>
  <c r="AP622" i="13"/>
  <c r="AP623" i="13"/>
  <c r="AP624" i="13"/>
  <c r="AP625" i="13"/>
  <c r="AP626" i="13"/>
  <c r="AP627" i="13"/>
  <c r="AP628" i="13"/>
  <c r="AP629" i="13"/>
  <c r="AP630" i="13"/>
  <c r="AP631" i="13"/>
  <c r="AP632" i="13"/>
  <c r="AP633" i="13"/>
  <c r="AP634" i="13"/>
  <c r="AP635" i="13"/>
  <c r="AP636" i="13"/>
  <c r="AP637" i="13"/>
  <c r="AP638" i="13"/>
  <c r="AP639" i="13"/>
  <c r="AP640" i="13"/>
  <c r="AP641" i="13"/>
  <c r="AP642" i="13"/>
  <c r="AP643" i="13"/>
  <c r="AP644" i="13"/>
  <c r="AP645" i="13"/>
  <c r="AP646" i="13"/>
  <c r="AP647" i="13"/>
  <c r="AP648" i="13"/>
  <c r="AP649" i="13"/>
  <c r="AP650" i="13"/>
  <c r="AP651" i="13"/>
  <c r="AP652" i="13"/>
  <c r="AP653" i="13"/>
  <c r="AP654" i="13"/>
  <c r="AP655" i="13"/>
  <c r="AP656" i="13"/>
  <c r="AP657" i="13"/>
  <c r="AP658" i="13"/>
  <c r="AP659" i="13"/>
  <c r="AP660" i="13"/>
  <c r="AP661" i="13"/>
  <c r="AP662" i="13"/>
  <c r="AP663" i="13"/>
  <c r="AP664" i="13"/>
  <c r="AP665" i="13"/>
  <c r="AP666" i="13"/>
  <c r="AP667" i="13"/>
  <c r="AP668" i="13"/>
  <c r="AP669" i="13"/>
  <c r="AP670" i="13"/>
  <c r="AP671" i="13"/>
  <c r="AP672" i="13"/>
  <c r="AP673" i="13"/>
  <c r="AP674" i="13"/>
  <c r="AP675" i="13"/>
  <c r="AP676" i="13"/>
  <c r="AP677" i="13"/>
  <c r="AP678" i="13"/>
  <c r="AP679" i="13"/>
  <c r="AP680" i="13"/>
  <c r="AP681" i="13"/>
  <c r="AP682" i="13"/>
  <c r="AP683" i="13"/>
  <c r="AP684" i="13"/>
  <c r="AP685" i="13"/>
  <c r="AP686" i="13"/>
  <c r="AP687" i="13"/>
  <c r="AP688" i="13"/>
  <c r="AP689" i="13"/>
  <c r="AP690" i="13"/>
  <c r="AP691" i="13"/>
  <c r="AP692" i="13"/>
  <c r="AP693" i="13"/>
  <c r="AP694" i="13"/>
  <c r="AP695" i="13"/>
  <c r="AP696" i="13"/>
  <c r="AP697" i="13"/>
  <c r="AP698" i="13"/>
  <c r="AP699" i="13"/>
  <c r="AP700" i="13"/>
  <c r="AP701" i="13"/>
  <c r="AP702" i="13"/>
  <c r="AP703" i="13"/>
  <c r="AP704" i="13"/>
  <c r="AP705" i="13"/>
  <c r="AP706" i="13"/>
  <c r="AP707" i="13"/>
  <c r="AP708" i="13"/>
  <c r="AP709" i="13"/>
  <c r="AP710" i="13"/>
  <c r="AP711" i="13"/>
  <c r="AP712" i="13"/>
  <c r="AP713" i="13"/>
  <c r="AP714" i="13"/>
  <c r="AP715" i="13"/>
  <c r="AP716" i="13"/>
  <c r="AP717" i="13"/>
  <c r="AP718" i="13"/>
  <c r="AP719" i="13"/>
  <c r="AP720" i="13"/>
  <c r="AP721" i="13"/>
  <c r="AP722" i="13"/>
  <c r="AP723" i="13"/>
  <c r="AP724" i="13"/>
  <c r="AP725" i="13"/>
  <c r="AP726" i="13"/>
  <c r="AP727" i="13"/>
  <c r="AP728" i="13"/>
  <c r="AP729" i="13"/>
  <c r="AP730" i="13"/>
  <c r="AP731" i="13"/>
  <c r="AP732" i="13"/>
  <c r="AP733" i="13"/>
  <c r="AP734" i="13"/>
  <c r="AP735" i="13"/>
  <c r="AP736" i="13"/>
  <c r="AP737" i="13"/>
  <c r="AP738" i="13"/>
  <c r="AP739" i="13"/>
  <c r="AP740" i="13"/>
  <c r="AP741" i="13"/>
  <c r="AP742" i="13"/>
  <c r="AP743" i="13"/>
  <c r="AP744" i="13"/>
  <c r="AP745" i="13"/>
  <c r="AP746" i="13"/>
  <c r="AP747" i="13"/>
  <c r="AP748" i="13"/>
  <c r="AP749" i="13"/>
  <c r="AP750" i="13"/>
  <c r="AP751" i="13"/>
  <c r="AP752" i="13"/>
  <c r="AP753" i="13"/>
  <c r="AP754" i="13"/>
  <c r="AP755" i="13"/>
  <c r="AP756" i="13"/>
  <c r="AP757" i="13"/>
  <c r="AP758" i="13"/>
  <c r="AP759" i="13"/>
  <c r="AP760" i="13"/>
  <c r="AP761" i="13"/>
  <c r="AP762" i="13"/>
  <c r="AP763" i="13"/>
  <c r="AP764" i="13"/>
  <c r="AP765" i="13"/>
  <c r="AP766" i="13"/>
  <c r="AP767" i="13"/>
  <c r="AP768" i="13"/>
  <c r="AP769" i="13"/>
  <c r="AP770" i="13"/>
  <c r="AP771" i="13"/>
  <c r="AP772" i="13"/>
  <c r="AP773" i="13"/>
  <c r="AP774" i="13"/>
  <c r="AP775" i="13"/>
  <c r="AP776" i="13"/>
  <c r="AP777" i="13"/>
  <c r="AP778" i="13"/>
  <c r="AP779" i="13"/>
  <c r="AP780" i="13"/>
  <c r="AP781" i="13"/>
  <c r="AP782" i="13"/>
  <c r="AP783" i="13"/>
  <c r="AP784" i="13"/>
  <c r="AP785" i="13"/>
  <c r="AP786" i="13"/>
  <c r="AP787" i="13"/>
  <c r="AP788" i="13"/>
  <c r="AP789" i="13"/>
  <c r="AP790" i="13"/>
  <c r="AP791" i="13"/>
  <c r="AP792" i="13"/>
  <c r="AP793" i="13"/>
  <c r="AP794" i="13"/>
  <c r="AP795" i="13"/>
  <c r="AP796" i="13"/>
  <c r="AP797" i="13"/>
  <c r="AP798" i="13"/>
  <c r="AP799" i="13"/>
  <c r="AP800" i="13"/>
  <c r="AP801" i="13"/>
  <c r="AP802" i="13"/>
  <c r="AP803" i="13"/>
  <c r="AP804" i="13"/>
  <c r="AP805" i="13"/>
  <c r="AP806" i="13"/>
  <c r="AP807" i="13"/>
  <c r="AP808" i="13"/>
  <c r="AP809" i="13"/>
  <c r="AP810" i="13"/>
  <c r="AP811" i="13"/>
  <c r="AP812" i="13"/>
  <c r="AP813" i="13"/>
  <c r="AP814" i="13"/>
  <c r="AP815" i="13"/>
  <c r="AP816" i="13"/>
  <c r="AP817" i="13"/>
  <c r="AP818" i="13"/>
  <c r="AP819" i="13"/>
  <c r="AP820" i="13"/>
  <c r="AP821" i="13"/>
  <c r="AP822" i="13"/>
  <c r="AP823" i="13"/>
  <c r="AP824" i="13"/>
  <c r="AP825" i="13"/>
  <c r="AP826" i="13"/>
  <c r="AP827" i="13"/>
  <c r="AP828" i="13"/>
  <c r="AP829" i="13"/>
  <c r="AP830" i="13"/>
  <c r="AP831" i="13"/>
  <c r="AP832" i="13"/>
  <c r="AP833" i="13"/>
  <c r="AP834" i="13"/>
  <c r="AP835" i="13"/>
  <c r="AP836" i="13"/>
  <c r="AP837" i="13"/>
  <c r="AP838" i="13"/>
  <c r="AP839" i="13"/>
  <c r="AP840" i="13"/>
  <c r="AP841" i="13"/>
  <c r="AP842" i="13"/>
  <c r="AP843" i="13"/>
  <c r="AP844" i="13"/>
  <c r="AP845" i="13"/>
  <c r="AP846" i="13"/>
  <c r="AP847" i="13"/>
  <c r="AP848" i="13"/>
  <c r="AP849" i="13"/>
  <c r="AP850" i="13"/>
  <c r="AP851" i="13"/>
  <c r="AP852" i="13"/>
  <c r="AP853" i="13"/>
  <c r="AP854" i="13"/>
  <c r="AP855" i="13"/>
  <c r="AP856" i="13"/>
  <c r="AP857" i="13"/>
  <c r="AP858" i="13"/>
  <c r="AP859" i="13"/>
  <c r="AP860" i="13"/>
  <c r="AP861" i="13"/>
  <c r="AP862" i="13"/>
  <c r="AP863" i="13"/>
  <c r="AP864" i="13"/>
  <c r="AP865" i="13"/>
  <c r="AP866" i="13"/>
  <c r="AP867" i="13"/>
  <c r="AP868" i="13"/>
  <c r="AP869" i="13"/>
  <c r="AP870" i="13"/>
  <c r="AP871" i="13"/>
  <c r="AP872" i="13"/>
  <c r="AP873" i="13"/>
  <c r="AP874" i="13"/>
  <c r="AP875" i="13"/>
  <c r="AP876" i="13"/>
  <c r="AP877" i="13"/>
  <c r="AP878" i="13"/>
  <c r="AO10" i="13"/>
  <c r="AO11" i="13"/>
  <c r="AO12" i="13"/>
  <c r="AO13" i="13"/>
  <c r="AO14" i="13"/>
  <c r="AO15" i="13"/>
  <c r="AO16" i="13"/>
  <c r="AO17" i="13"/>
  <c r="AO18" i="13"/>
  <c r="AO19" i="13"/>
  <c r="AO20" i="13"/>
  <c r="AO21" i="13"/>
  <c r="AO22" i="13"/>
  <c r="AO23" i="13"/>
  <c r="AO24" i="13"/>
  <c r="AO25" i="13"/>
  <c r="AO26" i="13"/>
  <c r="AO27" i="13"/>
  <c r="AO28" i="13"/>
  <c r="AO29" i="13"/>
  <c r="AO30" i="13"/>
  <c r="AO31" i="13"/>
  <c r="AO32" i="13"/>
  <c r="AO33" i="13"/>
  <c r="AO34" i="13"/>
  <c r="AO35" i="13"/>
  <c r="AO36" i="13"/>
  <c r="AO37" i="13"/>
  <c r="AO38" i="13"/>
  <c r="AO39" i="13"/>
  <c r="AO40" i="13"/>
  <c r="AO41" i="13"/>
  <c r="AO42" i="13"/>
  <c r="AO43" i="13"/>
  <c r="AO44" i="13"/>
  <c r="AO45" i="13"/>
  <c r="AO46" i="13"/>
  <c r="AO47" i="13"/>
  <c r="AO48" i="13"/>
  <c r="AO49" i="13"/>
  <c r="AO50" i="13"/>
  <c r="AO51" i="13"/>
  <c r="AO52" i="13"/>
  <c r="AO53" i="13"/>
  <c r="AO54" i="13"/>
  <c r="AO55" i="13"/>
  <c r="AO56" i="13"/>
  <c r="AO57" i="13"/>
  <c r="AO58" i="13"/>
  <c r="AO59" i="13"/>
  <c r="AO60" i="13"/>
  <c r="AO61" i="13"/>
  <c r="AO62" i="13"/>
  <c r="AO63" i="13"/>
  <c r="AO64" i="13"/>
  <c r="AO65" i="13"/>
  <c r="AO66" i="13"/>
  <c r="AO67" i="13"/>
  <c r="AO68" i="13"/>
  <c r="AO69" i="13"/>
  <c r="AO70" i="13"/>
  <c r="AO71" i="13"/>
  <c r="AO72" i="13"/>
  <c r="AO73" i="13"/>
  <c r="AO74" i="13"/>
  <c r="AO75" i="13"/>
  <c r="AO76" i="13"/>
  <c r="AO77" i="13"/>
  <c r="AO78" i="13"/>
  <c r="AO79" i="13"/>
  <c r="AO80" i="13"/>
  <c r="AO81" i="13"/>
  <c r="AO82" i="13"/>
  <c r="AO83" i="13"/>
  <c r="AO84" i="13"/>
  <c r="AO85" i="13"/>
  <c r="AO86" i="13"/>
  <c r="AO87" i="13"/>
  <c r="AO88" i="13"/>
  <c r="AO89" i="13"/>
  <c r="AO90" i="13"/>
  <c r="AO91" i="13"/>
  <c r="AO92" i="13"/>
  <c r="AO93" i="13"/>
  <c r="AO94" i="13"/>
  <c r="AO95" i="13"/>
  <c r="AO96" i="13"/>
  <c r="AO97" i="13"/>
  <c r="AO98" i="13"/>
  <c r="AO99" i="13"/>
  <c r="AO100" i="13"/>
  <c r="AO101" i="13"/>
  <c r="AO102" i="13"/>
  <c r="AO103" i="13"/>
  <c r="AO104" i="13"/>
  <c r="AO105" i="13"/>
  <c r="AO106" i="13"/>
  <c r="AO107" i="13"/>
  <c r="AO108" i="13"/>
  <c r="AO109" i="13"/>
  <c r="AO110" i="13"/>
  <c r="AO111" i="13"/>
  <c r="AO112" i="13"/>
  <c r="AO113" i="13"/>
  <c r="AO114" i="13"/>
  <c r="AO115" i="13"/>
  <c r="AO116" i="13"/>
  <c r="AO117" i="13"/>
  <c r="AO118" i="13"/>
  <c r="AO119" i="13"/>
  <c r="AO120" i="13"/>
  <c r="AO121" i="13"/>
  <c r="AO122" i="13"/>
  <c r="AO123" i="13"/>
  <c r="AO124" i="13"/>
  <c r="AO125" i="13"/>
  <c r="AO126" i="13"/>
  <c r="AO127" i="13"/>
  <c r="AO128" i="13"/>
  <c r="AO129" i="13"/>
  <c r="AO130" i="13"/>
  <c r="AO131" i="13"/>
  <c r="AO132" i="13"/>
  <c r="AO133" i="13"/>
  <c r="AO134" i="13"/>
  <c r="AO135" i="13"/>
  <c r="AO136" i="13"/>
  <c r="AO137" i="13"/>
  <c r="AO138" i="13"/>
  <c r="AO139" i="13"/>
  <c r="AO140" i="13"/>
  <c r="AO141" i="13"/>
  <c r="AO142" i="13"/>
  <c r="AO143" i="13"/>
  <c r="AO144" i="13"/>
  <c r="AO145" i="13"/>
  <c r="AO146" i="13"/>
  <c r="AO147" i="13"/>
  <c r="AO148" i="13"/>
  <c r="AO149" i="13"/>
  <c r="AO150" i="13"/>
  <c r="AO151" i="13"/>
  <c r="AO152" i="13"/>
  <c r="AO153" i="13"/>
  <c r="AO154" i="13"/>
  <c r="AO155" i="13"/>
  <c r="AO156" i="13"/>
  <c r="AO157" i="13"/>
  <c r="AO158" i="13"/>
  <c r="AO159" i="13"/>
  <c r="AO160" i="13"/>
  <c r="AO161" i="13"/>
  <c r="AO162" i="13"/>
  <c r="AO163" i="13"/>
  <c r="AO164" i="13"/>
  <c r="AO165" i="13"/>
  <c r="AO166" i="13"/>
  <c r="AO167" i="13"/>
  <c r="AO168" i="13"/>
  <c r="AO169" i="13"/>
  <c r="AO170" i="13"/>
  <c r="AO171" i="13"/>
  <c r="AO172" i="13"/>
  <c r="AO173" i="13"/>
  <c r="AO174" i="13"/>
  <c r="AO175" i="13"/>
  <c r="AO176" i="13"/>
  <c r="AO177" i="13"/>
  <c r="AO178" i="13"/>
  <c r="AO179" i="13"/>
  <c r="AO180" i="13"/>
  <c r="AO181" i="13"/>
  <c r="AO182" i="13"/>
  <c r="AO183" i="13"/>
  <c r="AO184" i="13"/>
  <c r="AO185" i="13"/>
  <c r="AO186" i="13"/>
  <c r="AO187" i="13"/>
  <c r="AO188" i="13"/>
  <c r="AO189" i="13"/>
  <c r="AO190" i="13"/>
  <c r="AO191" i="13"/>
  <c r="AO192" i="13"/>
  <c r="AO193" i="13"/>
  <c r="AO194" i="13"/>
  <c r="AO195" i="13"/>
  <c r="AO196" i="13"/>
  <c r="AO197" i="13"/>
  <c r="AO198" i="13"/>
  <c r="AO199" i="13"/>
  <c r="AO200" i="13"/>
  <c r="AO201" i="13"/>
  <c r="AO202" i="13"/>
  <c r="AO203" i="13"/>
  <c r="AO204" i="13"/>
  <c r="AO205" i="13"/>
  <c r="AO206" i="13"/>
  <c r="AO207" i="13"/>
  <c r="AO208" i="13"/>
  <c r="AO209" i="13"/>
  <c r="AO210" i="13"/>
  <c r="AO211" i="13"/>
  <c r="AO212" i="13"/>
  <c r="AO213" i="13"/>
  <c r="AO214" i="13"/>
  <c r="AO215" i="13"/>
  <c r="AO216" i="13"/>
  <c r="AO217" i="13"/>
  <c r="AO218" i="13"/>
  <c r="AO219" i="13"/>
  <c r="AO220" i="13"/>
  <c r="AO221" i="13"/>
  <c r="AO222" i="13"/>
  <c r="AO223" i="13"/>
  <c r="AO224" i="13"/>
  <c r="AO225" i="13"/>
  <c r="AO226" i="13"/>
  <c r="AO227" i="13"/>
  <c r="AO228" i="13"/>
  <c r="AO229" i="13"/>
  <c r="AO230" i="13"/>
  <c r="AO231" i="13"/>
  <c r="AO232" i="13"/>
  <c r="AO233" i="13"/>
  <c r="AO234" i="13"/>
  <c r="AO235" i="13"/>
  <c r="AO236" i="13"/>
  <c r="AO237" i="13"/>
  <c r="AO238" i="13"/>
  <c r="AO239" i="13"/>
  <c r="AO240" i="13"/>
  <c r="AO241" i="13"/>
  <c r="AO242" i="13"/>
  <c r="AO243" i="13"/>
  <c r="AO244" i="13"/>
  <c r="AO245" i="13"/>
  <c r="AO246" i="13"/>
  <c r="AO247" i="13"/>
  <c r="AO248" i="13"/>
  <c r="AO249" i="13"/>
  <c r="AO250" i="13"/>
  <c r="AO251" i="13"/>
  <c r="AO252" i="13"/>
  <c r="AO253" i="13"/>
  <c r="AO254" i="13"/>
  <c r="AO255" i="13"/>
  <c r="AO256" i="13"/>
  <c r="AO257" i="13"/>
  <c r="AO258" i="13"/>
  <c r="AO259" i="13"/>
  <c r="AO260" i="13"/>
  <c r="AO261" i="13"/>
  <c r="AO262" i="13"/>
  <c r="AO263" i="13"/>
  <c r="AO264" i="13"/>
  <c r="AO265" i="13"/>
  <c r="AO266" i="13"/>
  <c r="AO267" i="13"/>
  <c r="AO268" i="13"/>
  <c r="AO269" i="13"/>
  <c r="AO270" i="13"/>
  <c r="AO271" i="13"/>
  <c r="AO272" i="13"/>
  <c r="AO273" i="13"/>
  <c r="AO274" i="13"/>
  <c r="AO275" i="13"/>
  <c r="AO276" i="13"/>
  <c r="AO277" i="13"/>
  <c r="AO278" i="13"/>
  <c r="AO279" i="13"/>
  <c r="AO280" i="13"/>
  <c r="AO281" i="13"/>
  <c r="AO282" i="13"/>
  <c r="AO283" i="13"/>
  <c r="AO284" i="13"/>
  <c r="AO285" i="13"/>
  <c r="AO286" i="13"/>
  <c r="AO287" i="13"/>
  <c r="AO288" i="13"/>
  <c r="AO289" i="13"/>
  <c r="AO290" i="13"/>
  <c r="AO291" i="13"/>
  <c r="AO292" i="13"/>
  <c r="AO293" i="13"/>
  <c r="AO294" i="13"/>
  <c r="AO295" i="13"/>
  <c r="AO296" i="13"/>
  <c r="AO297" i="13"/>
  <c r="AO298" i="13"/>
  <c r="AO299" i="13"/>
  <c r="AO300" i="13"/>
  <c r="AO301" i="13"/>
  <c r="AO302" i="13"/>
  <c r="AO303" i="13"/>
  <c r="AO304" i="13"/>
  <c r="AO305" i="13"/>
  <c r="AO306" i="13"/>
  <c r="AO307" i="13"/>
  <c r="AO308" i="13"/>
  <c r="AO309" i="13"/>
  <c r="AO310" i="13"/>
  <c r="AO311" i="13"/>
  <c r="AO312" i="13"/>
  <c r="AO313" i="13"/>
  <c r="AO314" i="13"/>
  <c r="AO315" i="13"/>
  <c r="AO316" i="13"/>
  <c r="AO317" i="13"/>
  <c r="AO318" i="13"/>
  <c r="AO319" i="13"/>
  <c r="AO320" i="13"/>
  <c r="AO321" i="13"/>
  <c r="AO322" i="13"/>
  <c r="AO323" i="13"/>
  <c r="AO324" i="13"/>
  <c r="AO325" i="13"/>
  <c r="AO326" i="13"/>
  <c r="AO327" i="13"/>
  <c r="AO328" i="13"/>
  <c r="AO329" i="13"/>
  <c r="AO330" i="13"/>
  <c r="AO331" i="13"/>
  <c r="AO332" i="13"/>
  <c r="AO333" i="13"/>
  <c r="AO334" i="13"/>
  <c r="AO335" i="13"/>
  <c r="AO336" i="13"/>
  <c r="AO337" i="13"/>
  <c r="AO338" i="13"/>
  <c r="AO339" i="13"/>
  <c r="AO340" i="13"/>
  <c r="AO341" i="13"/>
  <c r="AO342" i="13"/>
  <c r="AO343" i="13"/>
  <c r="AO344" i="13"/>
  <c r="AO345" i="13"/>
  <c r="AO346" i="13"/>
  <c r="AO347" i="13"/>
  <c r="AO348" i="13"/>
  <c r="AO349" i="13"/>
  <c r="AO350" i="13"/>
  <c r="AO351" i="13"/>
  <c r="AO352" i="13"/>
  <c r="AO353" i="13"/>
  <c r="AO354" i="13"/>
  <c r="AO355" i="13"/>
  <c r="AO356" i="13"/>
  <c r="AO357" i="13"/>
  <c r="AO358" i="13"/>
  <c r="AO359" i="13"/>
  <c r="AO360" i="13"/>
  <c r="AO361" i="13"/>
  <c r="AO362" i="13"/>
  <c r="AO363" i="13"/>
  <c r="AO364" i="13"/>
  <c r="AO365" i="13"/>
  <c r="AO366" i="13"/>
  <c r="AO367" i="13"/>
  <c r="AO368" i="13"/>
  <c r="AO369" i="13"/>
  <c r="AO370" i="13"/>
  <c r="AO371" i="13"/>
  <c r="AO372" i="13"/>
  <c r="AO373" i="13"/>
  <c r="AO374" i="13"/>
  <c r="AO375" i="13"/>
  <c r="AO376" i="13"/>
  <c r="AO377" i="13"/>
  <c r="AO378" i="13"/>
  <c r="AO379" i="13"/>
  <c r="AO380" i="13"/>
  <c r="AO381" i="13"/>
  <c r="AO382" i="13"/>
  <c r="AO383" i="13"/>
  <c r="AO384" i="13"/>
  <c r="AO385" i="13"/>
  <c r="AO386" i="13"/>
  <c r="AO387" i="13"/>
  <c r="AO388" i="13"/>
  <c r="AO389" i="13"/>
  <c r="AO390" i="13"/>
  <c r="AO391" i="13"/>
  <c r="AO392" i="13"/>
  <c r="AO393" i="13"/>
  <c r="AO394" i="13"/>
  <c r="AO395" i="13"/>
  <c r="AO396" i="13"/>
  <c r="AO397" i="13"/>
  <c r="AO398" i="13"/>
  <c r="AO399" i="13"/>
  <c r="AO400" i="13"/>
  <c r="AO401" i="13"/>
  <c r="AO402" i="13"/>
  <c r="AO403" i="13"/>
  <c r="AO404" i="13"/>
  <c r="AO405" i="13"/>
  <c r="AO406" i="13"/>
  <c r="AO407" i="13"/>
  <c r="AO408" i="13"/>
  <c r="AO409" i="13"/>
  <c r="AO410" i="13"/>
  <c r="AO411" i="13"/>
  <c r="AO412" i="13"/>
  <c r="AO413" i="13"/>
  <c r="AO414" i="13"/>
  <c r="AO415" i="13"/>
  <c r="AO416" i="13"/>
  <c r="AO417" i="13"/>
  <c r="AO418" i="13"/>
  <c r="AO419" i="13"/>
  <c r="AO420" i="13"/>
  <c r="AO421" i="13"/>
  <c r="AO422" i="13"/>
  <c r="AO423" i="13"/>
  <c r="AO424" i="13"/>
  <c r="AO425" i="13"/>
  <c r="AO426" i="13"/>
  <c r="AO427" i="13"/>
  <c r="AO428" i="13"/>
  <c r="AO429" i="13"/>
  <c r="AO430" i="13"/>
  <c r="AO431" i="13"/>
  <c r="AO432" i="13"/>
  <c r="AO433" i="13"/>
  <c r="AO434" i="13"/>
  <c r="AO435" i="13"/>
  <c r="AO436" i="13"/>
  <c r="AO437" i="13"/>
  <c r="AO438" i="13"/>
  <c r="AO439" i="13"/>
  <c r="AO440" i="13"/>
  <c r="AO441" i="13"/>
  <c r="AO442" i="13"/>
  <c r="AO443" i="13"/>
  <c r="AO444" i="13"/>
  <c r="AO445" i="13"/>
  <c r="AO446" i="13"/>
  <c r="AO447" i="13"/>
  <c r="AO448" i="13"/>
  <c r="AO449" i="13"/>
  <c r="AO450" i="13"/>
  <c r="AO451" i="13"/>
  <c r="AO452" i="13"/>
  <c r="AO453" i="13"/>
  <c r="AO454" i="13"/>
  <c r="AO455" i="13"/>
  <c r="AO456" i="13"/>
  <c r="AO457" i="13"/>
  <c r="AO458" i="13"/>
  <c r="AO459" i="13"/>
  <c r="AO460" i="13"/>
  <c r="AO461" i="13"/>
  <c r="AO462" i="13"/>
  <c r="AO463" i="13"/>
  <c r="AO464" i="13"/>
  <c r="AO465" i="13"/>
  <c r="AO466" i="13"/>
  <c r="AO467" i="13"/>
  <c r="AO468" i="13"/>
  <c r="AO469" i="13"/>
  <c r="AO470" i="13"/>
  <c r="AO471" i="13"/>
  <c r="AO472" i="13"/>
  <c r="AO473" i="13"/>
  <c r="AO474" i="13"/>
  <c r="AO475" i="13"/>
  <c r="AO476" i="13"/>
  <c r="AO477" i="13"/>
  <c r="AO478" i="13"/>
  <c r="AO479" i="13"/>
  <c r="AO480" i="13"/>
  <c r="AO481" i="13"/>
  <c r="AO482" i="13"/>
  <c r="AO483" i="13"/>
  <c r="AO484" i="13"/>
  <c r="AO485" i="13"/>
  <c r="AO486" i="13"/>
  <c r="AO487" i="13"/>
  <c r="AO488" i="13"/>
  <c r="AO489" i="13"/>
  <c r="AO490" i="13"/>
  <c r="AO491" i="13"/>
  <c r="AO492" i="13"/>
  <c r="AO493" i="13"/>
  <c r="AO494" i="13"/>
  <c r="AO495" i="13"/>
  <c r="AO496" i="13"/>
  <c r="AO497" i="13"/>
  <c r="AO498" i="13"/>
  <c r="AO499" i="13"/>
  <c r="AO500" i="13"/>
  <c r="AO501" i="13"/>
  <c r="AO502" i="13"/>
  <c r="AO503" i="13"/>
  <c r="AO504" i="13"/>
  <c r="AO505" i="13"/>
  <c r="AO506" i="13"/>
  <c r="AO507" i="13"/>
  <c r="AO508" i="13"/>
  <c r="AO509" i="13"/>
  <c r="AO510" i="13"/>
  <c r="AO511" i="13"/>
  <c r="AO512" i="13"/>
  <c r="AO513" i="13"/>
  <c r="AO514" i="13"/>
  <c r="AO515" i="13"/>
  <c r="AO516" i="13"/>
  <c r="AO517" i="13"/>
  <c r="AO518" i="13"/>
  <c r="AO519" i="13"/>
  <c r="AO520" i="13"/>
  <c r="AO521" i="13"/>
  <c r="AO522" i="13"/>
  <c r="AO523" i="13"/>
  <c r="AO524" i="13"/>
  <c r="AO525" i="13"/>
  <c r="AO526" i="13"/>
  <c r="AO527" i="13"/>
  <c r="AO528" i="13"/>
  <c r="AO529" i="13"/>
  <c r="AO530" i="13"/>
  <c r="AO531" i="13"/>
  <c r="AO532" i="13"/>
  <c r="AO533" i="13"/>
  <c r="AO534" i="13"/>
  <c r="AO535" i="13"/>
  <c r="AO536" i="13"/>
  <c r="AO537" i="13"/>
  <c r="AO538" i="13"/>
  <c r="AO539" i="13"/>
  <c r="AO540" i="13"/>
  <c r="AO541" i="13"/>
  <c r="AO542" i="13"/>
  <c r="AO543" i="13"/>
  <c r="AO544" i="13"/>
  <c r="AO545" i="13"/>
  <c r="AO546" i="13"/>
  <c r="AO547" i="13"/>
  <c r="AO548" i="13"/>
  <c r="AO549" i="13"/>
  <c r="AO550" i="13"/>
  <c r="AO551" i="13"/>
  <c r="AO552" i="13"/>
  <c r="AO553" i="13"/>
  <c r="AO554" i="13"/>
  <c r="AO555" i="13"/>
  <c r="AO556" i="13"/>
  <c r="AO557" i="13"/>
  <c r="AO558" i="13"/>
  <c r="AO559" i="13"/>
  <c r="AO560" i="13"/>
  <c r="AO561" i="13"/>
  <c r="AO562" i="13"/>
  <c r="AO563" i="13"/>
  <c r="AO564" i="13"/>
  <c r="AO565" i="13"/>
  <c r="AO566" i="13"/>
  <c r="AO567" i="13"/>
  <c r="AO568" i="13"/>
  <c r="AO569" i="13"/>
  <c r="AO570" i="13"/>
  <c r="AO571" i="13"/>
  <c r="AO572" i="13"/>
  <c r="AO573" i="13"/>
  <c r="AO574" i="13"/>
  <c r="AO575" i="13"/>
  <c r="AO576" i="13"/>
  <c r="AO577" i="13"/>
  <c r="AO578" i="13"/>
  <c r="AO579" i="13"/>
  <c r="AO580" i="13"/>
  <c r="AO581" i="13"/>
  <c r="AO582" i="13"/>
  <c r="AO583" i="13"/>
  <c r="AO584" i="13"/>
  <c r="AO585" i="13"/>
  <c r="AO586" i="13"/>
  <c r="AO587" i="13"/>
  <c r="AO588" i="13"/>
  <c r="AO589" i="13"/>
  <c r="AO590" i="13"/>
  <c r="AO591" i="13"/>
  <c r="AO592" i="13"/>
  <c r="AO593" i="13"/>
  <c r="AO594" i="13"/>
  <c r="AO595" i="13"/>
  <c r="AO596" i="13"/>
  <c r="AO597" i="13"/>
  <c r="AO598" i="13"/>
  <c r="AO599" i="13"/>
  <c r="AO600" i="13"/>
  <c r="AO601" i="13"/>
  <c r="AO602" i="13"/>
  <c r="AO603" i="13"/>
  <c r="AO604" i="13"/>
  <c r="AO605" i="13"/>
  <c r="AO606" i="13"/>
  <c r="AO607" i="13"/>
  <c r="AO608" i="13"/>
  <c r="AO609" i="13"/>
  <c r="AO610" i="13"/>
  <c r="AO611" i="13"/>
  <c r="AO612" i="13"/>
  <c r="AO613" i="13"/>
  <c r="AO614" i="13"/>
  <c r="AO615" i="13"/>
  <c r="AO616" i="13"/>
  <c r="AO617" i="13"/>
  <c r="AO618" i="13"/>
  <c r="AO619" i="13"/>
  <c r="AO620" i="13"/>
  <c r="AO621" i="13"/>
  <c r="AO622" i="13"/>
  <c r="AO623" i="13"/>
  <c r="AO624" i="13"/>
  <c r="AO625" i="13"/>
  <c r="AO626" i="13"/>
  <c r="AO627" i="13"/>
  <c r="AO628" i="13"/>
  <c r="AO629" i="13"/>
  <c r="AO630" i="13"/>
  <c r="AO631" i="13"/>
  <c r="AO632" i="13"/>
  <c r="AO633" i="13"/>
  <c r="AO634" i="13"/>
  <c r="AO635" i="13"/>
  <c r="AO636" i="13"/>
  <c r="AO637" i="13"/>
  <c r="AO638" i="13"/>
  <c r="AO639" i="13"/>
  <c r="AO640" i="13"/>
  <c r="AO641" i="13"/>
  <c r="AO642" i="13"/>
  <c r="AO643" i="13"/>
  <c r="AO644" i="13"/>
  <c r="AO645" i="13"/>
  <c r="AO646" i="13"/>
  <c r="AO647" i="13"/>
  <c r="AO648" i="13"/>
  <c r="AO649" i="13"/>
  <c r="AO650" i="13"/>
  <c r="AO651" i="13"/>
  <c r="AO652" i="13"/>
  <c r="AO653" i="13"/>
  <c r="AO654" i="13"/>
  <c r="AO655" i="13"/>
  <c r="AO656" i="13"/>
  <c r="AO657" i="13"/>
  <c r="AO658" i="13"/>
  <c r="AO659" i="13"/>
  <c r="AO660" i="13"/>
  <c r="AO661" i="13"/>
  <c r="AO662" i="13"/>
  <c r="AO663" i="13"/>
  <c r="AO664" i="13"/>
  <c r="AO665" i="13"/>
  <c r="AO666" i="13"/>
  <c r="AO667" i="13"/>
  <c r="AO668" i="13"/>
  <c r="AO669" i="13"/>
  <c r="AO670" i="13"/>
  <c r="AO671" i="13"/>
  <c r="AO672" i="13"/>
  <c r="AO673" i="13"/>
  <c r="AO674" i="13"/>
  <c r="AO675" i="13"/>
  <c r="AO676" i="13"/>
  <c r="AO677" i="13"/>
  <c r="AO678" i="13"/>
  <c r="AO679" i="13"/>
  <c r="AO680" i="13"/>
  <c r="AO681" i="13"/>
  <c r="AO682" i="13"/>
  <c r="AO683" i="13"/>
  <c r="AO684" i="13"/>
  <c r="AO685" i="13"/>
  <c r="AO686" i="13"/>
  <c r="AO687" i="13"/>
  <c r="AO688" i="13"/>
  <c r="AO689" i="13"/>
  <c r="AO690" i="13"/>
  <c r="AO691" i="13"/>
  <c r="AO692" i="13"/>
  <c r="AO693" i="13"/>
  <c r="AO694" i="13"/>
  <c r="AO695" i="13"/>
  <c r="AO696" i="13"/>
  <c r="AO697" i="13"/>
  <c r="AO698" i="13"/>
  <c r="AO699" i="13"/>
  <c r="AO700" i="13"/>
  <c r="AO701" i="13"/>
  <c r="AO702" i="13"/>
  <c r="AO703" i="13"/>
  <c r="AO704" i="13"/>
  <c r="AO705" i="13"/>
  <c r="AO706" i="13"/>
  <c r="AO707" i="13"/>
  <c r="AO708" i="13"/>
  <c r="AO709" i="13"/>
  <c r="AO710" i="13"/>
  <c r="AO711" i="13"/>
  <c r="AO712" i="13"/>
  <c r="AO713" i="13"/>
  <c r="AO714" i="13"/>
  <c r="AO715" i="13"/>
  <c r="AO716" i="13"/>
  <c r="AO717" i="13"/>
  <c r="AO718" i="13"/>
  <c r="AO719" i="13"/>
  <c r="AO720" i="13"/>
  <c r="AO721" i="13"/>
  <c r="AO722" i="13"/>
  <c r="AO723" i="13"/>
  <c r="AO724" i="13"/>
  <c r="AO725" i="13"/>
  <c r="AO726" i="13"/>
  <c r="AO727" i="13"/>
  <c r="AO728" i="13"/>
  <c r="AO729" i="13"/>
  <c r="AO730" i="13"/>
  <c r="AO731" i="13"/>
  <c r="AO732" i="13"/>
  <c r="AO733" i="13"/>
  <c r="AO734" i="13"/>
  <c r="AO735" i="13"/>
  <c r="AO736" i="13"/>
  <c r="AO737" i="13"/>
  <c r="AO738" i="13"/>
  <c r="AO739" i="13"/>
  <c r="AO740" i="13"/>
  <c r="AO741" i="13"/>
  <c r="AO742" i="13"/>
  <c r="AO743" i="13"/>
  <c r="AO744" i="13"/>
  <c r="AO745" i="13"/>
  <c r="AO746" i="13"/>
  <c r="AO747" i="13"/>
  <c r="AO748" i="13"/>
  <c r="AO749" i="13"/>
  <c r="AO750" i="13"/>
  <c r="AO751" i="13"/>
  <c r="AO752" i="13"/>
  <c r="AO753" i="13"/>
  <c r="AO754" i="13"/>
  <c r="AO755" i="13"/>
  <c r="AO756" i="13"/>
  <c r="AO757" i="13"/>
  <c r="AO758" i="13"/>
  <c r="AO759" i="13"/>
  <c r="AO760" i="13"/>
  <c r="AO761" i="13"/>
  <c r="AO762" i="13"/>
  <c r="AO763" i="13"/>
  <c r="AO764" i="13"/>
  <c r="AO765" i="13"/>
  <c r="AO766" i="13"/>
  <c r="AO767" i="13"/>
  <c r="AO768" i="13"/>
  <c r="AO769" i="13"/>
  <c r="AO770" i="13"/>
  <c r="AO771" i="13"/>
  <c r="AO772" i="13"/>
  <c r="AO773" i="13"/>
  <c r="AO774" i="13"/>
  <c r="AO775" i="13"/>
  <c r="AO776" i="13"/>
  <c r="AO777" i="13"/>
  <c r="AO778" i="13"/>
  <c r="AO779" i="13"/>
  <c r="AO780" i="13"/>
  <c r="AO781" i="13"/>
  <c r="AO782" i="13"/>
  <c r="AO783" i="13"/>
  <c r="AO784" i="13"/>
  <c r="AO785" i="13"/>
  <c r="AO786" i="13"/>
  <c r="AO787" i="13"/>
  <c r="AO788" i="13"/>
  <c r="AO789" i="13"/>
  <c r="AO790" i="13"/>
  <c r="AO791" i="13"/>
  <c r="AO792" i="13"/>
  <c r="AO793" i="13"/>
  <c r="AO794" i="13"/>
  <c r="AO795" i="13"/>
  <c r="AO796" i="13"/>
  <c r="AO797" i="13"/>
  <c r="AO798" i="13"/>
  <c r="AO799" i="13"/>
  <c r="AO800" i="13"/>
  <c r="AO801" i="13"/>
  <c r="AO802" i="13"/>
  <c r="AO803" i="13"/>
  <c r="AO804" i="13"/>
  <c r="AO805" i="13"/>
  <c r="AO806" i="13"/>
  <c r="AO807" i="13"/>
  <c r="AO808" i="13"/>
  <c r="AO809" i="13"/>
  <c r="AO810" i="13"/>
  <c r="AO811" i="13"/>
  <c r="AO812" i="13"/>
  <c r="AO813" i="13"/>
  <c r="AO814" i="13"/>
  <c r="AO815" i="13"/>
  <c r="AO816" i="13"/>
  <c r="AO817" i="13"/>
  <c r="AO818" i="13"/>
  <c r="AO819" i="13"/>
  <c r="AO820" i="13"/>
  <c r="AO821" i="13"/>
  <c r="AO822" i="13"/>
  <c r="AO823" i="13"/>
  <c r="AO824" i="13"/>
  <c r="AO825" i="13"/>
  <c r="AO826" i="13"/>
  <c r="AO827" i="13"/>
  <c r="AO828" i="13"/>
  <c r="AO829" i="13"/>
  <c r="AO830" i="13"/>
  <c r="AO831" i="13"/>
  <c r="AO832" i="13"/>
  <c r="AO833" i="13"/>
  <c r="AO834" i="13"/>
  <c r="AO835" i="13"/>
  <c r="AO836" i="13"/>
  <c r="AO837" i="13"/>
  <c r="AO838" i="13"/>
  <c r="AO839" i="13"/>
  <c r="AO840" i="13"/>
  <c r="AO841" i="13"/>
  <c r="AO842" i="13"/>
  <c r="AO843" i="13"/>
  <c r="AO844" i="13"/>
  <c r="AO845" i="13"/>
  <c r="AO846" i="13"/>
  <c r="AO847" i="13"/>
  <c r="AO848" i="13"/>
  <c r="AO849" i="13"/>
  <c r="AO850" i="13"/>
  <c r="AO851" i="13"/>
  <c r="AO852" i="13"/>
  <c r="AO853" i="13"/>
  <c r="AO854" i="13"/>
  <c r="AO855" i="13"/>
  <c r="AO856" i="13"/>
  <c r="AO857" i="13"/>
  <c r="AO858" i="13"/>
  <c r="AO859" i="13"/>
  <c r="AO860" i="13"/>
  <c r="AO861" i="13"/>
  <c r="AO862" i="13"/>
  <c r="AO863" i="13"/>
  <c r="AO864" i="13"/>
  <c r="AO865" i="13"/>
  <c r="AO866" i="13"/>
  <c r="AO867" i="13"/>
  <c r="AO868" i="13"/>
  <c r="AO869" i="13"/>
  <c r="AO870" i="13"/>
  <c r="AO871" i="13"/>
  <c r="AO872" i="13"/>
  <c r="AO873" i="13"/>
  <c r="AO874" i="13"/>
  <c r="AO875" i="13"/>
  <c r="AO876" i="13"/>
  <c r="AO877" i="13"/>
  <c r="AO878" i="13"/>
  <c r="Y17" i="13"/>
  <c r="X18" i="13"/>
  <c r="Y18" i="13"/>
  <c r="X19" i="13"/>
  <c r="Y19" i="13"/>
  <c r="X20" i="13"/>
  <c r="Y20" i="13"/>
  <c r="X17" i="13"/>
  <c r="J5" i="10"/>
  <c r="H5" i="10"/>
  <c r="C87" i="10"/>
  <c r="B87" i="10"/>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2"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8" i="2"/>
  <c r="O19" i="2"/>
  <c r="O20" i="2"/>
  <c r="O10" i="2"/>
  <c r="O11" i="2"/>
  <c r="O12" i="2"/>
  <c r="O13" i="2"/>
  <c r="O14" i="2"/>
  <c r="O15" i="2"/>
  <c r="O16" i="2"/>
  <c r="O17" i="2"/>
  <c r="O8" i="2"/>
  <c r="O9" i="2"/>
  <c r="O6" i="2"/>
  <c r="O7" i="2"/>
  <c r="O3" i="2"/>
  <c r="O4" i="2"/>
  <c r="O5" i="2"/>
  <c r="O2"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4" i="2"/>
  <c r="M3"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2" i="2"/>
  <c r="C6" i="5"/>
  <c r="C5" i="5"/>
  <c r="D14" i="13"/>
  <c r="B14" i="13"/>
  <c r="F14" i="13"/>
  <c r="C14" i="13"/>
  <c r="E14" i="13"/>
</calcChain>
</file>

<file path=xl/sharedStrings.xml><?xml version="1.0" encoding="utf-8"?>
<sst xmlns="http://schemas.openxmlformats.org/spreadsheetml/2006/main" count="4852" uniqueCount="98">
  <si>
    <t>ad_id</t>
  </si>
  <si>
    <t>xyz_campaign_id</t>
  </si>
  <si>
    <t>fb_campaign_id</t>
  </si>
  <si>
    <t>age</t>
  </si>
  <si>
    <t>gender</t>
  </si>
  <si>
    <t>interest</t>
  </si>
  <si>
    <t>Impressions</t>
  </si>
  <si>
    <t>Clicks</t>
  </si>
  <si>
    <t>Spent</t>
  </si>
  <si>
    <t>Total_Conversion</t>
  </si>
  <si>
    <t>Approved_Conversion</t>
  </si>
  <si>
    <t>30-34</t>
  </si>
  <si>
    <t>M</t>
  </si>
  <si>
    <t>35-39</t>
  </si>
  <si>
    <t>40-44</t>
  </si>
  <si>
    <t>45-49</t>
  </si>
  <si>
    <t>F</t>
  </si>
  <si>
    <t>Step</t>
  </si>
  <si>
    <t>Action</t>
  </si>
  <si>
    <t>Copy pasted the raw data to new sheet for analysis to avoid modifying the original.</t>
  </si>
  <si>
    <r>
      <t xml:space="preserve">Checked the duplicates and found that no duplicated values to be found. Also the ad_id is found to be unique.
</t>
    </r>
    <r>
      <rPr>
        <i/>
        <sz val="11"/>
        <color theme="1"/>
        <rFont val="Aptos Narrow"/>
        <family val="2"/>
        <scheme val="minor"/>
      </rPr>
      <t>- Duplicates checked through Data Tools --&gt; Remove Duplicates and Highlight Cells Rules -&gt; Duplicate Values.
- Also the above steps applied to ad_id column to check uniqueness.</t>
    </r>
    <r>
      <rPr>
        <sz val="11"/>
        <color theme="1"/>
        <rFont val="Aptos Narrow"/>
        <family val="2"/>
        <scheme val="minor"/>
      </rPr>
      <t xml:space="preserve">
</t>
    </r>
  </si>
  <si>
    <r>
      <t>Converted the datatype of Spent column to</t>
    </r>
    <r>
      <rPr>
        <b/>
        <sz val="11"/>
        <color theme="1"/>
        <rFont val="Aptos Narrow"/>
        <family val="2"/>
        <scheme val="minor"/>
      </rPr>
      <t xml:space="preserve"> Currency</t>
    </r>
    <r>
      <rPr>
        <sz val="11"/>
        <color theme="1"/>
        <rFont val="Aptos Narrow"/>
        <family val="2"/>
        <scheme val="minor"/>
      </rPr>
      <t xml:space="preserve"> format ($ - United States)</t>
    </r>
  </si>
  <si>
    <r>
      <t xml:space="preserve">No blanks found in each columns. 
</t>
    </r>
    <r>
      <rPr>
        <i/>
        <sz val="11"/>
        <color theme="1"/>
        <rFont val="Aptos Narrow"/>
        <family val="2"/>
        <scheme val="minor"/>
      </rPr>
      <t>- Checked through countblank() and observing in Filter Section</t>
    </r>
  </si>
  <si>
    <r>
      <t xml:space="preserve">Converted the datatype to </t>
    </r>
    <r>
      <rPr>
        <b/>
        <sz val="11"/>
        <color theme="1"/>
        <rFont val="Aptos Narrow"/>
        <family val="2"/>
        <scheme val="minor"/>
      </rPr>
      <t>Number</t>
    </r>
    <r>
      <rPr>
        <sz val="11"/>
        <color theme="1"/>
        <rFont val="Aptos Narrow"/>
        <family val="2"/>
        <scheme val="minor"/>
      </rPr>
      <t xml:space="preserve"> format for the columns -</t>
    </r>
    <r>
      <rPr>
        <i/>
        <sz val="11"/>
        <color theme="1"/>
        <rFont val="Aptos Narrow"/>
        <family val="2"/>
        <scheme val="minor"/>
      </rPr>
      <t xml:space="preserve"> interest, Impressions, Clicks, Total_Conversion, Approved_Conversion</t>
    </r>
  </si>
  <si>
    <t>Correlation Between Columns</t>
  </si>
  <si>
    <t>Impression vs Clicks</t>
  </si>
  <si>
    <t>r-value</t>
  </si>
  <si>
    <t>Impression vs Total_Conversion</t>
  </si>
  <si>
    <t>Insight</t>
  </si>
  <si>
    <r>
      <t xml:space="preserve">Very strong positive correlation.
</t>
    </r>
    <r>
      <rPr>
        <b/>
        <sz val="11"/>
        <color theme="1"/>
        <rFont val="Aptos Narrow"/>
        <family val="2"/>
        <scheme val="minor"/>
      </rPr>
      <t>This means:</t>
    </r>
    <r>
      <rPr>
        <sz val="11"/>
        <color theme="1"/>
        <rFont val="Aptos Narrow"/>
        <family val="2"/>
        <scheme val="minor"/>
      </rPr>
      <t xml:space="preserve"> the more people see the ad (impressions), the more likely they are to click.
</t>
    </r>
    <r>
      <rPr>
        <b/>
        <sz val="11"/>
        <color theme="1"/>
        <rFont val="Aptos Narrow"/>
        <family val="2"/>
        <scheme val="minor"/>
      </rPr>
      <t>Interpretation:</t>
    </r>
    <r>
      <rPr>
        <sz val="11"/>
        <color theme="1"/>
        <rFont val="Aptos Narrow"/>
        <family val="2"/>
        <scheme val="minor"/>
      </rPr>
      <t xml:space="preserve"> Ads are driving engagement at the top of the funnel. High visibility = high clicks.</t>
    </r>
  </si>
  <si>
    <r>
      <t xml:space="preserve">Strong positive correlation, but weaker than clicks.
</t>
    </r>
    <r>
      <rPr>
        <b/>
        <sz val="11"/>
        <color theme="1"/>
        <rFont val="Aptos Narrow"/>
        <family val="2"/>
        <scheme val="minor"/>
      </rPr>
      <t>This means:</t>
    </r>
    <r>
      <rPr>
        <sz val="11"/>
        <color theme="1"/>
        <rFont val="Aptos Narrow"/>
        <family val="2"/>
        <scheme val="minor"/>
      </rPr>
      <t xml:space="preserve"> more impressions generally lead to more conversions, but not as strongly as clicks.
</t>
    </r>
    <r>
      <rPr>
        <b/>
        <sz val="11"/>
        <color theme="1"/>
        <rFont val="Aptos Narrow"/>
        <family val="2"/>
        <scheme val="minor"/>
      </rPr>
      <t>Interpretation:</t>
    </r>
    <r>
      <rPr>
        <sz val="11"/>
        <color theme="1"/>
        <rFont val="Aptos Narrow"/>
        <family val="2"/>
        <scheme val="minor"/>
      </rPr>
      <t xml:space="preserve"> While visibility does push conversions, there is a drop-off effect — not everyone who clicks converts.</t>
    </r>
  </si>
  <si>
    <t>CPM</t>
  </si>
  <si>
    <t>CPC</t>
  </si>
  <si>
    <t>CTR</t>
  </si>
  <si>
    <t>CPA</t>
  </si>
  <si>
    <r>
      <t xml:space="preserve">Added calculated columns - </t>
    </r>
    <r>
      <rPr>
        <b/>
        <sz val="11"/>
        <color theme="1"/>
        <rFont val="Aptos Narrow"/>
        <family val="2"/>
        <scheme val="minor"/>
      </rPr>
      <t>CPM (Cost Per Mille)</t>
    </r>
    <r>
      <rPr>
        <sz val="11"/>
        <color theme="1"/>
        <rFont val="Aptos Narrow"/>
        <family val="2"/>
        <scheme val="minor"/>
      </rPr>
      <t>: (Spent / Impressions) x  1000</t>
    </r>
  </si>
  <si>
    <r>
      <t xml:space="preserve">Added calculated columns - </t>
    </r>
    <r>
      <rPr>
        <b/>
        <sz val="11"/>
        <color theme="1"/>
        <rFont val="Aptos Narrow"/>
        <family val="2"/>
        <scheme val="minor"/>
      </rPr>
      <t>CPC (Cost Per Click)</t>
    </r>
    <r>
      <rPr>
        <sz val="11"/>
        <color theme="1"/>
        <rFont val="Aptos Narrow"/>
        <family val="2"/>
        <scheme val="minor"/>
      </rPr>
      <t xml:space="preserve">: Spent / Clicks </t>
    </r>
  </si>
  <si>
    <r>
      <t xml:space="preserve">Added calculated columns - </t>
    </r>
    <r>
      <rPr>
        <b/>
        <sz val="11"/>
        <color theme="1"/>
        <rFont val="Aptos Narrow"/>
        <family val="2"/>
        <scheme val="minor"/>
      </rPr>
      <t>CTR (Click Through Rate)</t>
    </r>
    <r>
      <rPr>
        <sz val="11"/>
        <color theme="1"/>
        <rFont val="Aptos Narrow"/>
        <family val="2"/>
        <scheme val="minor"/>
      </rPr>
      <t>: (Clicks / Impressions) x  100</t>
    </r>
  </si>
  <si>
    <r>
      <t xml:space="preserve">Added calculated columns - </t>
    </r>
    <r>
      <rPr>
        <b/>
        <sz val="11"/>
        <color theme="1"/>
        <rFont val="Aptos Narrow"/>
        <family val="2"/>
        <scheme val="minor"/>
      </rPr>
      <t>CPA (Cost per Acquisition)</t>
    </r>
    <r>
      <rPr>
        <sz val="11"/>
        <color theme="1"/>
        <rFont val="Aptos Narrow"/>
        <family val="2"/>
        <scheme val="minor"/>
      </rPr>
      <t>: Spent / Approved_Conversion</t>
    </r>
  </si>
  <si>
    <t>Formated the newely generated calculated columns to Numbers(2 decimals)</t>
  </si>
  <si>
    <t>Removed hidden extra spaces of all columns using TRIM().</t>
  </si>
  <si>
    <t>Row Labels</t>
  </si>
  <si>
    <t>Grand Total</t>
  </si>
  <si>
    <t>Sum of Spent</t>
  </si>
  <si>
    <t>Sum of Approved_Conversion</t>
  </si>
  <si>
    <t>Sum of Impressions</t>
  </si>
  <si>
    <t>Average of CPA</t>
  </si>
  <si>
    <t>Average of CTR</t>
  </si>
  <si>
    <t>Sum of Clicks</t>
  </si>
  <si>
    <t>Average of CPM</t>
  </si>
  <si>
    <t>Average of CPC</t>
  </si>
  <si>
    <t>Overall KPIs Pivot</t>
  </si>
  <si>
    <t>By Age and Gender (Answers Question 1)</t>
  </si>
  <si>
    <t>Campaign Performance (Overall Effectiveness, Question 2)</t>
  </si>
  <si>
    <t>By Demographics for CPA/CPM Differences (Question 3)</t>
  </si>
  <si>
    <t>Delibrated added blank in CPC, CPA to compute average and reducing skewness due to 0 values.</t>
  </si>
  <si>
    <t>CCR</t>
  </si>
  <si>
    <t>KPI Summary</t>
  </si>
  <si>
    <t>KPI</t>
  </si>
  <si>
    <t>Best Segment</t>
  </si>
  <si>
    <t>Worst Segment</t>
  </si>
  <si>
    <r>
      <t xml:space="preserve">Added calculated columns - </t>
    </r>
    <r>
      <rPr>
        <b/>
        <sz val="11"/>
        <color theme="1"/>
        <rFont val="Aptos Narrow"/>
        <family val="2"/>
        <scheme val="minor"/>
      </rPr>
      <t>CCR</t>
    </r>
    <r>
      <rPr>
        <sz val="11"/>
        <color theme="1"/>
        <rFont val="Aptos Narrow"/>
        <family val="2"/>
        <scheme val="minor"/>
      </rPr>
      <t xml:space="preserve"> (</t>
    </r>
    <r>
      <rPr>
        <b/>
        <sz val="11"/>
        <color theme="1"/>
        <rFont val="Aptos Narrow"/>
        <family val="2"/>
        <scheme val="minor"/>
      </rPr>
      <t>Click Conversion Rate)</t>
    </r>
    <r>
      <rPr>
        <sz val="11"/>
        <color theme="1"/>
        <rFont val="Aptos Narrow"/>
        <family val="2"/>
        <scheme val="minor"/>
      </rPr>
      <t>: (Approved_Conversion/ Clicks) x  100</t>
    </r>
  </si>
  <si>
    <t>Average of CCR</t>
  </si>
  <si>
    <t>30-34 M</t>
  </si>
  <si>
    <t>45-49 F</t>
  </si>
  <si>
    <t>Younger males are cost-efficient</t>
  </si>
  <si>
    <t>40-44 F</t>
  </si>
  <si>
    <t>35-39 M</t>
  </si>
  <si>
    <t>Strong engagement in mid-age females</t>
  </si>
  <si>
    <t>Creative resonance with senior females</t>
  </si>
  <si>
    <t>High conversion efficiency in females</t>
  </si>
  <si>
    <t>Strong conversion in younger male demographics</t>
  </si>
  <si>
    <t>Age Group</t>
  </si>
  <si>
    <t>Female</t>
  </si>
  <si>
    <t>Male</t>
  </si>
  <si>
    <t xml:space="preserve">age group vs spent </t>
  </si>
  <si>
    <t>age group vs CPA</t>
  </si>
  <si>
    <t>Campaign</t>
  </si>
  <si>
    <t>916</t>
  </si>
  <si>
    <t>936</t>
  </si>
  <si>
    <t>1178</t>
  </si>
  <si>
    <t>Gender</t>
  </si>
  <si>
    <t>CORRELATION</t>
  </si>
  <si>
    <t>Impression Vs Clicks</t>
  </si>
  <si>
    <t>Impression Vs Conversion</t>
  </si>
  <si>
    <t>Total KPI Summary</t>
  </si>
  <si>
    <t>Column Labels</t>
  </si>
  <si>
    <t xml:space="preserve">Demographic Ad Spend Distribution </t>
  </si>
  <si>
    <t xml:space="preserve">CPA by Demographic  </t>
  </si>
  <si>
    <t xml:space="preserve">CTR by Demographic  </t>
  </si>
  <si>
    <t>Age vs CCR</t>
  </si>
  <si>
    <t>Total Spent</t>
  </si>
  <si>
    <t>Approved Conversions</t>
  </si>
  <si>
    <t>Average of Approved_Conversion</t>
  </si>
  <si>
    <t>Campaign Performance by Cost &amp; Rate</t>
  </si>
  <si>
    <t>Ad Spent vs Conversion</t>
  </si>
  <si>
    <t>CPM vs CPC</t>
  </si>
  <si>
    <t>Formated the newely generated calculated columns CTR and CCR to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</si>
</sst>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00"/>
    <numFmt numFmtId="165" formatCode="0.000%"/>
    <numFmt numFmtId="166" formatCode="0.0000%"/>
    <numFmt numFmtId="167" formatCode="0.00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11"/>
      <color rgb="FFFF0000"/>
      <name val="Aptos Narrow"/>
      <family val="2"/>
      <scheme val="minor"/>
    </font>
    <font>
      <sz val="8"/>
      <name val="Aptos Narrow"/>
      <family val="2"/>
      <scheme val="minor"/>
    </font>
    <font>
      <b/>
      <sz val="11"/>
      <color theme="1"/>
      <name val="Aptos Narrow"/>
      <scheme val="minor"/>
    </font>
    <font>
      <sz val="11"/>
      <color theme="1"/>
      <name val="Aptos Narrow"/>
      <scheme val="minor"/>
    </font>
    <font>
      <b/>
      <sz val="9"/>
      <color rgb="FF000000"/>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EDB5E5"/>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0">
    <xf numFmtId="0" fontId="0" fillId="0" borderId="0" xfId="0"/>
    <xf numFmtId="0" fontId="16" fillId="0" borderId="0" xfId="0" applyFont="1"/>
    <xf numFmtId="0" fontId="16" fillId="0" borderId="10" xfId="0" applyFont="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vertical="center"/>
    </xf>
    <xf numFmtId="1" fontId="0" fillId="0" borderId="0" xfId="0" applyNumberFormat="1"/>
    <xf numFmtId="0" fontId="0" fillId="0" borderId="10" xfId="0" applyBorder="1" applyAlignment="1">
      <alignment vertical="center" wrapText="1"/>
    </xf>
    <xf numFmtId="0" fontId="0" fillId="0" borderId="10" xfId="0" applyBorder="1" applyAlignment="1">
      <alignment horizontal="left" vertical="top" wrapText="1"/>
    </xf>
    <xf numFmtId="164" fontId="0" fillId="0" borderId="0" xfId="0" applyNumberFormat="1"/>
    <xf numFmtId="0" fontId="0" fillId="0" borderId="0" xfId="0" applyAlignment="1">
      <alignment horizontal="left"/>
    </xf>
    <xf numFmtId="0" fontId="0" fillId="0" borderId="10" xfId="0" applyBorder="1" applyAlignment="1">
      <alignment horizontal="left" vertical="center" wrapText="1"/>
    </xf>
    <xf numFmtId="0" fontId="16" fillId="0" borderId="10" xfId="0" applyFont="1" applyBorder="1" applyAlignment="1">
      <alignment horizontal="center"/>
    </xf>
    <xf numFmtId="0" fontId="14" fillId="0" borderId="10" xfId="0" applyFont="1" applyBorder="1" applyAlignment="1">
      <alignment horizontal="center" vertical="center"/>
    </xf>
    <xf numFmtId="0" fontId="19" fillId="0" borderId="0" xfId="0" applyFont="1"/>
    <xf numFmtId="2" fontId="0" fillId="0" borderId="0" xfId="0" applyNumberFormat="1"/>
    <xf numFmtId="0" fontId="0" fillId="0" borderId="0" xfId="0" pivotButton="1"/>
    <xf numFmtId="0" fontId="0" fillId="0" borderId="0" xfId="0" applyAlignment="1">
      <alignment horizontal="left" indent="1"/>
    </xf>
    <xf numFmtId="0" fontId="0" fillId="0" borderId="11" xfId="0" applyBorder="1"/>
    <xf numFmtId="0" fontId="0" fillId="33" borderId="0" xfId="0" applyFill="1"/>
    <xf numFmtId="0" fontId="16" fillId="34" borderId="12" xfId="0" applyFont="1" applyFill="1" applyBorder="1"/>
    <xf numFmtId="10" fontId="0" fillId="0" borderId="0" xfId="42" applyNumberFormat="1" applyFont="1"/>
    <xf numFmtId="0" fontId="0" fillId="0" borderId="0" xfId="0" applyAlignment="1">
      <alignment horizontal="center" vertical="center"/>
    </xf>
    <xf numFmtId="10" fontId="0" fillId="0" borderId="0" xfId="0" applyNumberFormat="1"/>
    <xf numFmtId="166" fontId="0" fillId="0" borderId="0" xfId="0" applyNumberFormat="1"/>
    <xf numFmtId="0" fontId="0" fillId="0" borderId="10" xfId="0" applyBorder="1" applyAlignment="1">
      <alignment horizontal="left" vertical="center"/>
    </xf>
    <xf numFmtId="0" fontId="16" fillId="35" borderId="10" xfId="0" applyFont="1" applyFill="1" applyBorder="1" applyAlignment="1">
      <alignment horizontal="center" vertical="center"/>
    </xf>
    <xf numFmtId="0" fontId="0" fillId="0" borderId="14" xfId="0" applyBorder="1"/>
    <xf numFmtId="0" fontId="0" fillId="0" borderId="14" xfId="0" applyBorder="1" applyAlignment="1">
      <alignment horizontal="center" vertical="center"/>
    </xf>
    <xf numFmtId="0" fontId="0" fillId="0" borderId="13" xfId="0" applyBorder="1"/>
    <xf numFmtId="0" fontId="16" fillId="0" borderId="12" xfId="0" applyFont="1" applyBorder="1" applyAlignment="1">
      <alignment horizontal="left"/>
    </xf>
    <xf numFmtId="10" fontId="16" fillId="0" borderId="12" xfId="0" applyNumberFormat="1" applyFont="1" applyBorder="1"/>
    <xf numFmtId="0" fontId="16" fillId="34" borderId="10" xfId="0" applyFont="1" applyFill="1" applyBorder="1"/>
    <xf numFmtId="0" fontId="0" fillId="0" borderId="10" xfId="0" applyBorder="1"/>
    <xf numFmtId="0" fontId="16" fillId="0" borderId="10" xfId="0" applyFont="1" applyBorder="1" applyAlignment="1">
      <alignment horizontal="left"/>
    </xf>
    <xf numFmtId="164" fontId="0" fillId="0" borderId="10" xfId="0" applyNumberFormat="1" applyBorder="1"/>
    <xf numFmtId="0" fontId="16" fillId="0" borderId="10" xfId="0" applyFont="1" applyBorder="1"/>
    <xf numFmtId="0" fontId="0" fillId="0" borderId="15" xfId="0" applyBorder="1"/>
    <xf numFmtId="0" fontId="0" fillId="0" borderId="16" xfId="0" applyBorder="1" applyAlignment="1">
      <alignment horizontal="center" vertical="center"/>
    </xf>
    <xf numFmtId="0" fontId="0" fillId="0" borderId="17" xfId="0" applyBorder="1"/>
    <xf numFmtId="0" fontId="0" fillId="0" borderId="18" xfId="0" applyBorder="1"/>
    <xf numFmtId="0" fontId="0" fillId="0" borderId="19" xfId="0" applyBorder="1"/>
    <xf numFmtId="2" fontId="0" fillId="0" borderId="10" xfId="0" applyNumberFormat="1" applyBorder="1"/>
    <xf numFmtId="0" fontId="0" fillId="0" borderId="16" xfId="0" applyBorder="1"/>
    <xf numFmtId="10" fontId="0" fillId="0" borderId="10" xfId="0" applyNumberFormat="1" applyBorder="1"/>
    <xf numFmtId="10" fontId="0" fillId="0" borderId="0" xfId="42" applyNumberFormat="1" applyFont="1" applyBorder="1"/>
    <xf numFmtId="166" fontId="0" fillId="0" borderId="0" xfId="42" applyNumberFormat="1" applyFont="1" applyBorder="1"/>
    <xf numFmtId="49" fontId="0" fillId="0" borderId="0" xfId="0" applyNumberFormat="1"/>
    <xf numFmtId="167" fontId="0" fillId="0" borderId="0" xfId="0" applyNumberFormat="1"/>
    <xf numFmtId="2" fontId="16" fillId="0" borderId="12" xfId="0" applyNumberFormat="1" applyFont="1" applyBorder="1"/>
    <xf numFmtId="2" fontId="22" fillId="0" borderId="12" xfId="0" applyNumberFormat="1" applyFont="1" applyBorder="1"/>
    <xf numFmtId="49" fontId="16" fillId="0" borderId="12" xfId="0" applyNumberFormat="1" applyFont="1" applyBorder="1" applyAlignment="1">
      <alignment horizontal="left"/>
    </xf>
    <xf numFmtId="0" fontId="21" fillId="34" borderId="12" xfId="0" applyFont="1" applyFill="1" applyBorder="1"/>
    <xf numFmtId="165" fontId="0" fillId="0" borderId="0" xfId="0" applyNumberFormat="1"/>
    <xf numFmtId="165" fontId="0" fillId="0" borderId="0" xfId="42" applyNumberFormat="1" applyFont="1"/>
    <xf numFmtId="164" fontId="0" fillId="0" borderId="0" xfId="0" applyNumberFormat="1" applyAlignment="1">
      <alignment horizontal="left"/>
    </xf>
    <xf numFmtId="0" fontId="23" fillId="33" borderId="0" xfId="0" applyFont="1" applyFill="1" applyAlignment="1">
      <alignment horizontal="left" vertical="center"/>
    </xf>
    <xf numFmtId="0" fontId="0" fillId="33" borderId="0" xfId="0" applyFill="1" applyAlignment="1">
      <alignment horizontal="center"/>
    </xf>
    <xf numFmtId="0" fontId="0" fillId="33" borderId="0" xfId="0" applyFill="1" applyAlignment="1">
      <alignment horizontal="left"/>
    </xf>
    <xf numFmtId="0" fontId="23" fillId="33" borderId="0" xfId="0" applyFont="1" applyFill="1" applyAlignment="1">
      <alignment horizontal="center" vertical="center"/>
    </xf>
    <xf numFmtId="0" fontId="23" fillId="33" borderId="0" xfId="0" applyFont="1" applyFill="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10">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2" formatCode="0.00"/>
    </dxf>
    <dxf>
      <numFmt numFmtId="165" formatCode="0.000%"/>
    </dxf>
    <dxf>
      <numFmt numFmtId="164" formatCode="[$$-409]#,##0.00"/>
    </dxf>
    <dxf>
      <numFmt numFmtId="164" formatCode="[$$-409]#,##0.00"/>
    </dxf>
    <dxf>
      <numFmt numFmtId="164" formatCode="[$$-409]#,##0.00"/>
    </dxf>
    <dxf>
      <numFmt numFmtId="2" formatCode="0.00"/>
    </dxf>
    <dxf>
      <numFmt numFmtId="165" formatCode="0.000%"/>
    </dxf>
    <dxf>
      <numFmt numFmtId="166" formatCode="0.0000%"/>
    </dxf>
    <dxf>
      <numFmt numFmtId="2" formatCode="0.00"/>
    </dxf>
    <dxf>
      <numFmt numFmtId="166" formatCode="0.0000%"/>
    </dxf>
    <dxf>
      <numFmt numFmtId="165" formatCode="0.000%"/>
    </dxf>
    <dxf>
      <numFmt numFmtId="2" formatCode="0.00"/>
    </dxf>
    <dxf>
      <numFmt numFmtId="2" formatCode="0.00"/>
    </dxf>
    <dxf>
      <numFmt numFmtId="164" formatCode="[$$-409]#,##0.00"/>
    </dxf>
    <dxf>
      <numFmt numFmtId="164" formatCode="[$$-409]#,##0.00"/>
    </dxf>
    <dxf>
      <numFmt numFmtId="164" formatCode="[$$-409]#,##0.00"/>
    </dxf>
    <dxf>
      <numFmt numFmtId="165" formatCode="0.000%"/>
    </dxf>
    <dxf>
      <numFmt numFmtId="165" formatCode="0.000%"/>
    </dxf>
    <dxf>
      <numFmt numFmtId="166" formatCode="0.0000%"/>
    </dxf>
    <dxf>
      <numFmt numFmtId="166" formatCode="0.0000%"/>
    </dxf>
    <dxf>
      <numFmt numFmtId="166" formatCode="0.0000%"/>
    </dxf>
    <dxf>
      <numFmt numFmtId="166" formatCode="0.0000%"/>
    </dxf>
    <dxf>
      <numFmt numFmtId="166" formatCode="0.0000%"/>
    </dxf>
    <dxf>
      <numFmt numFmtId="166" formatCode="0.0000%"/>
    </dxf>
    <dxf>
      <numFmt numFmtId="166" formatCode="0.0000%"/>
    </dxf>
    <dxf>
      <numFmt numFmtId="166" formatCode="0.0000%"/>
    </dxf>
    <dxf>
      <numFmt numFmtId="166" formatCode="0.0000%"/>
    </dxf>
    <dxf>
      <numFmt numFmtId="166" formatCode="0.0000%"/>
    </dxf>
    <dxf>
      <font>
        <b/>
        <color theme="1"/>
      </font>
      <border>
        <bottom style="thin">
          <color theme="4"/>
        </bottom>
        <vertical/>
        <horizontal/>
      </border>
    </dxf>
    <dxf>
      <font>
        <color theme="1"/>
      </font>
      <fill>
        <patternFill>
          <bgColor rgb="FF0C769E"/>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TEST1" pivot="0" table="0" count="10" xr9:uid="{308CDDBF-A1F9-4197-BBCD-4B41531FA510}">
      <tableStyleElement type="wholeTable" dxfId="309"/>
      <tableStyleElement type="headerRow" dxfId="308"/>
    </tableStyle>
  </tableStyles>
  <colors>
    <mruColors>
      <color rgb="FF0C769E"/>
      <color rgb="FFCCCCCC"/>
      <color rgb="FF828282"/>
      <color rgb="FF999999"/>
      <color rgb="FF074F69"/>
      <color rgb="FF095979"/>
      <color rgb="FF08516E"/>
      <color rgb="FF07469F"/>
      <color rgb="FF084F6A"/>
      <color rgb="FFEDB5E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TEST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[Vivek_Analysis_Sheet.xlsx]Pivot_for_Dashborad!PivotTable2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24319819762302"/>
          <c:y val="3.6829795009800985E-2"/>
          <c:w val="0.84463276836158196"/>
          <c:h val="0.684850766604994"/>
        </c:manualLayout>
      </c:layout>
      <c:barChart>
        <c:barDir val="col"/>
        <c:grouping val="stacked"/>
        <c:varyColors val="0"/>
        <c:ser>
          <c:idx val="0"/>
          <c:order val="0"/>
          <c:tx>
            <c:strRef>
              <c:f>Pivot_for_Dashborad!$J$9:$J$10</c:f>
              <c:strCache>
                <c:ptCount val="1"/>
                <c:pt idx="0">
                  <c:v>F</c:v>
                </c:pt>
              </c:strCache>
            </c:strRef>
          </c:tx>
          <c:spPr>
            <a:solidFill>
              <a:schemeClr val="accent1"/>
            </a:solidFill>
            <a:ln>
              <a:noFill/>
            </a:ln>
            <a:effectLst/>
          </c:spPr>
          <c:invertIfNegative val="0"/>
          <c:cat>
            <c:strRef>
              <c:f>Pivot_for_Dashborad!$I$11:$I$14</c:f>
              <c:strCache>
                <c:ptCount val="4"/>
                <c:pt idx="0">
                  <c:v>30-34</c:v>
                </c:pt>
                <c:pt idx="1">
                  <c:v>35-39</c:v>
                </c:pt>
                <c:pt idx="2">
                  <c:v>40-44</c:v>
                </c:pt>
                <c:pt idx="3">
                  <c:v>45-49</c:v>
                </c:pt>
              </c:strCache>
            </c:strRef>
          </c:cat>
          <c:val>
            <c:numRef>
              <c:f>Pivot_for_Dashborad!$J$11:$J$14</c:f>
              <c:numCache>
                <c:formatCode>[$$-409]#,##0.00</c:formatCode>
                <c:ptCount val="4"/>
                <c:pt idx="0">
                  <c:v>7611.4799951269988</c:v>
                </c:pt>
                <c:pt idx="1">
                  <c:v>6061.3499918270008</c:v>
                </c:pt>
                <c:pt idx="2">
                  <c:v>7396.5799836370034</c:v>
                </c:pt>
                <c:pt idx="3">
                  <c:v>13433.209992777003</c:v>
                </c:pt>
              </c:numCache>
            </c:numRef>
          </c:val>
          <c:extLst>
            <c:ext xmlns:c16="http://schemas.microsoft.com/office/drawing/2014/chart" uri="{C3380CC4-5D6E-409C-BE32-E72D297353CC}">
              <c16:uniqueId val="{00000000-46B3-431C-BF83-2D42F0443E05}"/>
            </c:ext>
          </c:extLst>
        </c:ser>
        <c:ser>
          <c:idx val="1"/>
          <c:order val="1"/>
          <c:tx>
            <c:strRef>
              <c:f>Pivot_for_Dashborad!$K$9:$K$10</c:f>
              <c:strCache>
                <c:ptCount val="1"/>
                <c:pt idx="0">
                  <c:v>M</c:v>
                </c:pt>
              </c:strCache>
            </c:strRef>
          </c:tx>
          <c:spPr>
            <a:solidFill>
              <a:schemeClr val="accent2"/>
            </a:solidFill>
            <a:ln>
              <a:noFill/>
            </a:ln>
            <a:effectLst/>
          </c:spPr>
          <c:invertIfNegative val="0"/>
          <c:cat>
            <c:strRef>
              <c:f>Pivot_for_Dashborad!$I$11:$I$14</c:f>
              <c:strCache>
                <c:ptCount val="4"/>
                <c:pt idx="0">
                  <c:v>30-34</c:v>
                </c:pt>
                <c:pt idx="1">
                  <c:v>35-39</c:v>
                </c:pt>
                <c:pt idx="2">
                  <c:v>40-44</c:v>
                </c:pt>
                <c:pt idx="3">
                  <c:v>45-49</c:v>
                </c:pt>
              </c:strCache>
            </c:strRef>
          </c:cat>
          <c:val>
            <c:numRef>
              <c:f>Pivot_for_Dashborad!$K$11:$K$14</c:f>
              <c:numCache>
                <c:formatCode>[$$-409]#,##0.00</c:formatCode>
                <c:ptCount val="4"/>
                <c:pt idx="0">
                  <c:v>7640.9199912509966</c:v>
                </c:pt>
                <c:pt idx="1">
                  <c:v>5051.0800025079998</c:v>
                </c:pt>
                <c:pt idx="2">
                  <c:v>4193.1499972009997</c:v>
                </c:pt>
                <c:pt idx="3">
                  <c:v>7317.4600038770013</c:v>
                </c:pt>
              </c:numCache>
            </c:numRef>
          </c:val>
          <c:extLst>
            <c:ext xmlns:c16="http://schemas.microsoft.com/office/drawing/2014/chart" uri="{C3380CC4-5D6E-409C-BE32-E72D297353CC}">
              <c16:uniqueId val="{00000002-BB54-4411-9EFA-B5659FBFD0A5}"/>
            </c:ext>
          </c:extLst>
        </c:ser>
        <c:dLbls>
          <c:showLegendKey val="0"/>
          <c:showVal val="0"/>
          <c:showCatName val="0"/>
          <c:showSerName val="0"/>
          <c:showPercent val="0"/>
          <c:showBubbleSize val="0"/>
        </c:dLbls>
        <c:gapWidth val="147"/>
        <c:overlap val="100"/>
        <c:axId val="61691279"/>
        <c:axId val="61692719"/>
      </c:barChart>
      <c:catAx>
        <c:axId val="61691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692719"/>
        <c:crosses val="autoZero"/>
        <c:auto val="1"/>
        <c:lblAlgn val="ctr"/>
        <c:lblOffset val="100"/>
        <c:noMultiLvlLbl val="0"/>
      </c:catAx>
      <c:valAx>
        <c:axId val="61692719"/>
        <c:scaling>
          <c:orientation val="minMax"/>
        </c:scaling>
        <c:delete val="1"/>
        <c:axPos val="l"/>
        <c:majorGridlines>
          <c:spPr>
            <a:ln w="9525" cap="flat" cmpd="sng" algn="ctr">
              <a:noFill/>
              <a:round/>
            </a:ln>
            <a:effectLst/>
          </c:spPr>
        </c:majorGridlines>
        <c:numFmt formatCode="[$$-409]#,##0.00" sourceLinked="1"/>
        <c:majorTickMark val="out"/>
        <c:minorTickMark val="none"/>
        <c:tickLblPos val="nextTo"/>
        <c:crossAx val="61691279"/>
        <c:crosses val="autoZero"/>
        <c:crossBetween val="between"/>
      </c:valAx>
      <c:spPr>
        <a:noFill/>
        <a:ln>
          <a:noFill/>
        </a:ln>
        <a:effectLst/>
      </c:spPr>
    </c:plotArea>
    <c:legend>
      <c:legendPos val="b"/>
      <c:layout>
        <c:manualLayout>
          <c:xMode val="edge"/>
          <c:yMode val="edge"/>
          <c:x val="0.35901524392105827"/>
          <c:y val="0.8497272334629058"/>
          <c:w val="0.2800733591426674"/>
          <c:h val="0.1323538675312644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[Vivek_Analysis_Sheet.xlsx]Pivot_for_Dashborad!PivotTable3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64340399036821E-2"/>
          <c:y val="0.15151515151515152"/>
          <c:w val="0.85207131920192636"/>
          <c:h val="0.51958429438744402"/>
        </c:manualLayout>
      </c:layout>
      <c:barChart>
        <c:barDir val="col"/>
        <c:grouping val="stacked"/>
        <c:varyColors val="0"/>
        <c:ser>
          <c:idx val="0"/>
          <c:order val="0"/>
          <c:tx>
            <c:strRef>
              <c:f>Pivot_for_Dashborad!$O$9:$O$10</c:f>
              <c:strCache>
                <c:ptCount val="1"/>
                <c:pt idx="0">
                  <c:v>F</c:v>
                </c:pt>
              </c:strCache>
            </c:strRef>
          </c:tx>
          <c:spPr>
            <a:solidFill>
              <a:schemeClr val="accent1"/>
            </a:solidFill>
            <a:ln>
              <a:noFill/>
            </a:ln>
            <a:effectLst/>
          </c:spPr>
          <c:invertIfNegative val="0"/>
          <c:cat>
            <c:strRef>
              <c:f>Pivot_for_Dashborad!$N$11:$N$14</c:f>
              <c:strCache>
                <c:ptCount val="4"/>
                <c:pt idx="0">
                  <c:v>30-34</c:v>
                </c:pt>
                <c:pt idx="1">
                  <c:v>35-39</c:v>
                </c:pt>
                <c:pt idx="2">
                  <c:v>40-44</c:v>
                </c:pt>
                <c:pt idx="3">
                  <c:v>45-49</c:v>
                </c:pt>
              </c:strCache>
            </c:strRef>
          </c:cat>
          <c:val>
            <c:numRef>
              <c:f>Pivot_for_Dashborad!$O$11:$O$14</c:f>
              <c:numCache>
                <c:formatCode>0.00</c:formatCode>
                <c:ptCount val="4"/>
                <c:pt idx="0">
                  <c:v>28.666138310643763</c:v>
                </c:pt>
                <c:pt idx="1">
                  <c:v>48.329580314293118</c:v>
                </c:pt>
                <c:pt idx="2">
                  <c:v>57.772754610429899</c:v>
                </c:pt>
                <c:pt idx="3">
                  <c:v>77.977790311848949</c:v>
                </c:pt>
              </c:numCache>
            </c:numRef>
          </c:val>
          <c:extLst>
            <c:ext xmlns:c16="http://schemas.microsoft.com/office/drawing/2014/chart" uri="{C3380CC4-5D6E-409C-BE32-E72D297353CC}">
              <c16:uniqueId val="{00000000-C3AF-470F-B4CA-436A49EB02DF}"/>
            </c:ext>
          </c:extLst>
        </c:ser>
        <c:ser>
          <c:idx val="1"/>
          <c:order val="1"/>
          <c:tx>
            <c:strRef>
              <c:f>Pivot_for_Dashborad!$P$9:$P$10</c:f>
              <c:strCache>
                <c:ptCount val="1"/>
                <c:pt idx="0">
                  <c:v>M</c:v>
                </c:pt>
              </c:strCache>
            </c:strRef>
          </c:tx>
          <c:spPr>
            <a:solidFill>
              <a:schemeClr val="accent2"/>
            </a:solidFill>
            <a:ln>
              <a:noFill/>
            </a:ln>
            <a:effectLst/>
          </c:spPr>
          <c:invertIfNegative val="0"/>
          <c:cat>
            <c:strRef>
              <c:f>Pivot_for_Dashborad!$N$11:$N$14</c:f>
              <c:strCache>
                <c:ptCount val="4"/>
                <c:pt idx="0">
                  <c:v>30-34</c:v>
                </c:pt>
                <c:pt idx="1">
                  <c:v>35-39</c:v>
                </c:pt>
                <c:pt idx="2">
                  <c:v>40-44</c:v>
                </c:pt>
                <c:pt idx="3">
                  <c:v>45-49</c:v>
                </c:pt>
              </c:strCache>
            </c:strRef>
          </c:cat>
          <c:val>
            <c:numRef>
              <c:f>Pivot_for_Dashborad!$P$11:$P$14</c:f>
              <c:numCache>
                <c:formatCode>0.00</c:formatCode>
                <c:ptCount val="4"/>
                <c:pt idx="0">
                  <c:v>18.407338244006937</c:v>
                </c:pt>
                <c:pt idx="1">
                  <c:v>34.297793384314545</c:v>
                </c:pt>
                <c:pt idx="2">
                  <c:v>37.904096059615838</c:v>
                </c:pt>
                <c:pt idx="3">
                  <c:v>56.183381721819387</c:v>
                </c:pt>
              </c:numCache>
            </c:numRef>
          </c:val>
          <c:extLst>
            <c:ext xmlns:c16="http://schemas.microsoft.com/office/drawing/2014/chart" uri="{C3380CC4-5D6E-409C-BE32-E72D297353CC}">
              <c16:uniqueId val="{00000002-E217-4ABE-8CA6-C9BE4A016DBD}"/>
            </c:ext>
          </c:extLst>
        </c:ser>
        <c:dLbls>
          <c:showLegendKey val="0"/>
          <c:showVal val="0"/>
          <c:showCatName val="0"/>
          <c:showSerName val="0"/>
          <c:showPercent val="0"/>
          <c:showBubbleSize val="0"/>
        </c:dLbls>
        <c:gapWidth val="150"/>
        <c:overlap val="100"/>
        <c:axId val="61684079"/>
        <c:axId val="61684559"/>
      </c:barChart>
      <c:catAx>
        <c:axId val="6168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684559"/>
        <c:crosses val="autoZero"/>
        <c:auto val="1"/>
        <c:lblAlgn val="ctr"/>
        <c:lblOffset val="100"/>
        <c:noMultiLvlLbl val="0"/>
      </c:catAx>
      <c:valAx>
        <c:axId val="61684559"/>
        <c:scaling>
          <c:orientation val="minMax"/>
        </c:scaling>
        <c:delete val="1"/>
        <c:axPos val="l"/>
        <c:numFmt formatCode="0.00" sourceLinked="1"/>
        <c:majorTickMark val="none"/>
        <c:minorTickMark val="none"/>
        <c:tickLblPos val="nextTo"/>
        <c:crossAx val="61684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[Vivek_Analysis_Sheet.xlsx]Pivot_for_Dashborad!PivotTable4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Pivot_for_Dashborad!$T$9:$T$10</c:f>
              <c:strCache>
                <c:ptCount val="1"/>
                <c:pt idx="0">
                  <c:v>F</c:v>
                </c:pt>
              </c:strCache>
            </c:strRef>
          </c:tx>
          <c:spPr>
            <a:solidFill>
              <a:schemeClr val="accent1"/>
            </a:solidFill>
            <a:ln>
              <a:noFill/>
            </a:ln>
            <a:effectLst/>
          </c:spPr>
          <c:invertIfNegative val="0"/>
          <c:cat>
            <c:strRef>
              <c:f>Pivot_for_Dashborad!$S$11:$S$14</c:f>
              <c:strCache>
                <c:ptCount val="4"/>
                <c:pt idx="0">
                  <c:v>30-34</c:v>
                </c:pt>
                <c:pt idx="1">
                  <c:v>35-39</c:v>
                </c:pt>
                <c:pt idx="2">
                  <c:v>40-44</c:v>
                </c:pt>
                <c:pt idx="3">
                  <c:v>45-49</c:v>
                </c:pt>
              </c:strCache>
            </c:strRef>
          </c:cat>
          <c:val>
            <c:numRef>
              <c:f>Pivot_for_Dashborad!$T$11:$T$14</c:f>
              <c:numCache>
                <c:formatCode>0.00%</c:formatCode>
                <c:ptCount val="4"/>
                <c:pt idx="0">
                  <c:v>1.3546992128639151E-4</c:v>
                </c:pt>
                <c:pt idx="1">
                  <c:v>1.9272737685131579E-4</c:v>
                </c:pt>
                <c:pt idx="2">
                  <c:v>2.2103098258456709E-4</c:v>
                </c:pt>
                <c:pt idx="3">
                  <c:v>2.5720296409790708E-4</c:v>
                </c:pt>
              </c:numCache>
            </c:numRef>
          </c:val>
          <c:extLst>
            <c:ext xmlns:c16="http://schemas.microsoft.com/office/drawing/2014/chart" uri="{C3380CC4-5D6E-409C-BE32-E72D297353CC}">
              <c16:uniqueId val="{00000000-DF80-4BCD-9EF8-29345CAF1BC9}"/>
            </c:ext>
          </c:extLst>
        </c:ser>
        <c:ser>
          <c:idx val="1"/>
          <c:order val="1"/>
          <c:tx>
            <c:strRef>
              <c:f>Pivot_for_Dashborad!$U$9:$U$10</c:f>
              <c:strCache>
                <c:ptCount val="1"/>
                <c:pt idx="0">
                  <c:v>M</c:v>
                </c:pt>
              </c:strCache>
            </c:strRef>
          </c:tx>
          <c:spPr>
            <a:solidFill>
              <a:schemeClr val="accent2"/>
            </a:solidFill>
            <a:ln>
              <a:noFill/>
            </a:ln>
            <a:effectLst/>
          </c:spPr>
          <c:invertIfNegative val="0"/>
          <c:cat>
            <c:strRef>
              <c:f>Pivot_for_Dashborad!$S$11:$S$14</c:f>
              <c:strCache>
                <c:ptCount val="4"/>
                <c:pt idx="0">
                  <c:v>30-34</c:v>
                </c:pt>
                <c:pt idx="1">
                  <c:v>35-39</c:v>
                </c:pt>
                <c:pt idx="2">
                  <c:v>40-44</c:v>
                </c:pt>
                <c:pt idx="3">
                  <c:v>45-49</c:v>
                </c:pt>
              </c:strCache>
            </c:strRef>
          </c:cat>
          <c:val>
            <c:numRef>
              <c:f>Pivot_for_Dashborad!$U$11:$U$14</c:f>
              <c:numCache>
                <c:formatCode>0.00%</c:formatCode>
                <c:ptCount val="4"/>
                <c:pt idx="0">
                  <c:v>9.9688828380225077E-5</c:v>
                </c:pt>
                <c:pt idx="1">
                  <c:v>1.3890171969043225E-4</c:v>
                </c:pt>
                <c:pt idx="2">
                  <c:v>1.7905408988614553E-4</c:v>
                </c:pt>
                <c:pt idx="3">
                  <c:v>1.6742982050374058E-4</c:v>
                </c:pt>
              </c:numCache>
            </c:numRef>
          </c:val>
          <c:extLst>
            <c:ext xmlns:c16="http://schemas.microsoft.com/office/drawing/2014/chart" uri="{C3380CC4-5D6E-409C-BE32-E72D297353CC}">
              <c16:uniqueId val="{00000002-4293-47E0-A283-BC8C7EAE44FB}"/>
            </c:ext>
          </c:extLst>
        </c:ser>
        <c:dLbls>
          <c:showLegendKey val="0"/>
          <c:showVal val="0"/>
          <c:showCatName val="0"/>
          <c:showSerName val="0"/>
          <c:showPercent val="0"/>
          <c:showBubbleSize val="0"/>
        </c:dLbls>
        <c:gapWidth val="150"/>
        <c:overlap val="100"/>
        <c:axId val="61694639"/>
        <c:axId val="61698959"/>
      </c:barChart>
      <c:catAx>
        <c:axId val="6169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698959"/>
        <c:crosses val="autoZero"/>
        <c:auto val="1"/>
        <c:lblAlgn val="ctr"/>
        <c:lblOffset val="100"/>
        <c:noMultiLvlLbl val="0"/>
      </c:catAx>
      <c:valAx>
        <c:axId val="61698959"/>
        <c:scaling>
          <c:orientation val="minMax"/>
        </c:scaling>
        <c:delete val="1"/>
        <c:axPos val="l"/>
        <c:numFmt formatCode="0.00%" sourceLinked="1"/>
        <c:majorTickMark val="none"/>
        <c:minorTickMark val="none"/>
        <c:tickLblPos val="nextTo"/>
        <c:crossAx val="61694639"/>
        <c:crosses val="autoZero"/>
        <c:crossBetween val="between"/>
      </c:valAx>
      <c:spPr>
        <a:noFill/>
        <a:ln>
          <a:noFill/>
        </a:ln>
        <a:effectLst/>
      </c:spPr>
    </c:plotArea>
    <c:legend>
      <c:legendPos val="b"/>
      <c:layout>
        <c:manualLayout>
          <c:xMode val="edge"/>
          <c:yMode val="edge"/>
          <c:x val="0.38298749772931984"/>
          <c:y val="0.76629676012815151"/>
          <c:w val="0.21477120347291095"/>
          <c:h val="0.134190056559010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[Vivek_Analysis_Sheet.xlsx]Pivot_for_Dashborad!PivotTable11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Pivot_for_Dashborad!$AH$9</c:f>
              <c:strCache>
                <c:ptCount val="1"/>
                <c:pt idx="0">
                  <c:v>Average of CPA</c:v>
                </c:pt>
              </c:strCache>
            </c:strRef>
          </c:tx>
          <c:spPr>
            <a:solidFill>
              <a:schemeClr val="accent1"/>
            </a:solidFill>
            <a:ln>
              <a:noFill/>
            </a:ln>
            <a:effectLst/>
          </c:spPr>
          <c:invertIfNegative val="0"/>
          <c:cat>
            <c:strRef>
              <c:f>Pivot_for_Dashborad!$AG$10:$AG$12</c:f>
              <c:strCache>
                <c:ptCount val="3"/>
                <c:pt idx="0">
                  <c:v>916</c:v>
                </c:pt>
                <c:pt idx="1">
                  <c:v>936</c:v>
                </c:pt>
                <c:pt idx="2">
                  <c:v>1178</c:v>
                </c:pt>
              </c:strCache>
            </c:strRef>
          </c:cat>
          <c:val>
            <c:numRef>
              <c:f>Pivot_for_Dashborad!$AH$10:$AH$12</c:f>
              <c:numCache>
                <c:formatCode>0.00</c:formatCode>
                <c:ptCount val="3"/>
                <c:pt idx="0">
                  <c:v>3.1416666704166669</c:v>
                </c:pt>
                <c:pt idx="1">
                  <c:v>5.4961821641250053</c:v>
                </c:pt>
                <c:pt idx="2">
                  <c:v>58.407481223316765</c:v>
                </c:pt>
              </c:numCache>
            </c:numRef>
          </c:val>
          <c:extLst>
            <c:ext xmlns:c16="http://schemas.microsoft.com/office/drawing/2014/chart" uri="{C3380CC4-5D6E-409C-BE32-E72D297353CC}">
              <c16:uniqueId val="{00000000-2119-4E09-84F6-1485B0EFA6AF}"/>
            </c:ext>
          </c:extLst>
        </c:ser>
        <c:dLbls>
          <c:showLegendKey val="0"/>
          <c:showVal val="0"/>
          <c:showCatName val="0"/>
          <c:showSerName val="0"/>
          <c:showPercent val="0"/>
          <c:showBubbleSize val="0"/>
        </c:dLbls>
        <c:gapWidth val="219"/>
        <c:overlap val="-27"/>
        <c:axId val="59715055"/>
        <c:axId val="59706415"/>
      </c:barChart>
      <c:lineChart>
        <c:grouping val="standard"/>
        <c:varyColors val="0"/>
        <c:ser>
          <c:idx val="1"/>
          <c:order val="1"/>
          <c:tx>
            <c:strRef>
              <c:f>Pivot_for_Dashborad!$AI$9</c:f>
              <c:strCache>
                <c:ptCount val="1"/>
                <c:pt idx="0">
                  <c:v>Average of CTR</c:v>
                </c:pt>
              </c:strCache>
            </c:strRef>
          </c:tx>
          <c:spPr>
            <a:ln w="28575" cap="rnd">
              <a:solidFill>
                <a:schemeClr val="accent2"/>
              </a:solidFill>
              <a:round/>
            </a:ln>
            <a:effectLst/>
          </c:spPr>
          <c:marker>
            <c:symbol val="none"/>
          </c:marker>
          <c:cat>
            <c:strRef>
              <c:f>Pivot_for_Dashborad!$AG$10:$AG$12</c:f>
              <c:strCache>
                <c:ptCount val="3"/>
                <c:pt idx="0">
                  <c:v>916</c:v>
                </c:pt>
                <c:pt idx="1">
                  <c:v>936</c:v>
                </c:pt>
                <c:pt idx="2">
                  <c:v>1178</c:v>
                </c:pt>
              </c:strCache>
            </c:strRef>
          </c:cat>
          <c:val>
            <c:numRef>
              <c:f>Pivot_for_Dashborad!$AI$10:$AI$12</c:f>
              <c:numCache>
                <c:formatCode>0.0000%</c:formatCode>
                <c:ptCount val="3"/>
                <c:pt idx="0">
                  <c:v>1.8014713698909525E-4</c:v>
                </c:pt>
                <c:pt idx="1">
                  <c:v>1.6501501497368382E-4</c:v>
                </c:pt>
                <c:pt idx="2">
                  <c:v>1.6221108909174263E-4</c:v>
                </c:pt>
              </c:numCache>
            </c:numRef>
          </c:val>
          <c:smooth val="0"/>
          <c:extLst>
            <c:ext xmlns:c16="http://schemas.microsoft.com/office/drawing/2014/chart" uri="{C3380CC4-5D6E-409C-BE32-E72D297353CC}">
              <c16:uniqueId val="{00000001-2119-4E09-84F6-1485B0EFA6AF}"/>
            </c:ext>
          </c:extLst>
        </c:ser>
        <c:dLbls>
          <c:showLegendKey val="0"/>
          <c:showVal val="0"/>
          <c:showCatName val="0"/>
          <c:showSerName val="0"/>
          <c:showPercent val="0"/>
          <c:showBubbleSize val="0"/>
        </c:dLbls>
        <c:marker val="1"/>
        <c:smooth val="0"/>
        <c:axId val="59723215"/>
        <c:axId val="59722255"/>
      </c:lineChart>
      <c:catAx>
        <c:axId val="5971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06415"/>
        <c:crosses val="autoZero"/>
        <c:auto val="1"/>
        <c:lblAlgn val="ctr"/>
        <c:lblOffset val="100"/>
        <c:noMultiLvlLbl val="0"/>
      </c:catAx>
      <c:valAx>
        <c:axId val="59706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9715055"/>
        <c:crosses val="autoZero"/>
        <c:crossBetween val="between"/>
      </c:valAx>
      <c:valAx>
        <c:axId val="59722255"/>
        <c:scaling>
          <c:orientation val="minMax"/>
        </c:scaling>
        <c:delete val="0"/>
        <c:axPos val="r"/>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9723215"/>
        <c:crosses val="max"/>
        <c:crossBetween val="between"/>
      </c:valAx>
      <c:catAx>
        <c:axId val="59723215"/>
        <c:scaling>
          <c:orientation val="minMax"/>
        </c:scaling>
        <c:delete val="1"/>
        <c:axPos val="b"/>
        <c:numFmt formatCode="General" sourceLinked="1"/>
        <c:majorTickMark val="out"/>
        <c:minorTickMark val="none"/>
        <c:tickLblPos val="nextTo"/>
        <c:crossAx val="597222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84003102243289"/>
          <c:y val="4.7520632810190616E-2"/>
          <c:w val="0.69224640577738195"/>
          <c:h val="0.71802678367635087"/>
        </c:manualLayout>
      </c:layout>
      <c:scatterChart>
        <c:scatterStyle val="lineMarker"/>
        <c:varyColors val="0"/>
        <c:ser>
          <c:idx val="0"/>
          <c:order val="0"/>
          <c:tx>
            <c:strRef>
              <c:f>Pivot_for_Dashborad!$AP$9</c:f>
              <c:strCache>
                <c:ptCount val="1"/>
                <c:pt idx="0">
                  <c:v>Approved Conversions</c:v>
                </c:pt>
              </c:strCache>
            </c:strRef>
          </c:tx>
          <c:spPr>
            <a:ln w="38100" cap="rnd">
              <a:noFill/>
              <a:round/>
            </a:ln>
            <a:effectLst/>
          </c:spPr>
          <c:marker>
            <c:symbol val="circle"/>
            <c:size val="5"/>
            <c:spPr>
              <a:solidFill>
                <a:schemeClr val="accent1"/>
              </a:solidFill>
              <a:ln w="9525">
                <a:solidFill>
                  <a:schemeClr val="accent1"/>
                </a:solidFill>
              </a:ln>
              <a:effectLst/>
            </c:spPr>
          </c:marker>
          <c:xVal>
            <c:numRef>
              <c:f>Pivot_for_Dashborad!$AO$10:$AO$878</c:f>
              <c:numCache>
                <c:formatCode>[$$-409]#,##0.00</c:formatCode>
                <c:ptCount val="869"/>
                <c:pt idx="0">
                  <c:v>0</c:v>
                </c:pt>
                <c:pt idx="1">
                  <c:v>0.18000000699999999</c:v>
                </c:pt>
                <c:pt idx="2">
                  <c:v>0.23999999499999999</c:v>
                </c:pt>
                <c:pt idx="3">
                  <c:v>0.40999999599999998</c:v>
                </c:pt>
                <c:pt idx="4">
                  <c:v>0.49000000999999999</c:v>
                </c:pt>
                <c:pt idx="5">
                  <c:v>0.52999997099999996</c:v>
                </c:pt>
                <c:pt idx="6">
                  <c:v>0.540000021</c:v>
                </c:pt>
                <c:pt idx="7">
                  <c:v>0.56999999300000004</c:v>
                </c:pt>
                <c:pt idx="8">
                  <c:v>0.60000002399999997</c:v>
                </c:pt>
                <c:pt idx="9">
                  <c:v>0.72000002900000004</c:v>
                </c:pt>
                <c:pt idx="10">
                  <c:v>0.86000001400000003</c:v>
                </c:pt>
                <c:pt idx="11">
                  <c:v>0.88999998599999997</c:v>
                </c:pt>
                <c:pt idx="12">
                  <c:v>0.94999998799999996</c:v>
                </c:pt>
                <c:pt idx="13">
                  <c:v>0.959999979</c:v>
                </c:pt>
                <c:pt idx="14">
                  <c:v>0.97000002900000004</c:v>
                </c:pt>
                <c:pt idx="15">
                  <c:v>0.980000019</c:v>
                </c:pt>
                <c:pt idx="16">
                  <c:v>0.99000001000000004</c:v>
                </c:pt>
                <c:pt idx="17">
                  <c:v>1.0299999710000001</c:v>
                </c:pt>
                <c:pt idx="18">
                  <c:v>1.039999962</c:v>
                </c:pt>
                <c:pt idx="19">
                  <c:v>1.0499999520000001</c:v>
                </c:pt>
                <c:pt idx="20">
                  <c:v>1.0700000519999999</c:v>
                </c:pt>
                <c:pt idx="21">
                  <c:v>1.0900000329999999</c:v>
                </c:pt>
                <c:pt idx="22">
                  <c:v>1.1100000139999999</c:v>
                </c:pt>
                <c:pt idx="23">
                  <c:v>1.1299999949999999</c:v>
                </c:pt>
                <c:pt idx="24">
                  <c:v>1.1499999759999999</c:v>
                </c:pt>
                <c:pt idx="25">
                  <c:v>1.1799999480000001</c:v>
                </c:pt>
                <c:pt idx="26">
                  <c:v>1.190000057</c:v>
                </c:pt>
                <c:pt idx="27">
                  <c:v>1.210000038</c:v>
                </c:pt>
                <c:pt idx="28">
                  <c:v>1.2200000289999999</c:v>
                </c:pt>
                <c:pt idx="29">
                  <c:v>1.230000019</c:v>
                </c:pt>
                <c:pt idx="30">
                  <c:v>1.25</c:v>
                </c:pt>
                <c:pt idx="31">
                  <c:v>1.2599999900000001</c:v>
                </c:pt>
                <c:pt idx="32">
                  <c:v>1.269999981</c:v>
                </c:pt>
                <c:pt idx="33">
                  <c:v>1.2799999710000001</c:v>
                </c:pt>
                <c:pt idx="34">
                  <c:v>1.289999962</c:v>
                </c:pt>
                <c:pt idx="35">
                  <c:v>1.309999943</c:v>
                </c:pt>
                <c:pt idx="36">
                  <c:v>1.3200000519999999</c:v>
                </c:pt>
                <c:pt idx="37">
                  <c:v>1.3300000430000001</c:v>
                </c:pt>
                <c:pt idx="38">
                  <c:v>1.3400000329999999</c:v>
                </c:pt>
                <c:pt idx="39">
                  <c:v>1.3500000240000001</c:v>
                </c:pt>
                <c:pt idx="40">
                  <c:v>1.3600000139999999</c:v>
                </c:pt>
                <c:pt idx="41">
                  <c:v>1.3700000050000001</c:v>
                </c:pt>
                <c:pt idx="42">
                  <c:v>1.3799999949999999</c:v>
                </c:pt>
                <c:pt idx="43">
                  <c:v>1.3899999860000001</c:v>
                </c:pt>
                <c:pt idx="44">
                  <c:v>1.4099999670000001</c:v>
                </c:pt>
                <c:pt idx="45">
                  <c:v>1.4199999569999999</c:v>
                </c:pt>
                <c:pt idx="46">
                  <c:v>1.4299999480000001</c:v>
                </c:pt>
                <c:pt idx="47">
                  <c:v>1.440000057</c:v>
                </c:pt>
                <c:pt idx="48">
                  <c:v>1.4500000479999999</c:v>
                </c:pt>
                <c:pt idx="49">
                  <c:v>1.460000038</c:v>
                </c:pt>
                <c:pt idx="50">
                  <c:v>1.4700000289999999</c:v>
                </c:pt>
                <c:pt idx="51">
                  <c:v>1.480000019</c:v>
                </c:pt>
                <c:pt idx="52">
                  <c:v>1.480000049</c:v>
                </c:pt>
                <c:pt idx="53">
                  <c:v>1.4900000099999999</c:v>
                </c:pt>
                <c:pt idx="54">
                  <c:v>1.5</c:v>
                </c:pt>
                <c:pt idx="55">
                  <c:v>1.5099999900000001</c:v>
                </c:pt>
                <c:pt idx="56">
                  <c:v>1.519999981</c:v>
                </c:pt>
                <c:pt idx="57">
                  <c:v>1.5299999710000001</c:v>
                </c:pt>
                <c:pt idx="58">
                  <c:v>1.539999962</c:v>
                </c:pt>
                <c:pt idx="59">
                  <c:v>1.5499999520000001</c:v>
                </c:pt>
                <c:pt idx="60">
                  <c:v>1.559999943</c:v>
                </c:pt>
                <c:pt idx="61">
                  <c:v>1.5700000519999999</c:v>
                </c:pt>
                <c:pt idx="62">
                  <c:v>1.5800000430000001</c:v>
                </c:pt>
                <c:pt idx="63">
                  <c:v>1.5900000329999999</c:v>
                </c:pt>
                <c:pt idx="64">
                  <c:v>1.6000000240000001</c:v>
                </c:pt>
                <c:pt idx="65">
                  <c:v>1.6100000139999999</c:v>
                </c:pt>
                <c:pt idx="66">
                  <c:v>1.6399999860000001</c:v>
                </c:pt>
                <c:pt idx="67">
                  <c:v>1.6599999670000001</c:v>
                </c:pt>
                <c:pt idx="68">
                  <c:v>1.6799999480000001</c:v>
                </c:pt>
                <c:pt idx="69">
                  <c:v>1.690000057</c:v>
                </c:pt>
                <c:pt idx="70">
                  <c:v>1.710000038</c:v>
                </c:pt>
                <c:pt idx="71">
                  <c:v>1.730000019</c:v>
                </c:pt>
                <c:pt idx="72">
                  <c:v>1.809999943</c:v>
                </c:pt>
                <c:pt idx="73">
                  <c:v>1.820000023</c:v>
                </c:pt>
                <c:pt idx="74">
                  <c:v>1.8200000519999999</c:v>
                </c:pt>
                <c:pt idx="75">
                  <c:v>1.8300000430000001</c:v>
                </c:pt>
                <c:pt idx="76">
                  <c:v>1.960000038</c:v>
                </c:pt>
                <c:pt idx="77">
                  <c:v>2.0999999049999998</c:v>
                </c:pt>
                <c:pt idx="78">
                  <c:v>2.2699999809999998</c:v>
                </c:pt>
                <c:pt idx="79">
                  <c:v>2.290000021</c:v>
                </c:pt>
                <c:pt idx="80">
                  <c:v>2.3200000520000001</c:v>
                </c:pt>
                <c:pt idx="81">
                  <c:v>2.3499999640000002</c:v>
                </c:pt>
                <c:pt idx="82">
                  <c:v>2.3599998950000001</c:v>
                </c:pt>
                <c:pt idx="83">
                  <c:v>2.369999886</c:v>
                </c:pt>
                <c:pt idx="84">
                  <c:v>2.420000076</c:v>
                </c:pt>
                <c:pt idx="85">
                  <c:v>2.6099998950000001</c:v>
                </c:pt>
                <c:pt idx="86">
                  <c:v>2.619999886</c:v>
                </c:pt>
                <c:pt idx="87">
                  <c:v>2.619999945</c:v>
                </c:pt>
                <c:pt idx="88">
                  <c:v>2.6200000050000001</c:v>
                </c:pt>
                <c:pt idx="89">
                  <c:v>2.6299999949999999</c:v>
                </c:pt>
                <c:pt idx="90">
                  <c:v>2.6500000950000002</c:v>
                </c:pt>
                <c:pt idx="91">
                  <c:v>2.6699999569999999</c:v>
                </c:pt>
                <c:pt idx="92">
                  <c:v>2.6800000669999999</c:v>
                </c:pt>
                <c:pt idx="93">
                  <c:v>2.6900000569999998</c:v>
                </c:pt>
                <c:pt idx="94">
                  <c:v>2.7200000289999999</c:v>
                </c:pt>
                <c:pt idx="95">
                  <c:v>2.7300000190000002</c:v>
                </c:pt>
                <c:pt idx="96">
                  <c:v>2.75</c:v>
                </c:pt>
                <c:pt idx="97">
                  <c:v>2.7799999710000001</c:v>
                </c:pt>
                <c:pt idx="98">
                  <c:v>2.7999999519999998</c:v>
                </c:pt>
                <c:pt idx="99">
                  <c:v>2.8099999430000002</c:v>
                </c:pt>
                <c:pt idx="100">
                  <c:v>2.8399999139999998</c:v>
                </c:pt>
                <c:pt idx="101">
                  <c:v>2.869999945</c:v>
                </c:pt>
                <c:pt idx="102">
                  <c:v>2.8900001049999999</c:v>
                </c:pt>
                <c:pt idx="103">
                  <c:v>2.9000000950000002</c:v>
                </c:pt>
                <c:pt idx="104">
                  <c:v>2.9399999380000001</c:v>
                </c:pt>
                <c:pt idx="105">
                  <c:v>2.9500000480000002</c:v>
                </c:pt>
                <c:pt idx="106">
                  <c:v>2.960000038</c:v>
                </c:pt>
                <c:pt idx="107">
                  <c:v>2.9800000190000002</c:v>
                </c:pt>
                <c:pt idx="108">
                  <c:v>3.0099999899999998</c:v>
                </c:pt>
                <c:pt idx="109">
                  <c:v>3.0499999519999998</c:v>
                </c:pt>
                <c:pt idx="110">
                  <c:v>3.0599999430000002</c:v>
                </c:pt>
                <c:pt idx="111">
                  <c:v>3.0899999139999998</c:v>
                </c:pt>
                <c:pt idx="112">
                  <c:v>3.0900000329999999</c:v>
                </c:pt>
                <c:pt idx="113">
                  <c:v>3.1400001049999999</c:v>
                </c:pt>
                <c:pt idx="114">
                  <c:v>3.1499999760000001</c:v>
                </c:pt>
                <c:pt idx="115">
                  <c:v>3.1500000950000002</c:v>
                </c:pt>
                <c:pt idx="116">
                  <c:v>3.1599999670000001</c:v>
                </c:pt>
                <c:pt idx="117">
                  <c:v>3.1800000669999999</c:v>
                </c:pt>
                <c:pt idx="118">
                  <c:v>3.1899999380000001</c:v>
                </c:pt>
                <c:pt idx="119">
                  <c:v>3.1900000569999998</c:v>
                </c:pt>
                <c:pt idx="120">
                  <c:v>3.199999928</c:v>
                </c:pt>
                <c:pt idx="121">
                  <c:v>3.2000000480000002</c:v>
                </c:pt>
                <c:pt idx="122">
                  <c:v>3.210000038</c:v>
                </c:pt>
                <c:pt idx="123">
                  <c:v>3.2400000100000002</c:v>
                </c:pt>
                <c:pt idx="124">
                  <c:v>3.25</c:v>
                </c:pt>
                <c:pt idx="125">
                  <c:v>3.3100000619999999</c:v>
                </c:pt>
                <c:pt idx="126">
                  <c:v>3.3199999330000001</c:v>
                </c:pt>
                <c:pt idx="127">
                  <c:v>3.340000093</c:v>
                </c:pt>
                <c:pt idx="128">
                  <c:v>3.4000000950000002</c:v>
                </c:pt>
                <c:pt idx="129">
                  <c:v>3.579999924</c:v>
                </c:pt>
                <c:pt idx="130">
                  <c:v>3.5999999049999998</c:v>
                </c:pt>
                <c:pt idx="131">
                  <c:v>3.7099999189999999</c:v>
                </c:pt>
                <c:pt idx="132">
                  <c:v>3.7200000289999999</c:v>
                </c:pt>
                <c:pt idx="133">
                  <c:v>3.7499998809999999</c:v>
                </c:pt>
                <c:pt idx="134">
                  <c:v>3.75</c:v>
                </c:pt>
                <c:pt idx="135">
                  <c:v>3.7699999809999998</c:v>
                </c:pt>
                <c:pt idx="136">
                  <c:v>3.800000072</c:v>
                </c:pt>
                <c:pt idx="137">
                  <c:v>3.8199999330000001</c:v>
                </c:pt>
                <c:pt idx="138">
                  <c:v>3.829999924</c:v>
                </c:pt>
                <c:pt idx="139">
                  <c:v>3.8400000329999999</c:v>
                </c:pt>
                <c:pt idx="140">
                  <c:v>3.9199999569999999</c:v>
                </c:pt>
                <c:pt idx="141">
                  <c:v>3.9500000480000002</c:v>
                </c:pt>
                <c:pt idx="142">
                  <c:v>3.9599999189999999</c:v>
                </c:pt>
                <c:pt idx="143">
                  <c:v>3.9800000190000002</c:v>
                </c:pt>
                <c:pt idx="144">
                  <c:v>4.0199999809999998</c:v>
                </c:pt>
                <c:pt idx="145">
                  <c:v>4.0500000719999996</c:v>
                </c:pt>
                <c:pt idx="146">
                  <c:v>4.0500001909999996</c:v>
                </c:pt>
                <c:pt idx="147">
                  <c:v>4.079999924</c:v>
                </c:pt>
                <c:pt idx="148">
                  <c:v>4.0900000329999999</c:v>
                </c:pt>
                <c:pt idx="149">
                  <c:v>4.1300001139999996</c:v>
                </c:pt>
                <c:pt idx="150">
                  <c:v>4.1800000669999999</c:v>
                </c:pt>
                <c:pt idx="151">
                  <c:v>4.2100000380000004</c:v>
                </c:pt>
                <c:pt idx="152">
                  <c:v>4.2200000290000004</c:v>
                </c:pt>
                <c:pt idx="153">
                  <c:v>4.25</c:v>
                </c:pt>
                <c:pt idx="154">
                  <c:v>4.2599999899999998</c:v>
                </c:pt>
                <c:pt idx="155">
                  <c:v>4.2699998619999997</c:v>
                </c:pt>
                <c:pt idx="156">
                  <c:v>4.2899999619999996</c:v>
                </c:pt>
                <c:pt idx="157">
                  <c:v>4.3000001909999996</c:v>
                </c:pt>
                <c:pt idx="158">
                  <c:v>4.329999924</c:v>
                </c:pt>
                <c:pt idx="159">
                  <c:v>4.3700000049999996</c:v>
                </c:pt>
                <c:pt idx="160">
                  <c:v>4.4299998279999997</c:v>
                </c:pt>
                <c:pt idx="161">
                  <c:v>4.4400000569999998</c:v>
                </c:pt>
                <c:pt idx="162">
                  <c:v>4.4499998090000004</c:v>
                </c:pt>
                <c:pt idx="163">
                  <c:v>4.4499999280000004</c:v>
                </c:pt>
                <c:pt idx="164">
                  <c:v>4.5299999709999996</c:v>
                </c:pt>
                <c:pt idx="165">
                  <c:v>4.5500001909999996</c:v>
                </c:pt>
                <c:pt idx="166">
                  <c:v>4.5600000620000003</c:v>
                </c:pt>
                <c:pt idx="167">
                  <c:v>4.5699999330000001</c:v>
                </c:pt>
                <c:pt idx="168">
                  <c:v>4.5900000329999999</c:v>
                </c:pt>
                <c:pt idx="169">
                  <c:v>4.5900001530000001</c:v>
                </c:pt>
                <c:pt idx="170">
                  <c:v>4.6000000239999999</c:v>
                </c:pt>
                <c:pt idx="171">
                  <c:v>4.6199998860000004</c:v>
                </c:pt>
                <c:pt idx="172">
                  <c:v>4.6300001139999996</c:v>
                </c:pt>
                <c:pt idx="173">
                  <c:v>4.6599998469999999</c:v>
                </c:pt>
                <c:pt idx="174">
                  <c:v>4.7300000190000002</c:v>
                </c:pt>
                <c:pt idx="175">
                  <c:v>4.7699999809999998</c:v>
                </c:pt>
                <c:pt idx="176">
                  <c:v>4.8200000520000001</c:v>
                </c:pt>
                <c:pt idx="177">
                  <c:v>4.9400000569999998</c:v>
                </c:pt>
                <c:pt idx="178">
                  <c:v>4.98999989</c:v>
                </c:pt>
                <c:pt idx="179">
                  <c:v>5.1400001050000004</c:v>
                </c:pt>
                <c:pt idx="180">
                  <c:v>5.2100000380000004</c:v>
                </c:pt>
                <c:pt idx="181">
                  <c:v>5.2200000290000004</c:v>
                </c:pt>
                <c:pt idx="182">
                  <c:v>5.2799999709999996</c:v>
                </c:pt>
                <c:pt idx="183">
                  <c:v>5.3499999049999998</c:v>
                </c:pt>
                <c:pt idx="184">
                  <c:v>5.3899998660000001</c:v>
                </c:pt>
                <c:pt idx="185">
                  <c:v>5.4399999379999997</c:v>
                </c:pt>
                <c:pt idx="186">
                  <c:v>5.4600000380000004</c:v>
                </c:pt>
                <c:pt idx="187">
                  <c:v>5.4900000100000002</c:v>
                </c:pt>
                <c:pt idx="188">
                  <c:v>5.5200000999999999</c:v>
                </c:pt>
                <c:pt idx="189">
                  <c:v>5.5800000430000001</c:v>
                </c:pt>
                <c:pt idx="190">
                  <c:v>5.5900001530000001</c:v>
                </c:pt>
                <c:pt idx="191">
                  <c:v>5.6299999950000004</c:v>
                </c:pt>
                <c:pt idx="192">
                  <c:v>5.7300000190000002</c:v>
                </c:pt>
                <c:pt idx="193">
                  <c:v>5.75</c:v>
                </c:pt>
                <c:pt idx="194">
                  <c:v>5.7699999809999998</c:v>
                </c:pt>
                <c:pt idx="195">
                  <c:v>5.7799998520000004</c:v>
                </c:pt>
                <c:pt idx="196">
                  <c:v>5.7899999019999999</c:v>
                </c:pt>
                <c:pt idx="197">
                  <c:v>5.9099999670000001</c:v>
                </c:pt>
                <c:pt idx="198">
                  <c:v>5.9299999479999999</c:v>
                </c:pt>
                <c:pt idx="199">
                  <c:v>6.0199999809999998</c:v>
                </c:pt>
                <c:pt idx="200">
                  <c:v>6.0299998520000004</c:v>
                </c:pt>
                <c:pt idx="201">
                  <c:v>6.0399999619999996</c:v>
                </c:pt>
                <c:pt idx="202">
                  <c:v>6.0500001909999996</c:v>
                </c:pt>
                <c:pt idx="203">
                  <c:v>6.079999924</c:v>
                </c:pt>
                <c:pt idx="204">
                  <c:v>6.0999999049999998</c:v>
                </c:pt>
                <c:pt idx="205">
                  <c:v>6.1699999569999999</c:v>
                </c:pt>
                <c:pt idx="206">
                  <c:v>6.26000011</c:v>
                </c:pt>
                <c:pt idx="207">
                  <c:v>6.2799999709999996</c:v>
                </c:pt>
                <c:pt idx="208">
                  <c:v>6.3400001530000001</c:v>
                </c:pt>
                <c:pt idx="209">
                  <c:v>6.3700000049999996</c:v>
                </c:pt>
                <c:pt idx="210">
                  <c:v>6.7300000190000002</c:v>
                </c:pt>
                <c:pt idx="211">
                  <c:v>6.7400000100000002</c:v>
                </c:pt>
                <c:pt idx="212">
                  <c:v>6.7799998520000004</c:v>
                </c:pt>
                <c:pt idx="213">
                  <c:v>6.9100000860000002</c:v>
                </c:pt>
                <c:pt idx="214">
                  <c:v>6.9600000380000004</c:v>
                </c:pt>
                <c:pt idx="215">
                  <c:v>7.1399999860000003</c:v>
                </c:pt>
                <c:pt idx="216">
                  <c:v>7.2200001479999996</c:v>
                </c:pt>
                <c:pt idx="217">
                  <c:v>7.2299997810000001</c:v>
                </c:pt>
                <c:pt idx="218">
                  <c:v>7.26000011</c:v>
                </c:pt>
                <c:pt idx="219">
                  <c:v>7.2699999809999998</c:v>
                </c:pt>
                <c:pt idx="220">
                  <c:v>7.3499999049999998</c:v>
                </c:pt>
                <c:pt idx="221">
                  <c:v>7.3500001429999999</c:v>
                </c:pt>
                <c:pt idx="222">
                  <c:v>7.4800000190000002</c:v>
                </c:pt>
                <c:pt idx="223">
                  <c:v>7.5299998520000004</c:v>
                </c:pt>
                <c:pt idx="224">
                  <c:v>7.5400001999999997</c:v>
                </c:pt>
                <c:pt idx="225">
                  <c:v>7.7000000479999997</c:v>
                </c:pt>
                <c:pt idx="226">
                  <c:v>7.7100000380000004</c:v>
                </c:pt>
                <c:pt idx="227">
                  <c:v>7.7199999090000002</c:v>
                </c:pt>
                <c:pt idx="228">
                  <c:v>7.8000000719999996</c:v>
                </c:pt>
                <c:pt idx="229">
                  <c:v>7.8100000620000003</c:v>
                </c:pt>
                <c:pt idx="230">
                  <c:v>7.8799999950000004</c:v>
                </c:pt>
                <c:pt idx="231">
                  <c:v>7.8999999760000001</c:v>
                </c:pt>
                <c:pt idx="232">
                  <c:v>8.0500000719999996</c:v>
                </c:pt>
                <c:pt idx="233">
                  <c:v>8.1799998279999997</c:v>
                </c:pt>
                <c:pt idx="234">
                  <c:v>8.1899999379999997</c:v>
                </c:pt>
                <c:pt idx="235">
                  <c:v>8.2200002669999996</c:v>
                </c:pt>
                <c:pt idx="236">
                  <c:v>8.4700001480000005</c:v>
                </c:pt>
                <c:pt idx="237">
                  <c:v>8.5</c:v>
                </c:pt>
                <c:pt idx="238">
                  <c:v>8.5199999809999998</c:v>
                </c:pt>
                <c:pt idx="239">
                  <c:v>8.5299998519999995</c:v>
                </c:pt>
                <c:pt idx="240">
                  <c:v>8.5499999520000003</c:v>
                </c:pt>
                <c:pt idx="241">
                  <c:v>8.7899999619999996</c:v>
                </c:pt>
                <c:pt idx="242">
                  <c:v>8.8000000719999996</c:v>
                </c:pt>
                <c:pt idx="243">
                  <c:v>8.8600001339999999</c:v>
                </c:pt>
                <c:pt idx="244">
                  <c:v>8.9100000860000002</c:v>
                </c:pt>
                <c:pt idx="245">
                  <c:v>9.1199998860000004</c:v>
                </c:pt>
                <c:pt idx="246">
                  <c:v>9.2099999189999995</c:v>
                </c:pt>
                <c:pt idx="247">
                  <c:v>9.2199997899999993</c:v>
                </c:pt>
                <c:pt idx="248">
                  <c:v>9.2200002669999996</c:v>
                </c:pt>
                <c:pt idx="249">
                  <c:v>9.2299998999999993</c:v>
                </c:pt>
                <c:pt idx="250">
                  <c:v>9.2599998709999998</c:v>
                </c:pt>
                <c:pt idx="251">
                  <c:v>9.3299999239999991</c:v>
                </c:pt>
                <c:pt idx="252">
                  <c:v>9.3400000330000008</c:v>
                </c:pt>
                <c:pt idx="253">
                  <c:v>9.3799999950000004</c:v>
                </c:pt>
                <c:pt idx="254">
                  <c:v>9.4099999669999992</c:v>
                </c:pt>
                <c:pt idx="255">
                  <c:v>9.4100003240000003</c:v>
                </c:pt>
                <c:pt idx="256">
                  <c:v>9.4199998380000007</c:v>
                </c:pt>
                <c:pt idx="257">
                  <c:v>9.4300000669999999</c:v>
                </c:pt>
                <c:pt idx="258">
                  <c:v>9.4400000570000007</c:v>
                </c:pt>
                <c:pt idx="259">
                  <c:v>9.4799998999999993</c:v>
                </c:pt>
                <c:pt idx="260">
                  <c:v>9.5399999619999996</c:v>
                </c:pt>
                <c:pt idx="261">
                  <c:v>9.5499999520000003</c:v>
                </c:pt>
                <c:pt idx="262">
                  <c:v>9.6099998949999996</c:v>
                </c:pt>
                <c:pt idx="263">
                  <c:v>9.6599998469999999</c:v>
                </c:pt>
                <c:pt idx="264">
                  <c:v>9.8099999429999993</c:v>
                </c:pt>
                <c:pt idx="265">
                  <c:v>9.9299999480000007</c:v>
                </c:pt>
                <c:pt idx="266">
                  <c:v>9.9700002669999996</c:v>
                </c:pt>
                <c:pt idx="267">
                  <c:v>10.03000009</c:v>
                </c:pt>
                <c:pt idx="268">
                  <c:v>10.079999920000001</c:v>
                </c:pt>
                <c:pt idx="269">
                  <c:v>10.229999899999999</c:v>
                </c:pt>
                <c:pt idx="270">
                  <c:v>10.280000210000001</c:v>
                </c:pt>
                <c:pt idx="271">
                  <c:v>10.319999810000001</c:v>
                </c:pt>
                <c:pt idx="272">
                  <c:v>10.42999983</c:v>
                </c:pt>
                <c:pt idx="273">
                  <c:v>10.54999995</c:v>
                </c:pt>
                <c:pt idx="274">
                  <c:v>10.56999969</c:v>
                </c:pt>
                <c:pt idx="275">
                  <c:v>10.61999977</c:v>
                </c:pt>
                <c:pt idx="276">
                  <c:v>10.66000009</c:v>
                </c:pt>
                <c:pt idx="277">
                  <c:v>10.77000046</c:v>
                </c:pt>
                <c:pt idx="278">
                  <c:v>10.779999849999999</c:v>
                </c:pt>
                <c:pt idx="279">
                  <c:v>10.849999670000001</c:v>
                </c:pt>
                <c:pt idx="280">
                  <c:v>10.96000016</c:v>
                </c:pt>
                <c:pt idx="281">
                  <c:v>10.96000051</c:v>
                </c:pt>
                <c:pt idx="282">
                  <c:v>11.009999990000001</c:v>
                </c:pt>
                <c:pt idx="283">
                  <c:v>11.04999971</c:v>
                </c:pt>
                <c:pt idx="284">
                  <c:v>11.059999700000001</c:v>
                </c:pt>
                <c:pt idx="285">
                  <c:v>11.11000013</c:v>
                </c:pt>
                <c:pt idx="286">
                  <c:v>11.170000310000001</c:v>
                </c:pt>
                <c:pt idx="287">
                  <c:v>11.18999994</c:v>
                </c:pt>
                <c:pt idx="288">
                  <c:v>11.200000169999999</c:v>
                </c:pt>
                <c:pt idx="289">
                  <c:v>11.42999983</c:v>
                </c:pt>
                <c:pt idx="290">
                  <c:v>11.519999500000001</c:v>
                </c:pt>
                <c:pt idx="291">
                  <c:v>11.570000050000001</c:v>
                </c:pt>
                <c:pt idx="292">
                  <c:v>11.80000019</c:v>
                </c:pt>
                <c:pt idx="293">
                  <c:v>11.94999981</c:v>
                </c:pt>
                <c:pt idx="294">
                  <c:v>12.06000006</c:v>
                </c:pt>
                <c:pt idx="295">
                  <c:v>12.10999984</c:v>
                </c:pt>
                <c:pt idx="296">
                  <c:v>12.149999619999999</c:v>
                </c:pt>
                <c:pt idx="297">
                  <c:v>12.369999890000001</c:v>
                </c:pt>
                <c:pt idx="298">
                  <c:v>12.39000034</c:v>
                </c:pt>
                <c:pt idx="299">
                  <c:v>12.51000035</c:v>
                </c:pt>
                <c:pt idx="300">
                  <c:v>12.57000017</c:v>
                </c:pt>
                <c:pt idx="301">
                  <c:v>12.580000399999999</c:v>
                </c:pt>
                <c:pt idx="302">
                  <c:v>12.630000109999999</c:v>
                </c:pt>
                <c:pt idx="303">
                  <c:v>12.679999949999999</c:v>
                </c:pt>
                <c:pt idx="304">
                  <c:v>13.0400002</c:v>
                </c:pt>
                <c:pt idx="305">
                  <c:v>13.05999959</c:v>
                </c:pt>
                <c:pt idx="306">
                  <c:v>13.07000017</c:v>
                </c:pt>
                <c:pt idx="307">
                  <c:v>13.350000380000001</c:v>
                </c:pt>
                <c:pt idx="308">
                  <c:v>13.37</c:v>
                </c:pt>
                <c:pt idx="309">
                  <c:v>13.40999985</c:v>
                </c:pt>
                <c:pt idx="310">
                  <c:v>13.41000009</c:v>
                </c:pt>
                <c:pt idx="311">
                  <c:v>13.50000036</c:v>
                </c:pt>
                <c:pt idx="312">
                  <c:v>13.51000011</c:v>
                </c:pt>
                <c:pt idx="313">
                  <c:v>13.559999940000001</c:v>
                </c:pt>
                <c:pt idx="314">
                  <c:v>13.65000045</c:v>
                </c:pt>
                <c:pt idx="315">
                  <c:v>13.91999972</c:v>
                </c:pt>
                <c:pt idx="316">
                  <c:v>14.03999984</c:v>
                </c:pt>
                <c:pt idx="317">
                  <c:v>14.06000042</c:v>
                </c:pt>
                <c:pt idx="318">
                  <c:v>14.14000046</c:v>
                </c:pt>
                <c:pt idx="319">
                  <c:v>14.48000044</c:v>
                </c:pt>
                <c:pt idx="320">
                  <c:v>14.520000100000001</c:v>
                </c:pt>
                <c:pt idx="321">
                  <c:v>14.58999991</c:v>
                </c:pt>
                <c:pt idx="322">
                  <c:v>14.62999988</c:v>
                </c:pt>
                <c:pt idx="323">
                  <c:v>14.830000399999999</c:v>
                </c:pt>
                <c:pt idx="324">
                  <c:v>14.960000340000001</c:v>
                </c:pt>
                <c:pt idx="325">
                  <c:v>15.04999995</c:v>
                </c:pt>
                <c:pt idx="326">
                  <c:v>15.14999998</c:v>
                </c:pt>
                <c:pt idx="327">
                  <c:v>15.539999720000001</c:v>
                </c:pt>
                <c:pt idx="328">
                  <c:v>15.63000023</c:v>
                </c:pt>
                <c:pt idx="329">
                  <c:v>15.810000179999999</c:v>
                </c:pt>
                <c:pt idx="330">
                  <c:v>15.82000017</c:v>
                </c:pt>
                <c:pt idx="331">
                  <c:v>15.91999972</c:v>
                </c:pt>
                <c:pt idx="332">
                  <c:v>15.99000025</c:v>
                </c:pt>
                <c:pt idx="333">
                  <c:v>16.1500001</c:v>
                </c:pt>
                <c:pt idx="334">
                  <c:v>16.179999710000001</c:v>
                </c:pt>
                <c:pt idx="335">
                  <c:v>16.269999980000001</c:v>
                </c:pt>
                <c:pt idx="336">
                  <c:v>16.340000509999999</c:v>
                </c:pt>
                <c:pt idx="337">
                  <c:v>16.38</c:v>
                </c:pt>
                <c:pt idx="338">
                  <c:v>16.409999849999998</c:v>
                </c:pt>
                <c:pt idx="339">
                  <c:v>16.470000030000001</c:v>
                </c:pt>
                <c:pt idx="340">
                  <c:v>16.520000100000001</c:v>
                </c:pt>
                <c:pt idx="341">
                  <c:v>16.67999983</c:v>
                </c:pt>
                <c:pt idx="342">
                  <c:v>16.730000019999999</c:v>
                </c:pt>
                <c:pt idx="343">
                  <c:v>16.939999579999999</c:v>
                </c:pt>
                <c:pt idx="344">
                  <c:v>16.940000179999998</c:v>
                </c:pt>
                <c:pt idx="345">
                  <c:v>17.04999995</c:v>
                </c:pt>
                <c:pt idx="346">
                  <c:v>17.300000189999999</c:v>
                </c:pt>
                <c:pt idx="347">
                  <c:v>17.300000369999999</c:v>
                </c:pt>
                <c:pt idx="348">
                  <c:v>17.3299998</c:v>
                </c:pt>
                <c:pt idx="349">
                  <c:v>17.36999965</c:v>
                </c:pt>
                <c:pt idx="350">
                  <c:v>17.640000100000002</c:v>
                </c:pt>
                <c:pt idx="351">
                  <c:v>17.670000080000001</c:v>
                </c:pt>
                <c:pt idx="352">
                  <c:v>17.740000009999999</c:v>
                </c:pt>
                <c:pt idx="353">
                  <c:v>17.929999949999999</c:v>
                </c:pt>
                <c:pt idx="354">
                  <c:v>17.940000059999999</c:v>
                </c:pt>
                <c:pt idx="355">
                  <c:v>18.019999980000001</c:v>
                </c:pt>
                <c:pt idx="356">
                  <c:v>18.06999969</c:v>
                </c:pt>
                <c:pt idx="357">
                  <c:v>18.100000380000001</c:v>
                </c:pt>
                <c:pt idx="358">
                  <c:v>18.419999959999998</c:v>
                </c:pt>
                <c:pt idx="359">
                  <c:v>18.470000150000001</c:v>
                </c:pt>
                <c:pt idx="360">
                  <c:v>19.100000380000001</c:v>
                </c:pt>
                <c:pt idx="361">
                  <c:v>19.11000001</c:v>
                </c:pt>
                <c:pt idx="362">
                  <c:v>19.189999700000001</c:v>
                </c:pt>
                <c:pt idx="363">
                  <c:v>19.279999849999999</c:v>
                </c:pt>
                <c:pt idx="364">
                  <c:v>19.329999569999998</c:v>
                </c:pt>
                <c:pt idx="365">
                  <c:v>19.359999899999998</c:v>
                </c:pt>
                <c:pt idx="366">
                  <c:v>19.47999978</c:v>
                </c:pt>
                <c:pt idx="367">
                  <c:v>19.569999809999999</c:v>
                </c:pt>
                <c:pt idx="368">
                  <c:v>19.580000160000001</c:v>
                </c:pt>
                <c:pt idx="369">
                  <c:v>19.659999490000001</c:v>
                </c:pt>
                <c:pt idx="370">
                  <c:v>19.820000050000001</c:v>
                </c:pt>
                <c:pt idx="371">
                  <c:v>19.88000035</c:v>
                </c:pt>
                <c:pt idx="372">
                  <c:v>20.050000189999999</c:v>
                </c:pt>
                <c:pt idx="373">
                  <c:v>20.17999983</c:v>
                </c:pt>
                <c:pt idx="374">
                  <c:v>20.209999400000001</c:v>
                </c:pt>
                <c:pt idx="375">
                  <c:v>20.290000320000001</c:v>
                </c:pt>
                <c:pt idx="376">
                  <c:v>20.299999830000001</c:v>
                </c:pt>
                <c:pt idx="377">
                  <c:v>20.519999980000001</c:v>
                </c:pt>
                <c:pt idx="378">
                  <c:v>20.590000270000001</c:v>
                </c:pt>
                <c:pt idx="379">
                  <c:v>21.10999966</c:v>
                </c:pt>
                <c:pt idx="380">
                  <c:v>21.260000229999999</c:v>
                </c:pt>
                <c:pt idx="381">
                  <c:v>21.849999789999998</c:v>
                </c:pt>
                <c:pt idx="382">
                  <c:v>22.049999710000002</c:v>
                </c:pt>
                <c:pt idx="383">
                  <c:v>22.12000012</c:v>
                </c:pt>
                <c:pt idx="384">
                  <c:v>22.320000050000001</c:v>
                </c:pt>
                <c:pt idx="385">
                  <c:v>22.42999983</c:v>
                </c:pt>
                <c:pt idx="386">
                  <c:v>22.670000309999999</c:v>
                </c:pt>
                <c:pt idx="387">
                  <c:v>22.860000249999999</c:v>
                </c:pt>
                <c:pt idx="388">
                  <c:v>23.209999799999999</c:v>
                </c:pt>
                <c:pt idx="389">
                  <c:v>23.339999679999998</c:v>
                </c:pt>
                <c:pt idx="390">
                  <c:v>23.649999619999999</c:v>
                </c:pt>
                <c:pt idx="391">
                  <c:v>23.699999569999999</c:v>
                </c:pt>
                <c:pt idx="392">
                  <c:v>23.730000260000001</c:v>
                </c:pt>
                <c:pt idx="393">
                  <c:v>23.970000389999999</c:v>
                </c:pt>
                <c:pt idx="394">
                  <c:v>24.179999949999999</c:v>
                </c:pt>
                <c:pt idx="395">
                  <c:v>24.190000300000001</c:v>
                </c:pt>
                <c:pt idx="396">
                  <c:v>24.220000150000001</c:v>
                </c:pt>
                <c:pt idx="397">
                  <c:v>24.330000160000001</c:v>
                </c:pt>
                <c:pt idx="398">
                  <c:v>24.480000019999999</c:v>
                </c:pt>
                <c:pt idx="399">
                  <c:v>24.56999969</c:v>
                </c:pt>
                <c:pt idx="400">
                  <c:v>24.780000210000001</c:v>
                </c:pt>
                <c:pt idx="401">
                  <c:v>25.010000229999999</c:v>
                </c:pt>
                <c:pt idx="402">
                  <c:v>25.220000389999999</c:v>
                </c:pt>
                <c:pt idx="403">
                  <c:v>25.26000011</c:v>
                </c:pt>
                <c:pt idx="404">
                  <c:v>25.419999359999998</c:v>
                </c:pt>
                <c:pt idx="405">
                  <c:v>25.459999679999999</c:v>
                </c:pt>
                <c:pt idx="406">
                  <c:v>25.459999979999999</c:v>
                </c:pt>
                <c:pt idx="407">
                  <c:v>25.520000459999999</c:v>
                </c:pt>
                <c:pt idx="408">
                  <c:v>25.750000239999999</c:v>
                </c:pt>
                <c:pt idx="409">
                  <c:v>25.86000001</c:v>
                </c:pt>
                <c:pt idx="410">
                  <c:v>26.530000449999999</c:v>
                </c:pt>
                <c:pt idx="411">
                  <c:v>26.569999459999998</c:v>
                </c:pt>
                <c:pt idx="412">
                  <c:v>26.819999809999999</c:v>
                </c:pt>
                <c:pt idx="413">
                  <c:v>27.299999830000001</c:v>
                </c:pt>
                <c:pt idx="414">
                  <c:v>27.329999690000001</c:v>
                </c:pt>
                <c:pt idx="415">
                  <c:v>27.729999540000001</c:v>
                </c:pt>
                <c:pt idx="416">
                  <c:v>27.799999239999998</c:v>
                </c:pt>
                <c:pt idx="417">
                  <c:v>28.049999589999999</c:v>
                </c:pt>
                <c:pt idx="418">
                  <c:v>28.470000030000001</c:v>
                </c:pt>
                <c:pt idx="419">
                  <c:v>28.5</c:v>
                </c:pt>
                <c:pt idx="420">
                  <c:v>28.719999550000001</c:v>
                </c:pt>
                <c:pt idx="421">
                  <c:v>28.85000002</c:v>
                </c:pt>
                <c:pt idx="422">
                  <c:v>29.309999820000002</c:v>
                </c:pt>
                <c:pt idx="423">
                  <c:v>29.310000179999999</c:v>
                </c:pt>
                <c:pt idx="424">
                  <c:v>29.379999399999999</c:v>
                </c:pt>
                <c:pt idx="425">
                  <c:v>29.53999937</c:v>
                </c:pt>
                <c:pt idx="426">
                  <c:v>29.670000080000001</c:v>
                </c:pt>
                <c:pt idx="427">
                  <c:v>29.750000480000001</c:v>
                </c:pt>
                <c:pt idx="428">
                  <c:v>29.91000021</c:v>
                </c:pt>
                <c:pt idx="429">
                  <c:v>30.080000760000001</c:v>
                </c:pt>
                <c:pt idx="430">
                  <c:v>30.15000057</c:v>
                </c:pt>
                <c:pt idx="431">
                  <c:v>30.26000011</c:v>
                </c:pt>
                <c:pt idx="432">
                  <c:v>30.479999899999999</c:v>
                </c:pt>
                <c:pt idx="433">
                  <c:v>30.840000270000001</c:v>
                </c:pt>
                <c:pt idx="434">
                  <c:v>31.009999629999999</c:v>
                </c:pt>
                <c:pt idx="435">
                  <c:v>31.029999969999999</c:v>
                </c:pt>
                <c:pt idx="436">
                  <c:v>31.28999949</c:v>
                </c:pt>
                <c:pt idx="437">
                  <c:v>31.540000200000001</c:v>
                </c:pt>
                <c:pt idx="438">
                  <c:v>31.709999799999999</c:v>
                </c:pt>
                <c:pt idx="439">
                  <c:v>32.090000150000002</c:v>
                </c:pt>
                <c:pt idx="440">
                  <c:v>32.240000250000001</c:v>
                </c:pt>
                <c:pt idx="441">
                  <c:v>32.289999960000003</c:v>
                </c:pt>
                <c:pt idx="442">
                  <c:v>32.309999939999997</c:v>
                </c:pt>
                <c:pt idx="443">
                  <c:v>32.679999950000003</c:v>
                </c:pt>
                <c:pt idx="444">
                  <c:v>32.97999978</c:v>
                </c:pt>
                <c:pt idx="445">
                  <c:v>33.039999369999997</c:v>
                </c:pt>
                <c:pt idx="446">
                  <c:v>33.14000034</c:v>
                </c:pt>
                <c:pt idx="447">
                  <c:v>33.199999329999997</c:v>
                </c:pt>
                <c:pt idx="448">
                  <c:v>33.229999419999999</c:v>
                </c:pt>
                <c:pt idx="449">
                  <c:v>33.330000040000002</c:v>
                </c:pt>
                <c:pt idx="450">
                  <c:v>33.3499999</c:v>
                </c:pt>
                <c:pt idx="451">
                  <c:v>33.46999907</c:v>
                </c:pt>
                <c:pt idx="452">
                  <c:v>33.470000390000003</c:v>
                </c:pt>
                <c:pt idx="453">
                  <c:v>33.659999970000001</c:v>
                </c:pt>
                <c:pt idx="454">
                  <c:v>33.71000051</c:v>
                </c:pt>
                <c:pt idx="455">
                  <c:v>33.899999979999997</c:v>
                </c:pt>
                <c:pt idx="456">
                  <c:v>33.930000309999997</c:v>
                </c:pt>
                <c:pt idx="457">
                  <c:v>34.030000149999999</c:v>
                </c:pt>
                <c:pt idx="458">
                  <c:v>34.070000890000003</c:v>
                </c:pt>
                <c:pt idx="459">
                  <c:v>34.1500001</c:v>
                </c:pt>
                <c:pt idx="460">
                  <c:v>34.190000060000003</c:v>
                </c:pt>
                <c:pt idx="461">
                  <c:v>34.229999720000002</c:v>
                </c:pt>
                <c:pt idx="462">
                  <c:v>34.230000259999997</c:v>
                </c:pt>
                <c:pt idx="463">
                  <c:v>34.390000460000003</c:v>
                </c:pt>
                <c:pt idx="464">
                  <c:v>34.440000120000001</c:v>
                </c:pt>
                <c:pt idx="465">
                  <c:v>34.869999649999997</c:v>
                </c:pt>
                <c:pt idx="466">
                  <c:v>35.059999820000002</c:v>
                </c:pt>
                <c:pt idx="467">
                  <c:v>35.309999939999997</c:v>
                </c:pt>
                <c:pt idx="468">
                  <c:v>35.540000319999997</c:v>
                </c:pt>
                <c:pt idx="469">
                  <c:v>35.67999983</c:v>
                </c:pt>
                <c:pt idx="470">
                  <c:v>35.730000259999997</c:v>
                </c:pt>
                <c:pt idx="471">
                  <c:v>35.799999479999997</c:v>
                </c:pt>
                <c:pt idx="472">
                  <c:v>36.01000071</c:v>
                </c:pt>
                <c:pt idx="473">
                  <c:v>36.130000350000003</c:v>
                </c:pt>
                <c:pt idx="474">
                  <c:v>36.170000549999997</c:v>
                </c:pt>
                <c:pt idx="475">
                  <c:v>36.229999300000003</c:v>
                </c:pt>
                <c:pt idx="476">
                  <c:v>36.240000250000001</c:v>
                </c:pt>
                <c:pt idx="477">
                  <c:v>36.440000300000001</c:v>
                </c:pt>
                <c:pt idx="478">
                  <c:v>36.480000500000003</c:v>
                </c:pt>
                <c:pt idx="479">
                  <c:v>36.530000209999997</c:v>
                </c:pt>
                <c:pt idx="480">
                  <c:v>36.600000379999997</c:v>
                </c:pt>
                <c:pt idx="481">
                  <c:v>36.779999609999997</c:v>
                </c:pt>
                <c:pt idx="482">
                  <c:v>37.130000109999997</c:v>
                </c:pt>
                <c:pt idx="483">
                  <c:v>37.259999989999997</c:v>
                </c:pt>
                <c:pt idx="484">
                  <c:v>37.320001240000003</c:v>
                </c:pt>
                <c:pt idx="485">
                  <c:v>37.399999620000003</c:v>
                </c:pt>
                <c:pt idx="486">
                  <c:v>37.5999999</c:v>
                </c:pt>
                <c:pt idx="487">
                  <c:v>37.830000159999997</c:v>
                </c:pt>
                <c:pt idx="488">
                  <c:v>37.849999789999998</c:v>
                </c:pt>
                <c:pt idx="489">
                  <c:v>38.029999609999997</c:v>
                </c:pt>
                <c:pt idx="490">
                  <c:v>38.139999930000002</c:v>
                </c:pt>
                <c:pt idx="491">
                  <c:v>38.180000069999998</c:v>
                </c:pt>
                <c:pt idx="492">
                  <c:v>38.350000620000003</c:v>
                </c:pt>
                <c:pt idx="493">
                  <c:v>38.360000130000003</c:v>
                </c:pt>
                <c:pt idx="494">
                  <c:v>38.389999750000001</c:v>
                </c:pt>
                <c:pt idx="495">
                  <c:v>38.420000430000002</c:v>
                </c:pt>
                <c:pt idx="496">
                  <c:v>38.440000769999997</c:v>
                </c:pt>
                <c:pt idx="497">
                  <c:v>38.500000829999998</c:v>
                </c:pt>
                <c:pt idx="498">
                  <c:v>38.549999360000001</c:v>
                </c:pt>
                <c:pt idx="499">
                  <c:v>38.589999679999998</c:v>
                </c:pt>
                <c:pt idx="500">
                  <c:v>38.629999759999997</c:v>
                </c:pt>
                <c:pt idx="501">
                  <c:v>38.63999999</c:v>
                </c:pt>
                <c:pt idx="502">
                  <c:v>38.940000410000003</c:v>
                </c:pt>
                <c:pt idx="503">
                  <c:v>39.049999479999997</c:v>
                </c:pt>
                <c:pt idx="504">
                  <c:v>39.230000259999997</c:v>
                </c:pt>
                <c:pt idx="505">
                  <c:v>39.25000095</c:v>
                </c:pt>
                <c:pt idx="506">
                  <c:v>39.42999983</c:v>
                </c:pt>
                <c:pt idx="507">
                  <c:v>39.440000060000003</c:v>
                </c:pt>
                <c:pt idx="508">
                  <c:v>39.520000699999997</c:v>
                </c:pt>
                <c:pt idx="509">
                  <c:v>39.72999978</c:v>
                </c:pt>
                <c:pt idx="510">
                  <c:v>39.85999966</c:v>
                </c:pt>
                <c:pt idx="511">
                  <c:v>40.020000930000002</c:v>
                </c:pt>
                <c:pt idx="512">
                  <c:v>40.28999949</c:v>
                </c:pt>
                <c:pt idx="513">
                  <c:v>40.370000240000003</c:v>
                </c:pt>
                <c:pt idx="514">
                  <c:v>40.730000619999998</c:v>
                </c:pt>
                <c:pt idx="515">
                  <c:v>40.75999951</c:v>
                </c:pt>
                <c:pt idx="516">
                  <c:v>40.77000022</c:v>
                </c:pt>
                <c:pt idx="517">
                  <c:v>40.87999928</c:v>
                </c:pt>
                <c:pt idx="518">
                  <c:v>40.930000069999998</c:v>
                </c:pt>
                <c:pt idx="519">
                  <c:v>40.960000399999998</c:v>
                </c:pt>
                <c:pt idx="520">
                  <c:v>41.290000679999999</c:v>
                </c:pt>
                <c:pt idx="521">
                  <c:v>41.420000080000001</c:v>
                </c:pt>
                <c:pt idx="522">
                  <c:v>41.63</c:v>
                </c:pt>
                <c:pt idx="523">
                  <c:v>41.71999967</c:v>
                </c:pt>
                <c:pt idx="524">
                  <c:v>41.969999430000001</c:v>
                </c:pt>
                <c:pt idx="525">
                  <c:v>42.080000159999997</c:v>
                </c:pt>
                <c:pt idx="526">
                  <c:v>42.370000359999999</c:v>
                </c:pt>
                <c:pt idx="527">
                  <c:v>42.410000320000002</c:v>
                </c:pt>
                <c:pt idx="528">
                  <c:v>42.629999759999997</c:v>
                </c:pt>
                <c:pt idx="529">
                  <c:v>43.010000349999999</c:v>
                </c:pt>
                <c:pt idx="530">
                  <c:v>44.14000034</c:v>
                </c:pt>
                <c:pt idx="531">
                  <c:v>44.219999549999997</c:v>
                </c:pt>
                <c:pt idx="532">
                  <c:v>46.430000069999998</c:v>
                </c:pt>
                <c:pt idx="533">
                  <c:v>46.630000109999997</c:v>
                </c:pt>
                <c:pt idx="534">
                  <c:v>46.649999260000001</c:v>
                </c:pt>
                <c:pt idx="535">
                  <c:v>46.669999359999998</c:v>
                </c:pt>
                <c:pt idx="536">
                  <c:v>46.779999969999999</c:v>
                </c:pt>
                <c:pt idx="537">
                  <c:v>46.790000200000001</c:v>
                </c:pt>
                <c:pt idx="538">
                  <c:v>46.920001859999999</c:v>
                </c:pt>
                <c:pt idx="539">
                  <c:v>47.690000060000003</c:v>
                </c:pt>
                <c:pt idx="540">
                  <c:v>47.789999129999998</c:v>
                </c:pt>
                <c:pt idx="541">
                  <c:v>47.879999519999998</c:v>
                </c:pt>
                <c:pt idx="542">
                  <c:v>47.930000309999997</c:v>
                </c:pt>
                <c:pt idx="543">
                  <c:v>48.180000069999998</c:v>
                </c:pt>
                <c:pt idx="544">
                  <c:v>48.549999479999997</c:v>
                </c:pt>
                <c:pt idx="545">
                  <c:v>48.609999780000003</c:v>
                </c:pt>
                <c:pt idx="546">
                  <c:v>48.939998629999998</c:v>
                </c:pt>
                <c:pt idx="547">
                  <c:v>49.440000060000003</c:v>
                </c:pt>
                <c:pt idx="548">
                  <c:v>49.600000139999999</c:v>
                </c:pt>
                <c:pt idx="549">
                  <c:v>50.11000001</c:v>
                </c:pt>
                <c:pt idx="550">
                  <c:v>50.29000044</c:v>
                </c:pt>
                <c:pt idx="551">
                  <c:v>50.5</c:v>
                </c:pt>
                <c:pt idx="552">
                  <c:v>50.72000062</c:v>
                </c:pt>
                <c:pt idx="553">
                  <c:v>51.840000869999997</c:v>
                </c:pt>
                <c:pt idx="554">
                  <c:v>51.97000027</c:v>
                </c:pt>
                <c:pt idx="555">
                  <c:v>52.019999859999999</c:v>
                </c:pt>
                <c:pt idx="556">
                  <c:v>52.26000011</c:v>
                </c:pt>
                <c:pt idx="557">
                  <c:v>52.970000149999997</c:v>
                </c:pt>
                <c:pt idx="558">
                  <c:v>53.15999961</c:v>
                </c:pt>
                <c:pt idx="559">
                  <c:v>53.219999489999999</c:v>
                </c:pt>
                <c:pt idx="560">
                  <c:v>53.269999030000001</c:v>
                </c:pt>
                <c:pt idx="561">
                  <c:v>53.38999939</c:v>
                </c:pt>
                <c:pt idx="562">
                  <c:v>53.62999868</c:v>
                </c:pt>
                <c:pt idx="563">
                  <c:v>53.789999719999997</c:v>
                </c:pt>
                <c:pt idx="564">
                  <c:v>54.099998710000001</c:v>
                </c:pt>
                <c:pt idx="565">
                  <c:v>54.240000369999997</c:v>
                </c:pt>
                <c:pt idx="566">
                  <c:v>54.570000890000003</c:v>
                </c:pt>
                <c:pt idx="567">
                  <c:v>54.790000200000001</c:v>
                </c:pt>
                <c:pt idx="568">
                  <c:v>54.869999530000001</c:v>
                </c:pt>
                <c:pt idx="569">
                  <c:v>55.100000020000003</c:v>
                </c:pt>
                <c:pt idx="570">
                  <c:v>55.990000250000001</c:v>
                </c:pt>
                <c:pt idx="571">
                  <c:v>56.059999230000003</c:v>
                </c:pt>
                <c:pt idx="572">
                  <c:v>56.169999959999998</c:v>
                </c:pt>
                <c:pt idx="573">
                  <c:v>56.190000769999997</c:v>
                </c:pt>
                <c:pt idx="574">
                  <c:v>57</c:v>
                </c:pt>
                <c:pt idx="575">
                  <c:v>57.37</c:v>
                </c:pt>
                <c:pt idx="576">
                  <c:v>58.140000049999998</c:v>
                </c:pt>
                <c:pt idx="577">
                  <c:v>58.160000439999997</c:v>
                </c:pt>
                <c:pt idx="578">
                  <c:v>58.5999999</c:v>
                </c:pt>
                <c:pt idx="579">
                  <c:v>58.679999709999997</c:v>
                </c:pt>
                <c:pt idx="580">
                  <c:v>59.069999930000002</c:v>
                </c:pt>
                <c:pt idx="581">
                  <c:v>59.439999819999997</c:v>
                </c:pt>
                <c:pt idx="582">
                  <c:v>59.850000260000002</c:v>
                </c:pt>
                <c:pt idx="583">
                  <c:v>60.199999570000003</c:v>
                </c:pt>
                <c:pt idx="584">
                  <c:v>60.229999069999998</c:v>
                </c:pt>
                <c:pt idx="585">
                  <c:v>60.729999659999997</c:v>
                </c:pt>
                <c:pt idx="586">
                  <c:v>60.760000230000003</c:v>
                </c:pt>
                <c:pt idx="587">
                  <c:v>60.899999139999998</c:v>
                </c:pt>
                <c:pt idx="588">
                  <c:v>61.009999039999997</c:v>
                </c:pt>
                <c:pt idx="589">
                  <c:v>61.029997710000004</c:v>
                </c:pt>
                <c:pt idx="590">
                  <c:v>61.929999950000003</c:v>
                </c:pt>
                <c:pt idx="591">
                  <c:v>62.060000420000001</c:v>
                </c:pt>
                <c:pt idx="592">
                  <c:v>62.14000034</c:v>
                </c:pt>
                <c:pt idx="593">
                  <c:v>62.140000579999999</c:v>
                </c:pt>
                <c:pt idx="594">
                  <c:v>62.250000239999999</c:v>
                </c:pt>
                <c:pt idx="595">
                  <c:v>62.31999922</c:v>
                </c:pt>
                <c:pt idx="596">
                  <c:v>62.869999890000003</c:v>
                </c:pt>
                <c:pt idx="597">
                  <c:v>63.320001009999999</c:v>
                </c:pt>
                <c:pt idx="598">
                  <c:v>63.450000760000002</c:v>
                </c:pt>
                <c:pt idx="599">
                  <c:v>64.409999970000001</c:v>
                </c:pt>
                <c:pt idx="600">
                  <c:v>64.469999310000006</c:v>
                </c:pt>
                <c:pt idx="601">
                  <c:v>64.879999519999998</c:v>
                </c:pt>
                <c:pt idx="602">
                  <c:v>65.029998539999994</c:v>
                </c:pt>
                <c:pt idx="603">
                  <c:v>65.030000329999993</c:v>
                </c:pt>
                <c:pt idx="604">
                  <c:v>65.179999710000004</c:v>
                </c:pt>
                <c:pt idx="605">
                  <c:v>65.229999960000001</c:v>
                </c:pt>
                <c:pt idx="606">
                  <c:v>65.670001150000004</c:v>
                </c:pt>
                <c:pt idx="607">
                  <c:v>66.279999849999996</c:v>
                </c:pt>
                <c:pt idx="608">
                  <c:v>66.389999869999997</c:v>
                </c:pt>
                <c:pt idx="609">
                  <c:v>66.770000100000004</c:v>
                </c:pt>
                <c:pt idx="610">
                  <c:v>66.790000680000006</c:v>
                </c:pt>
                <c:pt idx="611">
                  <c:v>66.839998719999997</c:v>
                </c:pt>
                <c:pt idx="612">
                  <c:v>67.130001070000006</c:v>
                </c:pt>
                <c:pt idx="613">
                  <c:v>67.609999180000003</c:v>
                </c:pt>
                <c:pt idx="614">
                  <c:v>67.650000570000003</c:v>
                </c:pt>
                <c:pt idx="615">
                  <c:v>67.669999840000003</c:v>
                </c:pt>
                <c:pt idx="616">
                  <c:v>67.770001289999996</c:v>
                </c:pt>
                <c:pt idx="617">
                  <c:v>67.97999978</c:v>
                </c:pt>
                <c:pt idx="618">
                  <c:v>68.060000540000004</c:v>
                </c:pt>
                <c:pt idx="619">
                  <c:v>68.559999590000004</c:v>
                </c:pt>
                <c:pt idx="620">
                  <c:v>68.670000079999994</c:v>
                </c:pt>
                <c:pt idx="621">
                  <c:v>69.659999970000001</c:v>
                </c:pt>
                <c:pt idx="622">
                  <c:v>70.410000800000006</c:v>
                </c:pt>
                <c:pt idx="623">
                  <c:v>71.530001040000002</c:v>
                </c:pt>
                <c:pt idx="624">
                  <c:v>71.580000519999999</c:v>
                </c:pt>
                <c:pt idx="625">
                  <c:v>72.310000299999999</c:v>
                </c:pt>
                <c:pt idx="626">
                  <c:v>72.910001039999997</c:v>
                </c:pt>
                <c:pt idx="627">
                  <c:v>73.749999639999999</c:v>
                </c:pt>
                <c:pt idx="628">
                  <c:v>74.410000319999995</c:v>
                </c:pt>
                <c:pt idx="629">
                  <c:v>74.830001350000003</c:v>
                </c:pt>
                <c:pt idx="630">
                  <c:v>75.700000759999995</c:v>
                </c:pt>
                <c:pt idx="631">
                  <c:v>75.789999839999993</c:v>
                </c:pt>
                <c:pt idx="632">
                  <c:v>76.41000056</c:v>
                </c:pt>
                <c:pt idx="633">
                  <c:v>76.439999580000006</c:v>
                </c:pt>
                <c:pt idx="634">
                  <c:v>76.680000250000006</c:v>
                </c:pt>
                <c:pt idx="635">
                  <c:v>76.759999160000007</c:v>
                </c:pt>
                <c:pt idx="636">
                  <c:v>76.839999320000004</c:v>
                </c:pt>
                <c:pt idx="637">
                  <c:v>76.899999679999993</c:v>
                </c:pt>
                <c:pt idx="638">
                  <c:v>77.079999689999994</c:v>
                </c:pt>
                <c:pt idx="639">
                  <c:v>77.590000270000004</c:v>
                </c:pt>
                <c:pt idx="640">
                  <c:v>77.599999789999998</c:v>
                </c:pt>
                <c:pt idx="641">
                  <c:v>78.039999839999993</c:v>
                </c:pt>
                <c:pt idx="642">
                  <c:v>78.060000419999994</c:v>
                </c:pt>
                <c:pt idx="643">
                  <c:v>78.459999319999994</c:v>
                </c:pt>
                <c:pt idx="644">
                  <c:v>78.920000200000004</c:v>
                </c:pt>
                <c:pt idx="645">
                  <c:v>80.339999789999993</c:v>
                </c:pt>
                <c:pt idx="646">
                  <c:v>81.360000249999999</c:v>
                </c:pt>
                <c:pt idx="647">
                  <c:v>81.609997870000001</c:v>
                </c:pt>
                <c:pt idx="648">
                  <c:v>82.139999149999994</c:v>
                </c:pt>
                <c:pt idx="649">
                  <c:v>82.279999020000005</c:v>
                </c:pt>
                <c:pt idx="650">
                  <c:v>82.929998870000006</c:v>
                </c:pt>
                <c:pt idx="651">
                  <c:v>83.480001209999998</c:v>
                </c:pt>
                <c:pt idx="652">
                  <c:v>84.510000230000003</c:v>
                </c:pt>
                <c:pt idx="653">
                  <c:v>84.659998889999997</c:v>
                </c:pt>
                <c:pt idx="654">
                  <c:v>85.700001959999994</c:v>
                </c:pt>
                <c:pt idx="655">
                  <c:v>86.330001120000006</c:v>
                </c:pt>
                <c:pt idx="656">
                  <c:v>87.420000790000003</c:v>
                </c:pt>
                <c:pt idx="657">
                  <c:v>87.550000670000003</c:v>
                </c:pt>
                <c:pt idx="658">
                  <c:v>87.730000500000003</c:v>
                </c:pt>
                <c:pt idx="659">
                  <c:v>87.789999600000002</c:v>
                </c:pt>
                <c:pt idx="660">
                  <c:v>87.990001680000006</c:v>
                </c:pt>
                <c:pt idx="661">
                  <c:v>88.210000160000007</c:v>
                </c:pt>
                <c:pt idx="662">
                  <c:v>89.350000260000002</c:v>
                </c:pt>
                <c:pt idx="663">
                  <c:v>89.760000469999994</c:v>
                </c:pt>
                <c:pt idx="664">
                  <c:v>91.000000540000002</c:v>
                </c:pt>
                <c:pt idx="665">
                  <c:v>93.070000410000006</c:v>
                </c:pt>
                <c:pt idx="666">
                  <c:v>93.089999910000003</c:v>
                </c:pt>
                <c:pt idx="667">
                  <c:v>95.510001299999999</c:v>
                </c:pt>
                <c:pt idx="668">
                  <c:v>95.84999895</c:v>
                </c:pt>
                <c:pt idx="669">
                  <c:v>95.850000499999993</c:v>
                </c:pt>
                <c:pt idx="670">
                  <c:v>96.48000073</c:v>
                </c:pt>
                <c:pt idx="671">
                  <c:v>96.800000549999993</c:v>
                </c:pt>
                <c:pt idx="672">
                  <c:v>96.8999989</c:v>
                </c:pt>
                <c:pt idx="673">
                  <c:v>98.550000190000006</c:v>
                </c:pt>
                <c:pt idx="674">
                  <c:v>98.700000169999996</c:v>
                </c:pt>
                <c:pt idx="675">
                  <c:v>99.179998400000002</c:v>
                </c:pt>
                <c:pt idx="676">
                  <c:v>99.52000237</c:v>
                </c:pt>
                <c:pt idx="677">
                  <c:v>100.28999899999999</c:v>
                </c:pt>
                <c:pt idx="678">
                  <c:v>100.8800011</c:v>
                </c:pt>
                <c:pt idx="679">
                  <c:v>102.3900002</c:v>
                </c:pt>
                <c:pt idx="680">
                  <c:v>103.15000019999999</c:v>
                </c:pt>
                <c:pt idx="681">
                  <c:v>103.3899996</c:v>
                </c:pt>
                <c:pt idx="682">
                  <c:v>104.4599996</c:v>
                </c:pt>
                <c:pt idx="683">
                  <c:v>104.68999890000001</c:v>
                </c:pt>
                <c:pt idx="684">
                  <c:v>105.0199997</c:v>
                </c:pt>
                <c:pt idx="685">
                  <c:v>105.2199969</c:v>
                </c:pt>
                <c:pt idx="686">
                  <c:v>105.4500008</c:v>
                </c:pt>
                <c:pt idx="687">
                  <c:v>105.6600007</c:v>
                </c:pt>
                <c:pt idx="688">
                  <c:v>105.7099996</c:v>
                </c:pt>
                <c:pt idx="689">
                  <c:v>106.9299998</c:v>
                </c:pt>
                <c:pt idx="690">
                  <c:v>109.2500008</c:v>
                </c:pt>
                <c:pt idx="691">
                  <c:v>110.23999910000001</c:v>
                </c:pt>
                <c:pt idx="692">
                  <c:v>110.7800021</c:v>
                </c:pt>
                <c:pt idx="693">
                  <c:v>111.6500003</c:v>
                </c:pt>
                <c:pt idx="694">
                  <c:v>111.9899995</c:v>
                </c:pt>
                <c:pt idx="695">
                  <c:v>113.68000290000001</c:v>
                </c:pt>
                <c:pt idx="696">
                  <c:v>113.99000119999999</c:v>
                </c:pt>
                <c:pt idx="697">
                  <c:v>114.8599998</c:v>
                </c:pt>
                <c:pt idx="698">
                  <c:v>115.1200008</c:v>
                </c:pt>
                <c:pt idx="699">
                  <c:v>115.66000080000001</c:v>
                </c:pt>
                <c:pt idx="700">
                  <c:v>115.8800026</c:v>
                </c:pt>
                <c:pt idx="701">
                  <c:v>116.3399996</c:v>
                </c:pt>
                <c:pt idx="702">
                  <c:v>116.5599996</c:v>
                </c:pt>
                <c:pt idx="703">
                  <c:v>116.8800001</c:v>
                </c:pt>
                <c:pt idx="704">
                  <c:v>116.98999809999999</c:v>
                </c:pt>
                <c:pt idx="705">
                  <c:v>117.3400005</c:v>
                </c:pt>
                <c:pt idx="706">
                  <c:v>117.55999970000001</c:v>
                </c:pt>
                <c:pt idx="707">
                  <c:v>117.6299995</c:v>
                </c:pt>
                <c:pt idx="708">
                  <c:v>119.64000179999999</c:v>
                </c:pt>
                <c:pt idx="709">
                  <c:v>120.2999994</c:v>
                </c:pt>
                <c:pt idx="710">
                  <c:v>120.8799992</c:v>
                </c:pt>
                <c:pt idx="711">
                  <c:v>120.8999977</c:v>
                </c:pt>
                <c:pt idx="712">
                  <c:v>121.0999982</c:v>
                </c:pt>
                <c:pt idx="713">
                  <c:v>122.4</c:v>
                </c:pt>
                <c:pt idx="714">
                  <c:v>123.0900019</c:v>
                </c:pt>
                <c:pt idx="715">
                  <c:v>123.5500004</c:v>
                </c:pt>
                <c:pt idx="716">
                  <c:v>123.80000099999999</c:v>
                </c:pt>
                <c:pt idx="717">
                  <c:v>124.7999995</c:v>
                </c:pt>
                <c:pt idx="718">
                  <c:v>125.2700011</c:v>
                </c:pt>
                <c:pt idx="719">
                  <c:v>126.9299996</c:v>
                </c:pt>
                <c:pt idx="720">
                  <c:v>127.3200028</c:v>
                </c:pt>
                <c:pt idx="721">
                  <c:v>127.56999930000001</c:v>
                </c:pt>
                <c:pt idx="722">
                  <c:v>128.27999879999999</c:v>
                </c:pt>
                <c:pt idx="723">
                  <c:v>128.6099997</c:v>
                </c:pt>
                <c:pt idx="724">
                  <c:v>130.36000110000001</c:v>
                </c:pt>
                <c:pt idx="725">
                  <c:v>131.5799983</c:v>
                </c:pt>
                <c:pt idx="726">
                  <c:v>131.78000059999999</c:v>
                </c:pt>
                <c:pt idx="727">
                  <c:v>132.73000070000001</c:v>
                </c:pt>
                <c:pt idx="728">
                  <c:v>133.69999859999999</c:v>
                </c:pt>
                <c:pt idx="729">
                  <c:v>134.11999750000001</c:v>
                </c:pt>
                <c:pt idx="730">
                  <c:v>134.8799999</c:v>
                </c:pt>
                <c:pt idx="731">
                  <c:v>134.88999899999999</c:v>
                </c:pt>
                <c:pt idx="732">
                  <c:v>135.75000120000001</c:v>
                </c:pt>
                <c:pt idx="733">
                  <c:v>138.7699997</c:v>
                </c:pt>
                <c:pt idx="734">
                  <c:v>138.92000060000001</c:v>
                </c:pt>
                <c:pt idx="735">
                  <c:v>140.42000110000001</c:v>
                </c:pt>
                <c:pt idx="736">
                  <c:v>140.97000220000001</c:v>
                </c:pt>
                <c:pt idx="737">
                  <c:v>142.05000250000001</c:v>
                </c:pt>
                <c:pt idx="738">
                  <c:v>142.70999850000001</c:v>
                </c:pt>
                <c:pt idx="739">
                  <c:v>143.30000089999999</c:v>
                </c:pt>
                <c:pt idx="740">
                  <c:v>143.4300001</c:v>
                </c:pt>
                <c:pt idx="741">
                  <c:v>145.81999740000001</c:v>
                </c:pt>
                <c:pt idx="742">
                  <c:v>147.33999900000001</c:v>
                </c:pt>
                <c:pt idx="743">
                  <c:v>147.67000060000001</c:v>
                </c:pt>
                <c:pt idx="744">
                  <c:v>150.1400012</c:v>
                </c:pt>
                <c:pt idx="745">
                  <c:v>153.11999750000001</c:v>
                </c:pt>
                <c:pt idx="746">
                  <c:v>156.11999929999999</c:v>
                </c:pt>
                <c:pt idx="747">
                  <c:v>157.32999799999999</c:v>
                </c:pt>
                <c:pt idx="748">
                  <c:v>158.05000229999999</c:v>
                </c:pt>
                <c:pt idx="749">
                  <c:v>158.59999980000001</c:v>
                </c:pt>
                <c:pt idx="750">
                  <c:v>159.29999900000001</c:v>
                </c:pt>
                <c:pt idx="751">
                  <c:v>159.57000210000001</c:v>
                </c:pt>
                <c:pt idx="752">
                  <c:v>161.90999909999999</c:v>
                </c:pt>
                <c:pt idx="753">
                  <c:v>162.63999749999999</c:v>
                </c:pt>
                <c:pt idx="754">
                  <c:v>163.36000000000001</c:v>
                </c:pt>
                <c:pt idx="755">
                  <c:v>163.8000002</c:v>
                </c:pt>
                <c:pt idx="756">
                  <c:v>163.8999972</c:v>
                </c:pt>
                <c:pt idx="757">
                  <c:v>164.64000150000001</c:v>
                </c:pt>
                <c:pt idx="758">
                  <c:v>165.60999870000001</c:v>
                </c:pt>
                <c:pt idx="759">
                  <c:v>167.0499997</c:v>
                </c:pt>
                <c:pt idx="760">
                  <c:v>169.66999820000001</c:v>
                </c:pt>
                <c:pt idx="761">
                  <c:v>169.91999730000001</c:v>
                </c:pt>
                <c:pt idx="762">
                  <c:v>171.97999759999999</c:v>
                </c:pt>
                <c:pt idx="763">
                  <c:v>173.76</c:v>
                </c:pt>
                <c:pt idx="764">
                  <c:v>173.88000349999999</c:v>
                </c:pt>
                <c:pt idx="765">
                  <c:v>175.9700005</c:v>
                </c:pt>
                <c:pt idx="766">
                  <c:v>176.37999769999999</c:v>
                </c:pt>
                <c:pt idx="767">
                  <c:v>177.1099993</c:v>
                </c:pt>
                <c:pt idx="768">
                  <c:v>177.88999920000001</c:v>
                </c:pt>
                <c:pt idx="769">
                  <c:v>178.6700007</c:v>
                </c:pt>
                <c:pt idx="770">
                  <c:v>179.05000100000001</c:v>
                </c:pt>
                <c:pt idx="771">
                  <c:v>179.620001</c:v>
                </c:pt>
                <c:pt idx="772">
                  <c:v>180.22000120000001</c:v>
                </c:pt>
                <c:pt idx="773">
                  <c:v>181.72000109999999</c:v>
                </c:pt>
                <c:pt idx="774">
                  <c:v>187.7399978</c:v>
                </c:pt>
                <c:pt idx="775">
                  <c:v>188.51000020000001</c:v>
                </c:pt>
                <c:pt idx="776">
                  <c:v>189.12999840000001</c:v>
                </c:pt>
                <c:pt idx="777">
                  <c:v>191.419996</c:v>
                </c:pt>
                <c:pt idx="778">
                  <c:v>192.92999950000001</c:v>
                </c:pt>
                <c:pt idx="779">
                  <c:v>193.65999909999999</c:v>
                </c:pt>
                <c:pt idx="780">
                  <c:v>194.80999879999999</c:v>
                </c:pt>
                <c:pt idx="781">
                  <c:v>195.07999939999999</c:v>
                </c:pt>
                <c:pt idx="782">
                  <c:v>195.14999779999999</c:v>
                </c:pt>
                <c:pt idx="783">
                  <c:v>198.0899972</c:v>
                </c:pt>
                <c:pt idx="784">
                  <c:v>198.71000050000001</c:v>
                </c:pt>
                <c:pt idx="785">
                  <c:v>200.82999609999999</c:v>
                </c:pt>
                <c:pt idx="786">
                  <c:v>201.6000042</c:v>
                </c:pt>
                <c:pt idx="787">
                  <c:v>210.36000060000001</c:v>
                </c:pt>
                <c:pt idx="788">
                  <c:v>210.8200028</c:v>
                </c:pt>
                <c:pt idx="789">
                  <c:v>213.6899986</c:v>
                </c:pt>
                <c:pt idx="790">
                  <c:v>215.83999940000001</c:v>
                </c:pt>
                <c:pt idx="791">
                  <c:v>216.5599982</c:v>
                </c:pt>
                <c:pt idx="792">
                  <c:v>217.7799966</c:v>
                </c:pt>
                <c:pt idx="793">
                  <c:v>219.77000200000001</c:v>
                </c:pt>
                <c:pt idx="794">
                  <c:v>220.559999</c:v>
                </c:pt>
                <c:pt idx="795">
                  <c:v>223.18999479999999</c:v>
                </c:pt>
                <c:pt idx="796">
                  <c:v>226.0300014</c:v>
                </c:pt>
                <c:pt idx="797">
                  <c:v>226.53999920000001</c:v>
                </c:pt>
                <c:pt idx="798">
                  <c:v>232.37000080000001</c:v>
                </c:pt>
                <c:pt idx="799">
                  <c:v>232.5900005</c:v>
                </c:pt>
                <c:pt idx="800">
                  <c:v>233.11000200000001</c:v>
                </c:pt>
                <c:pt idx="801">
                  <c:v>234.65999819999999</c:v>
                </c:pt>
                <c:pt idx="802">
                  <c:v>234.93999919999999</c:v>
                </c:pt>
                <c:pt idx="803">
                  <c:v>236.11999879999999</c:v>
                </c:pt>
                <c:pt idx="804">
                  <c:v>236.76999860000001</c:v>
                </c:pt>
                <c:pt idx="805">
                  <c:v>237.3199975</c:v>
                </c:pt>
                <c:pt idx="806">
                  <c:v>238.40000069999999</c:v>
                </c:pt>
                <c:pt idx="807">
                  <c:v>243.7699978</c:v>
                </c:pt>
                <c:pt idx="808">
                  <c:v>245.5999999</c:v>
                </c:pt>
                <c:pt idx="809">
                  <c:v>246.74999750000001</c:v>
                </c:pt>
                <c:pt idx="810">
                  <c:v>247.32000260000001</c:v>
                </c:pt>
                <c:pt idx="811">
                  <c:v>248.64000010000001</c:v>
                </c:pt>
                <c:pt idx="812">
                  <c:v>253.990002</c:v>
                </c:pt>
                <c:pt idx="813">
                  <c:v>254.04999599999999</c:v>
                </c:pt>
                <c:pt idx="814">
                  <c:v>254.2500038</c:v>
                </c:pt>
                <c:pt idx="815">
                  <c:v>254.419997</c:v>
                </c:pt>
                <c:pt idx="816">
                  <c:v>256.46999820000002</c:v>
                </c:pt>
                <c:pt idx="817">
                  <c:v>257.70999860000001</c:v>
                </c:pt>
                <c:pt idx="818">
                  <c:v>259.17999880000002</c:v>
                </c:pt>
                <c:pt idx="819">
                  <c:v>260.06999839999997</c:v>
                </c:pt>
                <c:pt idx="820">
                  <c:v>260.3800013</c:v>
                </c:pt>
                <c:pt idx="821">
                  <c:v>262.88999810000001</c:v>
                </c:pt>
                <c:pt idx="822">
                  <c:v>263.81000069999999</c:v>
                </c:pt>
                <c:pt idx="823">
                  <c:v>264.58999970000002</c:v>
                </c:pt>
                <c:pt idx="824">
                  <c:v>268.05000200000001</c:v>
                </c:pt>
                <c:pt idx="825">
                  <c:v>277.57999860000001</c:v>
                </c:pt>
                <c:pt idx="826">
                  <c:v>279.21999499999998</c:v>
                </c:pt>
                <c:pt idx="827">
                  <c:v>280.98999950000001</c:v>
                </c:pt>
                <c:pt idx="828">
                  <c:v>282.49000100000001</c:v>
                </c:pt>
                <c:pt idx="829">
                  <c:v>287.69000299999999</c:v>
                </c:pt>
                <c:pt idx="830">
                  <c:v>288.33000349999998</c:v>
                </c:pt>
                <c:pt idx="831">
                  <c:v>293.88000110000002</c:v>
                </c:pt>
                <c:pt idx="832">
                  <c:v>295.54999570000001</c:v>
                </c:pt>
                <c:pt idx="833">
                  <c:v>297.82999810000001</c:v>
                </c:pt>
                <c:pt idx="834">
                  <c:v>297.91000070000001</c:v>
                </c:pt>
                <c:pt idx="835">
                  <c:v>299.52999829999999</c:v>
                </c:pt>
                <c:pt idx="836">
                  <c:v>301.0499992</c:v>
                </c:pt>
                <c:pt idx="837">
                  <c:v>314.29999830000003</c:v>
                </c:pt>
                <c:pt idx="838">
                  <c:v>315.90000509999999</c:v>
                </c:pt>
                <c:pt idx="839">
                  <c:v>318.97000320000001</c:v>
                </c:pt>
                <c:pt idx="840">
                  <c:v>319.00000189999997</c:v>
                </c:pt>
                <c:pt idx="841">
                  <c:v>321.87000039999998</c:v>
                </c:pt>
                <c:pt idx="842">
                  <c:v>323.06000710000001</c:v>
                </c:pt>
                <c:pt idx="843">
                  <c:v>332.98999889999999</c:v>
                </c:pt>
                <c:pt idx="844">
                  <c:v>333.74999430000003</c:v>
                </c:pt>
                <c:pt idx="845">
                  <c:v>340.40999929999998</c:v>
                </c:pt>
                <c:pt idx="846">
                  <c:v>343.25999439999998</c:v>
                </c:pt>
                <c:pt idx="847">
                  <c:v>343.41999939999999</c:v>
                </c:pt>
                <c:pt idx="848">
                  <c:v>350.50999569999999</c:v>
                </c:pt>
                <c:pt idx="849">
                  <c:v>352.44999890000003</c:v>
                </c:pt>
                <c:pt idx="850">
                  <c:v>358.18999700000001</c:v>
                </c:pt>
                <c:pt idx="851">
                  <c:v>358.55000289999998</c:v>
                </c:pt>
                <c:pt idx="852">
                  <c:v>359.47000009999999</c:v>
                </c:pt>
                <c:pt idx="853">
                  <c:v>360.15000149999997</c:v>
                </c:pt>
                <c:pt idx="854">
                  <c:v>365.6600009</c:v>
                </c:pt>
                <c:pt idx="855">
                  <c:v>369.069997</c:v>
                </c:pt>
                <c:pt idx="856">
                  <c:v>375.71999629999999</c:v>
                </c:pt>
                <c:pt idx="857">
                  <c:v>380.65999520000003</c:v>
                </c:pt>
                <c:pt idx="858">
                  <c:v>390.25999919999998</c:v>
                </c:pt>
                <c:pt idx="859">
                  <c:v>402.30000260000003</c:v>
                </c:pt>
                <c:pt idx="860">
                  <c:v>409.56000260000002</c:v>
                </c:pt>
                <c:pt idx="861">
                  <c:v>420.5799983</c:v>
                </c:pt>
                <c:pt idx="862">
                  <c:v>422.84000379999998</c:v>
                </c:pt>
                <c:pt idx="863">
                  <c:v>429.47999809999999</c:v>
                </c:pt>
                <c:pt idx="864">
                  <c:v>465.07999810000001</c:v>
                </c:pt>
                <c:pt idx="865">
                  <c:v>541.70000230000005</c:v>
                </c:pt>
                <c:pt idx="866">
                  <c:v>603.38000199999999</c:v>
                </c:pt>
                <c:pt idx="867">
                  <c:v>612.30000319999999</c:v>
                </c:pt>
                <c:pt idx="868">
                  <c:v>639.94999810000002</c:v>
                </c:pt>
              </c:numCache>
            </c:numRef>
          </c:xVal>
          <c:yVal>
            <c:numRef>
              <c:f>Pivot_for_Dashborad!$AP$10:$AP$878</c:f>
              <c:numCache>
                <c:formatCode>0</c:formatCode>
                <c:ptCount val="869"/>
                <c:pt idx="0">
                  <c:v>0.3671497584541063</c:v>
                </c:pt>
                <c:pt idx="1">
                  <c:v>1</c:v>
                </c:pt>
                <c:pt idx="2">
                  <c:v>0</c:v>
                </c:pt>
                <c:pt idx="3">
                  <c:v>0</c:v>
                </c:pt>
                <c:pt idx="4">
                  <c:v>1</c:v>
                </c:pt>
                <c:pt idx="5">
                  <c:v>0</c:v>
                </c:pt>
                <c:pt idx="6">
                  <c:v>0</c:v>
                </c:pt>
                <c:pt idx="7">
                  <c:v>0.5</c:v>
                </c:pt>
                <c:pt idx="8">
                  <c:v>0</c:v>
                </c:pt>
                <c:pt idx="9">
                  <c:v>1</c:v>
                </c:pt>
                <c:pt idx="10">
                  <c:v>0.5</c:v>
                </c:pt>
                <c:pt idx="11">
                  <c:v>0</c:v>
                </c:pt>
                <c:pt idx="12">
                  <c:v>0</c:v>
                </c:pt>
                <c:pt idx="13">
                  <c:v>0</c:v>
                </c:pt>
                <c:pt idx="14">
                  <c:v>0</c:v>
                </c:pt>
                <c:pt idx="15">
                  <c:v>0.5</c:v>
                </c:pt>
                <c:pt idx="16">
                  <c:v>0.5</c:v>
                </c:pt>
                <c:pt idx="17">
                  <c:v>0</c:v>
                </c:pt>
                <c:pt idx="18">
                  <c:v>0</c:v>
                </c:pt>
                <c:pt idx="19">
                  <c:v>1</c:v>
                </c:pt>
                <c:pt idx="20">
                  <c:v>0</c:v>
                </c:pt>
                <c:pt idx="21">
                  <c:v>0</c:v>
                </c:pt>
                <c:pt idx="22">
                  <c:v>0</c:v>
                </c:pt>
                <c:pt idx="23">
                  <c:v>1</c:v>
                </c:pt>
                <c:pt idx="24">
                  <c:v>1</c:v>
                </c:pt>
                <c:pt idx="25">
                  <c:v>1</c:v>
                </c:pt>
                <c:pt idx="26">
                  <c:v>0</c:v>
                </c:pt>
                <c:pt idx="27">
                  <c:v>0</c:v>
                </c:pt>
                <c:pt idx="28">
                  <c:v>0</c:v>
                </c:pt>
                <c:pt idx="29">
                  <c:v>0.66666666666666663</c:v>
                </c:pt>
                <c:pt idx="30">
                  <c:v>0</c:v>
                </c:pt>
                <c:pt idx="31">
                  <c:v>0</c:v>
                </c:pt>
                <c:pt idx="32">
                  <c:v>1</c:v>
                </c:pt>
                <c:pt idx="33">
                  <c:v>0</c:v>
                </c:pt>
                <c:pt idx="34">
                  <c:v>0.5</c:v>
                </c:pt>
                <c:pt idx="35">
                  <c:v>0</c:v>
                </c:pt>
                <c:pt idx="36">
                  <c:v>0</c:v>
                </c:pt>
                <c:pt idx="37">
                  <c:v>0.5</c:v>
                </c:pt>
                <c:pt idx="38">
                  <c:v>1</c:v>
                </c:pt>
                <c:pt idx="39">
                  <c:v>0.5</c:v>
                </c:pt>
                <c:pt idx="40">
                  <c:v>0</c:v>
                </c:pt>
                <c:pt idx="41">
                  <c:v>0.33333333333333331</c:v>
                </c:pt>
                <c:pt idx="42">
                  <c:v>0.4</c:v>
                </c:pt>
                <c:pt idx="43">
                  <c:v>0.33333333333333331</c:v>
                </c:pt>
                <c:pt idx="44">
                  <c:v>0.5</c:v>
                </c:pt>
                <c:pt idx="45">
                  <c:v>0.5</c:v>
                </c:pt>
                <c:pt idx="46">
                  <c:v>1</c:v>
                </c:pt>
                <c:pt idx="47">
                  <c:v>0.5</c:v>
                </c:pt>
                <c:pt idx="48">
                  <c:v>0</c:v>
                </c:pt>
                <c:pt idx="49">
                  <c:v>0.5</c:v>
                </c:pt>
                <c:pt idx="50">
                  <c:v>0</c:v>
                </c:pt>
                <c:pt idx="51">
                  <c:v>0</c:v>
                </c:pt>
                <c:pt idx="52">
                  <c:v>1</c:v>
                </c:pt>
                <c:pt idx="53">
                  <c:v>1</c:v>
                </c:pt>
                <c:pt idx="54">
                  <c:v>0.66666666666666663</c:v>
                </c:pt>
                <c:pt idx="55">
                  <c:v>0.5</c:v>
                </c:pt>
                <c:pt idx="56">
                  <c:v>0</c:v>
                </c:pt>
                <c:pt idx="57">
                  <c:v>1</c:v>
                </c:pt>
                <c:pt idx="58">
                  <c:v>0.25</c:v>
                </c:pt>
                <c:pt idx="59">
                  <c:v>0</c:v>
                </c:pt>
                <c:pt idx="60">
                  <c:v>1</c:v>
                </c:pt>
                <c:pt idx="61">
                  <c:v>0.33333333333333331</c:v>
                </c:pt>
                <c:pt idx="62">
                  <c:v>0.66666666666666663</c:v>
                </c:pt>
                <c:pt idx="63">
                  <c:v>1</c:v>
                </c:pt>
                <c:pt idx="64">
                  <c:v>0</c:v>
                </c:pt>
                <c:pt idx="65">
                  <c:v>0.5</c:v>
                </c:pt>
                <c:pt idx="66">
                  <c:v>0.5</c:v>
                </c:pt>
                <c:pt idx="67">
                  <c:v>1</c:v>
                </c:pt>
                <c:pt idx="68">
                  <c:v>1</c:v>
                </c:pt>
                <c:pt idx="69">
                  <c:v>0.5</c:v>
                </c:pt>
                <c:pt idx="70">
                  <c:v>0</c:v>
                </c:pt>
                <c:pt idx="71">
                  <c:v>1</c:v>
                </c:pt>
                <c:pt idx="72">
                  <c:v>1</c:v>
                </c:pt>
                <c:pt idx="73">
                  <c:v>0</c:v>
                </c:pt>
                <c:pt idx="74">
                  <c:v>0</c:v>
                </c:pt>
                <c:pt idx="75">
                  <c:v>0.5</c:v>
                </c:pt>
                <c:pt idx="76">
                  <c:v>0</c:v>
                </c:pt>
                <c:pt idx="77">
                  <c:v>0.5</c:v>
                </c:pt>
                <c:pt idx="78">
                  <c:v>0</c:v>
                </c:pt>
                <c:pt idx="79">
                  <c:v>0</c:v>
                </c:pt>
                <c:pt idx="80">
                  <c:v>1</c:v>
                </c:pt>
                <c:pt idx="81">
                  <c:v>0</c:v>
                </c:pt>
                <c:pt idx="82">
                  <c:v>1</c:v>
                </c:pt>
                <c:pt idx="83">
                  <c:v>0</c:v>
                </c:pt>
                <c:pt idx="84">
                  <c:v>0</c:v>
                </c:pt>
                <c:pt idx="85">
                  <c:v>0</c:v>
                </c:pt>
                <c:pt idx="86">
                  <c:v>1</c:v>
                </c:pt>
                <c:pt idx="87">
                  <c:v>0</c:v>
                </c:pt>
                <c:pt idx="88">
                  <c:v>1</c:v>
                </c:pt>
                <c:pt idx="89">
                  <c:v>1</c:v>
                </c:pt>
                <c:pt idx="90">
                  <c:v>1</c:v>
                </c:pt>
                <c:pt idx="91">
                  <c:v>0</c:v>
                </c:pt>
                <c:pt idx="92">
                  <c:v>0</c:v>
                </c:pt>
                <c:pt idx="93">
                  <c:v>1</c:v>
                </c:pt>
                <c:pt idx="94">
                  <c:v>0</c:v>
                </c:pt>
                <c:pt idx="95">
                  <c:v>1</c:v>
                </c:pt>
                <c:pt idx="96">
                  <c:v>1</c:v>
                </c:pt>
                <c:pt idx="97">
                  <c:v>1</c:v>
                </c:pt>
                <c:pt idx="98">
                  <c:v>1</c:v>
                </c:pt>
                <c:pt idx="99">
                  <c:v>0</c:v>
                </c:pt>
                <c:pt idx="100">
                  <c:v>1</c:v>
                </c:pt>
                <c:pt idx="101">
                  <c:v>0</c:v>
                </c:pt>
                <c:pt idx="102">
                  <c:v>0</c:v>
                </c:pt>
                <c:pt idx="103">
                  <c:v>1</c:v>
                </c:pt>
                <c:pt idx="104">
                  <c:v>1</c:v>
                </c:pt>
                <c:pt idx="105">
                  <c:v>0</c:v>
                </c:pt>
                <c:pt idx="106">
                  <c:v>0.5</c:v>
                </c:pt>
                <c:pt idx="107">
                  <c:v>0.5</c:v>
                </c:pt>
                <c:pt idx="108">
                  <c:v>0</c:v>
                </c:pt>
                <c:pt idx="109">
                  <c:v>0</c:v>
                </c:pt>
                <c:pt idx="110">
                  <c:v>1</c:v>
                </c:pt>
                <c:pt idx="111">
                  <c:v>0</c:v>
                </c:pt>
                <c:pt idx="112">
                  <c:v>0.5</c:v>
                </c:pt>
                <c:pt idx="113">
                  <c:v>0</c:v>
                </c:pt>
                <c:pt idx="114">
                  <c:v>0</c:v>
                </c:pt>
                <c:pt idx="115">
                  <c:v>1</c:v>
                </c:pt>
                <c:pt idx="116">
                  <c:v>0</c:v>
                </c:pt>
                <c:pt idx="117">
                  <c:v>1</c:v>
                </c:pt>
                <c:pt idx="118">
                  <c:v>0</c:v>
                </c:pt>
                <c:pt idx="119">
                  <c:v>0</c:v>
                </c:pt>
                <c:pt idx="120">
                  <c:v>0.5</c:v>
                </c:pt>
                <c:pt idx="121">
                  <c:v>1</c:v>
                </c:pt>
                <c:pt idx="122">
                  <c:v>1</c:v>
                </c:pt>
                <c:pt idx="123">
                  <c:v>0</c:v>
                </c:pt>
                <c:pt idx="124">
                  <c:v>1</c:v>
                </c:pt>
                <c:pt idx="125">
                  <c:v>1</c:v>
                </c:pt>
                <c:pt idx="126">
                  <c:v>0</c:v>
                </c:pt>
                <c:pt idx="127">
                  <c:v>1</c:v>
                </c:pt>
                <c:pt idx="128">
                  <c:v>0</c:v>
                </c:pt>
                <c:pt idx="129">
                  <c:v>1</c:v>
                </c:pt>
                <c:pt idx="130">
                  <c:v>0</c:v>
                </c:pt>
                <c:pt idx="131">
                  <c:v>0</c:v>
                </c:pt>
                <c:pt idx="132">
                  <c:v>1</c:v>
                </c:pt>
                <c:pt idx="133">
                  <c:v>0</c:v>
                </c:pt>
                <c:pt idx="134">
                  <c:v>0</c:v>
                </c:pt>
                <c:pt idx="135">
                  <c:v>1</c:v>
                </c:pt>
                <c:pt idx="136">
                  <c:v>0</c:v>
                </c:pt>
                <c:pt idx="137">
                  <c:v>0</c:v>
                </c:pt>
                <c:pt idx="138">
                  <c:v>0</c:v>
                </c:pt>
                <c:pt idx="139">
                  <c:v>0</c:v>
                </c:pt>
                <c:pt idx="140">
                  <c:v>0</c:v>
                </c:pt>
                <c:pt idx="141">
                  <c:v>1</c:v>
                </c:pt>
                <c:pt idx="142">
                  <c:v>0</c:v>
                </c:pt>
                <c:pt idx="143">
                  <c:v>0</c:v>
                </c:pt>
                <c:pt idx="144">
                  <c:v>0</c:v>
                </c:pt>
                <c:pt idx="145">
                  <c:v>0</c:v>
                </c:pt>
                <c:pt idx="146">
                  <c:v>1</c:v>
                </c:pt>
                <c:pt idx="147">
                  <c:v>0.5</c:v>
                </c:pt>
                <c:pt idx="148">
                  <c:v>0</c:v>
                </c:pt>
                <c:pt idx="149">
                  <c:v>1</c:v>
                </c:pt>
                <c:pt idx="150">
                  <c:v>0</c:v>
                </c:pt>
                <c:pt idx="151">
                  <c:v>0</c:v>
                </c:pt>
                <c:pt idx="152">
                  <c:v>1</c:v>
                </c:pt>
                <c:pt idx="153">
                  <c:v>0</c:v>
                </c:pt>
                <c:pt idx="154">
                  <c:v>0</c:v>
                </c:pt>
                <c:pt idx="155">
                  <c:v>0</c:v>
                </c:pt>
                <c:pt idx="156">
                  <c:v>1</c:v>
                </c:pt>
                <c:pt idx="157">
                  <c:v>0</c:v>
                </c:pt>
                <c:pt idx="158">
                  <c:v>2</c:v>
                </c:pt>
                <c:pt idx="159">
                  <c:v>0</c:v>
                </c:pt>
                <c:pt idx="160">
                  <c:v>0</c:v>
                </c:pt>
                <c:pt idx="161">
                  <c:v>0</c:v>
                </c:pt>
                <c:pt idx="162">
                  <c:v>0</c:v>
                </c:pt>
                <c:pt idx="163">
                  <c:v>0</c:v>
                </c:pt>
                <c:pt idx="164">
                  <c:v>1</c:v>
                </c:pt>
                <c:pt idx="165">
                  <c:v>0</c:v>
                </c:pt>
                <c:pt idx="166">
                  <c:v>1</c:v>
                </c:pt>
                <c:pt idx="167">
                  <c:v>1</c:v>
                </c:pt>
                <c:pt idx="168">
                  <c:v>1</c:v>
                </c:pt>
                <c:pt idx="169">
                  <c:v>0</c:v>
                </c:pt>
                <c:pt idx="170">
                  <c:v>1</c:v>
                </c:pt>
                <c:pt idx="171">
                  <c:v>0</c:v>
                </c:pt>
                <c:pt idx="172">
                  <c:v>1</c:v>
                </c:pt>
                <c:pt idx="173">
                  <c:v>1</c:v>
                </c:pt>
                <c:pt idx="174">
                  <c:v>1</c:v>
                </c:pt>
                <c:pt idx="175">
                  <c:v>0</c:v>
                </c:pt>
                <c:pt idx="176">
                  <c:v>1</c:v>
                </c:pt>
                <c:pt idx="177">
                  <c:v>1</c:v>
                </c:pt>
                <c:pt idx="178">
                  <c:v>1</c:v>
                </c:pt>
                <c:pt idx="179">
                  <c:v>1</c:v>
                </c:pt>
                <c:pt idx="180">
                  <c:v>1</c:v>
                </c:pt>
                <c:pt idx="181">
                  <c:v>0</c:v>
                </c:pt>
                <c:pt idx="182">
                  <c:v>1</c:v>
                </c:pt>
                <c:pt idx="183">
                  <c:v>0</c:v>
                </c:pt>
                <c:pt idx="184">
                  <c:v>0.5</c:v>
                </c:pt>
                <c:pt idx="185">
                  <c:v>0</c:v>
                </c:pt>
                <c:pt idx="186">
                  <c:v>1</c:v>
                </c:pt>
                <c:pt idx="187">
                  <c:v>1</c:v>
                </c:pt>
                <c:pt idx="188">
                  <c:v>0</c:v>
                </c:pt>
                <c:pt idx="189">
                  <c:v>0</c:v>
                </c:pt>
                <c:pt idx="190">
                  <c:v>0</c:v>
                </c:pt>
                <c:pt idx="191">
                  <c:v>1</c:v>
                </c:pt>
                <c:pt idx="192">
                  <c:v>1</c:v>
                </c:pt>
                <c:pt idx="193">
                  <c:v>0</c:v>
                </c:pt>
                <c:pt idx="194">
                  <c:v>0</c:v>
                </c:pt>
                <c:pt idx="195">
                  <c:v>0</c:v>
                </c:pt>
                <c:pt idx="196">
                  <c:v>0</c:v>
                </c:pt>
                <c:pt idx="197">
                  <c:v>1</c:v>
                </c:pt>
                <c:pt idx="198">
                  <c:v>0</c:v>
                </c:pt>
                <c:pt idx="199">
                  <c:v>0</c:v>
                </c:pt>
                <c:pt idx="200">
                  <c:v>0</c:v>
                </c:pt>
                <c:pt idx="201">
                  <c:v>0</c:v>
                </c:pt>
                <c:pt idx="202">
                  <c:v>0</c:v>
                </c:pt>
                <c:pt idx="203">
                  <c:v>0</c:v>
                </c:pt>
                <c:pt idx="204">
                  <c:v>0</c:v>
                </c:pt>
                <c:pt idx="205">
                  <c:v>1</c:v>
                </c:pt>
                <c:pt idx="206">
                  <c:v>0</c:v>
                </c:pt>
                <c:pt idx="207">
                  <c:v>0</c:v>
                </c:pt>
                <c:pt idx="208">
                  <c:v>1</c:v>
                </c:pt>
                <c:pt idx="209">
                  <c:v>0</c:v>
                </c:pt>
                <c:pt idx="210">
                  <c:v>0</c:v>
                </c:pt>
                <c:pt idx="211">
                  <c:v>0</c:v>
                </c:pt>
                <c:pt idx="212">
                  <c:v>0</c:v>
                </c:pt>
                <c:pt idx="213">
                  <c:v>0</c:v>
                </c:pt>
                <c:pt idx="214">
                  <c:v>0</c:v>
                </c:pt>
                <c:pt idx="215">
                  <c:v>0</c:v>
                </c:pt>
                <c:pt idx="216">
                  <c:v>0</c:v>
                </c:pt>
                <c:pt idx="217">
                  <c:v>0</c:v>
                </c:pt>
                <c:pt idx="218">
                  <c:v>1</c:v>
                </c:pt>
                <c:pt idx="219">
                  <c:v>0</c:v>
                </c:pt>
                <c:pt idx="220">
                  <c:v>0</c:v>
                </c:pt>
                <c:pt idx="221">
                  <c:v>0</c:v>
                </c:pt>
                <c:pt idx="222">
                  <c:v>0</c:v>
                </c:pt>
                <c:pt idx="223">
                  <c:v>4</c:v>
                </c:pt>
                <c:pt idx="224">
                  <c:v>1</c:v>
                </c:pt>
                <c:pt idx="225">
                  <c:v>0</c:v>
                </c:pt>
                <c:pt idx="226">
                  <c:v>1</c:v>
                </c:pt>
                <c:pt idx="227">
                  <c:v>0</c:v>
                </c:pt>
                <c:pt idx="228">
                  <c:v>1</c:v>
                </c:pt>
                <c:pt idx="229">
                  <c:v>0</c:v>
                </c:pt>
                <c:pt idx="230">
                  <c:v>1</c:v>
                </c:pt>
                <c:pt idx="231">
                  <c:v>1</c:v>
                </c:pt>
                <c:pt idx="232">
                  <c:v>0</c:v>
                </c:pt>
                <c:pt idx="233">
                  <c:v>0</c:v>
                </c:pt>
                <c:pt idx="234">
                  <c:v>0</c:v>
                </c:pt>
                <c:pt idx="235">
                  <c:v>2</c:v>
                </c:pt>
                <c:pt idx="236">
                  <c:v>1</c:v>
                </c:pt>
                <c:pt idx="237">
                  <c:v>0</c:v>
                </c:pt>
                <c:pt idx="238">
                  <c:v>0</c:v>
                </c:pt>
                <c:pt idx="239">
                  <c:v>0</c:v>
                </c:pt>
                <c:pt idx="240">
                  <c:v>0</c:v>
                </c:pt>
                <c:pt idx="241">
                  <c:v>0</c:v>
                </c:pt>
                <c:pt idx="242">
                  <c:v>1</c:v>
                </c:pt>
                <c:pt idx="243">
                  <c:v>0</c:v>
                </c:pt>
                <c:pt idx="244">
                  <c:v>2</c:v>
                </c:pt>
                <c:pt idx="245">
                  <c:v>1</c:v>
                </c:pt>
                <c:pt idx="246">
                  <c:v>3</c:v>
                </c:pt>
                <c:pt idx="247">
                  <c:v>0</c:v>
                </c:pt>
                <c:pt idx="248">
                  <c:v>0</c:v>
                </c:pt>
                <c:pt idx="249">
                  <c:v>1</c:v>
                </c:pt>
                <c:pt idx="250">
                  <c:v>1</c:v>
                </c:pt>
                <c:pt idx="251">
                  <c:v>0</c:v>
                </c:pt>
                <c:pt idx="252">
                  <c:v>0</c:v>
                </c:pt>
                <c:pt idx="253">
                  <c:v>0</c:v>
                </c:pt>
                <c:pt idx="254">
                  <c:v>1</c:v>
                </c:pt>
                <c:pt idx="255">
                  <c:v>0</c:v>
                </c:pt>
                <c:pt idx="256">
                  <c:v>0</c:v>
                </c:pt>
                <c:pt idx="257">
                  <c:v>1</c:v>
                </c:pt>
                <c:pt idx="258">
                  <c:v>0</c:v>
                </c:pt>
                <c:pt idx="259">
                  <c:v>1</c:v>
                </c:pt>
                <c:pt idx="260">
                  <c:v>0</c:v>
                </c:pt>
                <c:pt idx="261">
                  <c:v>0</c:v>
                </c:pt>
                <c:pt idx="262">
                  <c:v>0</c:v>
                </c:pt>
                <c:pt idx="263">
                  <c:v>1</c:v>
                </c:pt>
                <c:pt idx="264">
                  <c:v>0</c:v>
                </c:pt>
                <c:pt idx="265">
                  <c:v>1</c:v>
                </c:pt>
                <c:pt idx="266">
                  <c:v>1</c:v>
                </c:pt>
                <c:pt idx="267">
                  <c:v>1</c:v>
                </c:pt>
                <c:pt idx="268">
                  <c:v>0</c:v>
                </c:pt>
                <c:pt idx="269">
                  <c:v>1</c:v>
                </c:pt>
                <c:pt idx="270">
                  <c:v>1</c:v>
                </c:pt>
                <c:pt idx="271">
                  <c:v>0</c:v>
                </c:pt>
                <c:pt idx="272">
                  <c:v>0</c:v>
                </c:pt>
                <c:pt idx="273">
                  <c:v>1</c:v>
                </c:pt>
                <c:pt idx="274">
                  <c:v>1</c:v>
                </c:pt>
                <c:pt idx="275">
                  <c:v>1</c:v>
                </c:pt>
                <c:pt idx="276">
                  <c:v>1</c:v>
                </c:pt>
                <c:pt idx="277">
                  <c:v>1</c:v>
                </c:pt>
                <c:pt idx="278">
                  <c:v>1</c:v>
                </c:pt>
                <c:pt idx="279">
                  <c:v>0</c:v>
                </c:pt>
                <c:pt idx="280">
                  <c:v>0</c:v>
                </c:pt>
                <c:pt idx="281">
                  <c:v>1</c:v>
                </c:pt>
                <c:pt idx="282">
                  <c:v>0</c:v>
                </c:pt>
                <c:pt idx="283">
                  <c:v>0</c:v>
                </c:pt>
                <c:pt idx="284">
                  <c:v>0</c:v>
                </c:pt>
                <c:pt idx="285">
                  <c:v>0</c:v>
                </c:pt>
                <c:pt idx="286">
                  <c:v>0</c:v>
                </c:pt>
                <c:pt idx="287">
                  <c:v>0</c:v>
                </c:pt>
                <c:pt idx="288">
                  <c:v>2</c:v>
                </c:pt>
                <c:pt idx="289">
                  <c:v>2</c:v>
                </c:pt>
                <c:pt idx="290">
                  <c:v>1</c:v>
                </c:pt>
                <c:pt idx="291">
                  <c:v>0</c:v>
                </c:pt>
                <c:pt idx="292">
                  <c:v>2</c:v>
                </c:pt>
                <c:pt idx="293">
                  <c:v>0</c:v>
                </c:pt>
                <c:pt idx="294">
                  <c:v>1</c:v>
                </c:pt>
                <c:pt idx="295">
                  <c:v>0</c:v>
                </c:pt>
                <c:pt idx="296">
                  <c:v>1</c:v>
                </c:pt>
                <c:pt idx="297">
                  <c:v>1</c:v>
                </c:pt>
                <c:pt idx="298">
                  <c:v>0</c:v>
                </c:pt>
                <c:pt idx="299">
                  <c:v>0</c:v>
                </c:pt>
                <c:pt idx="300">
                  <c:v>0</c:v>
                </c:pt>
                <c:pt idx="301">
                  <c:v>1</c:v>
                </c:pt>
                <c:pt idx="302">
                  <c:v>1</c:v>
                </c:pt>
                <c:pt idx="303">
                  <c:v>0</c:v>
                </c:pt>
                <c:pt idx="304">
                  <c:v>1</c:v>
                </c:pt>
                <c:pt idx="305">
                  <c:v>0</c:v>
                </c:pt>
                <c:pt idx="306">
                  <c:v>0</c:v>
                </c:pt>
                <c:pt idx="307">
                  <c:v>0</c:v>
                </c:pt>
                <c:pt idx="308">
                  <c:v>0</c:v>
                </c:pt>
                <c:pt idx="309">
                  <c:v>0</c:v>
                </c:pt>
                <c:pt idx="310">
                  <c:v>1</c:v>
                </c:pt>
                <c:pt idx="311">
                  <c:v>1</c:v>
                </c:pt>
                <c:pt idx="312">
                  <c:v>0</c:v>
                </c:pt>
                <c:pt idx="313">
                  <c:v>0</c:v>
                </c:pt>
                <c:pt idx="314">
                  <c:v>0</c:v>
                </c:pt>
                <c:pt idx="315">
                  <c:v>2</c:v>
                </c:pt>
                <c:pt idx="316">
                  <c:v>0</c:v>
                </c:pt>
                <c:pt idx="317">
                  <c:v>0</c:v>
                </c:pt>
                <c:pt idx="318">
                  <c:v>2</c:v>
                </c:pt>
                <c:pt idx="319">
                  <c:v>1</c:v>
                </c:pt>
                <c:pt idx="320">
                  <c:v>1</c:v>
                </c:pt>
                <c:pt idx="321">
                  <c:v>1</c:v>
                </c:pt>
                <c:pt idx="322">
                  <c:v>0</c:v>
                </c:pt>
                <c:pt idx="323">
                  <c:v>0</c:v>
                </c:pt>
                <c:pt idx="324">
                  <c:v>0</c:v>
                </c:pt>
                <c:pt idx="325">
                  <c:v>0</c:v>
                </c:pt>
                <c:pt idx="326">
                  <c:v>0</c:v>
                </c:pt>
                <c:pt idx="327">
                  <c:v>0</c:v>
                </c:pt>
                <c:pt idx="328">
                  <c:v>0</c:v>
                </c:pt>
                <c:pt idx="329">
                  <c:v>1</c:v>
                </c:pt>
                <c:pt idx="330">
                  <c:v>0</c:v>
                </c:pt>
                <c:pt idx="331">
                  <c:v>0</c:v>
                </c:pt>
                <c:pt idx="332">
                  <c:v>0</c:v>
                </c:pt>
                <c:pt idx="333">
                  <c:v>0</c:v>
                </c:pt>
                <c:pt idx="334">
                  <c:v>0</c:v>
                </c:pt>
                <c:pt idx="335">
                  <c:v>0</c:v>
                </c:pt>
                <c:pt idx="336">
                  <c:v>0</c:v>
                </c:pt>
                <c:pt idx="337">
                  <c:v>1</c:v>
                </c:pt>
                <c:pt idx="338">
                  <c:v>1</c:v>
                </c:pt>
                <c:pt idx="339">
                  <c:v>1</c:v>
                </c:pt>
                <c:pt idx="340">
                  <c:v>2</c:v>
                </c:pt>
                <c:pt idx="341">
                  <c:v>0</c:v>
                </c:pt>
                <c:pt idx="342">
                  <c:v>1</c:v>
                </c:pt>
                <c:pt idx="343">
                  <c:v>1</c:v>
                </c:pt>
                <c:pt idx="344">
                  <c:v>2</c:v>
                </c:pt>
                <c:pt idx="345">
                  <c:v>0</c:v>
                </c:pt>
                <c:pt idx="346">
                  <c:v>0</c:v>
                </c:pt>
                <c:pt idx="347">
                  <c:v>0</c:v>
                </c:pt>
                <c:pt idx="348">
                  <c:v>1</c:v>
                </c:pt>
                <c:pt idx="349">
                  <c:v>1</c:v>
                </c:pt>
                <c:pt idx="350">
                  <c:v>3</c:v>
                </c:pt>
                <c:pt idx="351">
                  <c:v>2</c:v>
                </c:pt>
                <c:pt idx="352">
                  <c:v>0</c:v>
                </c:pt>
                <c:pt idx="353">
                  <c:v>1</c:v>
                </c:pt>
                <c:pt idx="354">
                  <c:v>0</c:v>
                </c:pt>
                <c:pt idx="355">
                  <c:v>0</c:v>
                </c:pt>
                <c:pt idx="356">
                  <c:v>1</c:v>
                </c:pt>
                <c:pt idx="357">
                  <c:v>1</c:v>
                </c:pt>
                <c:pt idx="358">
                  <c:v>1</c:v>
                </c:pt>
                <c:pt idx="359">
                  <c:v>0</c:v>
                </c:pt>
                <c:pt idx="360">
                  <c:v>0</c:v>
                </c:pt>
                <c:pt idx="361">
                  <c:v>1</c:v>
                </c:pt>
                <c:pt idx="362">
                  <c:v>1</c:v>
                </c:pt>
                <c:pt idx="363">
                  <c:v>0</c:v>
                </c:pt>
                <c:pt idx="364">
                  <c:v>0</c:v>
                </c:pt>
                <c:pt idx="365">
                  <c:v>2</c:v>
                </c:pt>
                <c:pt idx="366">
                  <c:v>0</c:v>
                </c:pt>
                <c:pt idx="367">
                  <c:v>0</c:v>
                </c:pt>
                <c:pt idx="368">
                  <c:v>0</c:v>
                </c:pt>
                <c:pt idx="369">
                  <c:v>0</c:v>
                </c:pt>
                <c:pt idx="370">
                  <c:v>1</c:v>
                </c:pt>
                <c:pt idx="371">
                  <c:v>0</c:v>
                </c:pt>
                <c:pt idx="372">
                  <c:v>0</c:v>
                </c:pt>
                <c:pt idx="373">
                  <c:v>1</c:v>
                </c:pt>
                <c:pt idx="374">
                  <c:v>1</c:v>
                </c:pt>
                <c:pt idx="375">
                  <c:v>3</c:v>
                </c:pt>
                <c:pt idx="376">
                  <c:v>1</c:v>
                </c:pt>
                <c:pt idx="377">
                  <c:v>0</c:v>
                </c:pt>
                <c:pt idx="378">
                  <c:v>0</c:v>
                </c:pt>
                <c:pt idx="379">
                  <c:v>1</c:v>
                </c:pt>
                <c:pt idx="380">
                  <c:v>0</c:v>
                </c:pt>
                <c:pt idx="381">
                  <c:v>1</c:v>
                </c:pt>
                <c:pt idx="382">
                  <c:v>0</c:v>
                </c:pt>
                <c:pt idx="383">
                  <c:v>0</c:v>
                </c:pt>
                <c:pt idx="384">
                  <c:v>0</c:v>
                </c:pt>
                <c:pt idx="385">
                  <c:v>1</c:v>
                </c:pt>
                <c:pt idx="386">
                  <c:v>1</c:v>
                </c:pt>
                <c:pt idx="387">
                  <c:v>0</c:v>
                </c:pt>
                <c:pt idx="388">
                  <c:v>0</c:v>
                </c:pt>
                <c:pt idx="389">
                  <c:v>0</c:v>
                </c:pt>
                <c:pt idx="390">
                  <c:v>0</c:v>
                </c:pt>
                <c:pt idx="391">
                  <c:v>0</c:v>
                </c:pt>
                <c:pt idx="392">
                  <c:v>2</c:v>
                </c:pt>
                <c:pt idx="393">
                  <c:v>1</c:v>
                </c:pt>
                <c:pt idx="394">
                  <c:v>1</c:v>
                </c:pt>
                <c:pt idx="395">
                  <c:v>1</c:v>
                </c:pt>
                <c:pt idx="396">
                  <c:v>0</c:v>
                </c:pt>
                <c:pt idx="397">
                  <c:v>0</c:v>
                </c:pt>
                <c:pt idx="398">
                  <c:v>0</c:v>
                </c:pt>
                <c:pt idx="399">
                  <c:v>1</c:v>
                </c:pt>
                <c:pt idx="400">
                  <c:v>1</c:v>
                </c:pt>
                <c:pt idx="401">
                  <c:v>0</c:v>
                </c:pt>
                <c:pt idx="402">
                  <c:v>1</c:v>
                </c:pt>
                <c:pt idx="403">
                  <c:v>1</c:v>
                </c:pt>
                <c:pt idx="404">
                  <c:v>1</c:v>
                </c:pt>
                <c:pt idx="405">
                  <c:v>0</c:v>
                </c:pt>
                <c:pt idx="406">
                  <c:v>0</c:v>
                </c:pt>
                <c:pt idx="407">
                  <c:v>0</c:v>
                </c:pt>
                <c:pt idx="408">
                  <c:v>1</c:v>
                </c:pt>
                <c:pt idx="409">
                  <c:v>0</c:v>
                </c:pt>
                <c:pt idx="410">
                  <c:v>0</c:v>
                </c:pt>
                <c:pt idx="411">
                  <c:v>1</c:v>
                </c:pt>
                <c:pt idx="412">
                  <c:v>1</c:v>
                </c:pt>
                <c:pt idx="413">
                  <c:v>0</c:v>
                </c:pt>
                <c:pt idx="414">
                  <c:v>1</c:v>
                </c:pt>
                <c:pt idx="415">
                  <c:v>1</c:v>
                </c:pt>
                <c:pt idx="416">
                  <c:v>0</c:v>
                </c:pt>
                <c:pt idx="417">
                  <c:v>1</c:v>
                </c:pt>
                <c:pt idx="418">
                  <c:v>0</c:v>
                </c:pt>
                <c:pt idx="419">
                  <c:v>0</c:v>
                </c:pt>
                <c:pt idx="420">
                  <c:v>1</c:v>
                </c:pt>
                <c:pt idx="421">
                  <c:v>1</c:v>
                </c:pt>
                <c:pt idx="422">
                  <c:v>1</c:v>
                </c:pt>
                <c:pt idx="423">
                  <c:v>0</c:v>
                </c:pt>
                <c:pt idx="424">
                  <c:v>1</c:v>
                </c:pt>
                <c:pt idx="425">
                  <c:v>1</c:v>
                </c:pt>
                <c:pt idx="426">
                  <c:v>0</c:v>
                </c:pt>
                <c:pt idx="427">
                  <c:v>2</c:v>
                </c:pt>
                <c:pt idx="428">
                  <c:v>1</c:v>
                </c:pt>
                <c:pt idx="429">
                  <c:v>0</c:v>
                </c:pt>
                <c:pt idx="430">
                  <c:v>2</c:v>
                </c:pt>
                <c:pt idx="431">
                  <c:v>0</c:v>
                </c:pt>
                <c:pt idx="432">
                  <c:v>1</c:v>
                </c:pt>
                <c:pt idx="433">
                  <c:v>1</c:v>
                </c:pt>
                <c:pt idx="434">
                  <c:v>1</c:v>
                </c:pt>
                <c:pt idx="435">
                  <c:v>0</c:v>
                </c:pt>
                <c:pt idx="436">
                  <c:v>0</c:v>
                </c:pt>
                <c:pt idx="437">
                  <c:v>3</c:v>
                </c:pt>
                <c:pt idx="438">
                  <c:v>0</c:v>
                </c:pt>
                <c:pt idx="439">
                  <c:v>1</c:v>
                </c:pt>
                <c:pt idx="440">
                  <c:v>1</c:v>
                </c:pt>
                <c:pt idx="441">
                  <c:v>0</c:v>
                </c:pt>
                <c:pt idx="442">
                  <c:v>1</c:v>
                </c:pt>
                <c:pt idx="443">
                  <c:v>0</c:v>
                </c:pt>
                <c:pt idx="444">
                  <c:v>0</c:v>
                </c:pt>
                <c:pt idx="445">
                  <c:v>1</c:v>
                </c:pt>
                <c:pt idx="446">
                  <c:v>1</c:v>
                </c:pt>
                <c:pt idx="447">
                  <c:v>0</c:v>
                </c:pt>
                <c:pt idx="448">
                  <c:v>1</c:v>
                </c:pt>
                <c:pt idx="449">
                  <c:v>2</c:v>
                </c:pt>
                <c:pt idx="450">
                  <c:v>0</c:v>
                </c:pt>
                <c:pt idx="451">
                  <c:v>2</c:v>
                </c:pt>
                <c:pt idx="452">
                  <c:v>1</c:v>
                </c:pt>
                <c:pt idx="453">
                  <c:v>0</c:v>
                </c:pt>
                <c:pt idx="454">
                  <c:v>0</c:v>
                </c:pt>
                <c:pt idx="455">
                  <c:v>1</c:v>
                </c:pt>
                <c:pt idx="456">
                  <c:v>1</c:v>
                </c:pt>
                <c:pt idx="457">
                  <c:v>0</c:v>
                </c:pt>
                <c:pt idx="458">
                  <c:v>0</c:v>
                </c:pt>
                <c:pt idx="459">
                  <c:v>0</c:v>
                </c:pt>
                <c:pt idx="460">
                  <c:v>0</c:v>
                </c:pt>
                <c:pt idx="461">
                  <c:v>1</c:v>
                </c:pt>
                <c:pt idx="462">
                  <c:v>1</c:v>
                </c:pt>
                <c:pt idx="463">
                  <c:v>1</c:v>
                </c:pt>
                <c:pt idx="464">
                  <c:v>0</c:v>
                </c:pt>
                <c:pt idx="465">
                  <c:v>2</c:v>
                </c:pt>
                <c:pt idx="466">
                  <c:v>1</c:v>
                </c:pt>
                <c:pt idx="467">
                  <c:v>12</c:v>
                </c:pt>
                <c:pt idx="468">
                  <c:v>1</c:v>
                </c:pt>
                <c:pt idx="469">
                  <c:v>0</c:v>
                </c:pt>
                <c:pt idx="470">
                  <c:v>1</c:v>
                </c:pt>
                <c:pt idx="471">
                  <c:v>0</c:v>
                </c:pt>
                <c:pt idx="472">
                  <c:v>2</c:v>
                </c:pt>
                <c:pt idx="473">
                  <c:v>0</c:v>
                </c:pt>
                <c:pt idx="474">
                  <c:v>0</c:v>
                </c:pt>
                <c:pt idx="475">
                  <c:v>0</c:v>
                </c:pt>
                <c:pt idx="476">
                  <c:v>0</c:v>
                </c:pt>
                <c:pt idx="477">
                  <c:v>1</c:v>
                </c:pt>
                <c:pt idx="478">
                  <c:v>1</c:v>
                </c:pt>
                <c:pt idx="479">
                  <c:v>1</c:v>
                </c:pt>
                <c:pt idx="480">
                  <c:v>1</c:v>
                </c:pt>
                <c:pt idx="481">
                  <c:v>0</c:v>
                </c:pt>
                <c:pt idx="482">
                  <c:v>1</c:v>
                </c:pt>
                <c:pt idx="483">
                  <c:v>1</c:v>
                </c:pt>
                <c:pt idx="484">
                  <c:v>1</c:v>
                </c:pt>
                <c:pt idx="485">
                  <c:v>4</c:v>
                </c:pt>
                <c:pt idx="486">
                  <c:v>0</c:v>
                </c:pt>
                <c:pt idx="487">
                  <c:v>0</c:v>
                </c:pt>
                <c:pt idx="488">
                  <c:v>1</c:v>
                </c:pt>
                <c:pt idx="489">
                  <c:v>1</c:v>
                </c:pt>
                <c:pt idx="490">
                  <c:v>3</c:v>
                </c:pt>
                <c:pt idx="491">
                  <c:v>1</c:v>
                </c:pt>
                <c:pt idx="492">
                  <c:v>1</c:v>
                </c:pt>
                <c:pt idx="493">
                  <c:v>3</c:v>
                </c:pt>
                <c:pt idx="494">
                  <c:v>1</c:v>
                </c:pt>
                <c:pt idx="495">
                  <c:v>0</c:v>
                </c:pt>
                <c:pt idx="496">
                  <c:v>4</c:v>
                </c:pt>
                <c:pt idx="497">
                  <c:v>0</c:v>
                </c:pt>
                <c:pt idx="498">
                  <c:v>1</c:v>
                </c:pt>
                <c:pt idx="499">
                  <c:v>1</c:v>
                </c:pt>
                <c:pt idx="500">
                  <c:v>1</c:v>
                </c:pt>
                <c:pt idx="501">
                  <c:v>1</c:v>
                </c:pt>
                <c:pt idx="502">
                  <c:v>0</c:v>
                </c:pt>
                <c:pt idx="503">
                  <c:v>0</c:v>
                </c:pt>
                <c:pt idx="504">
                  <c:v>0</c:v>
                </c:pt>
                <c:pt idx="505">
                  <c:v>1</c:v>
                </c:pt>
                <c:pt idx="506">
                  <c:v>0</c:v>
                </c:pt>
                <c:pt idx="507">
                  <c:v>0</c:v>
                </c:pt>
                <c:pt idx="508">
                  <c:v>0</c:v>
                </c:pt>
                <c:pt idx="509">
                  <c:v>1</c:v>
                </c:pt>
                <c:pt idx="510">
                  <c:v>0</c:v>
                </c:pt>
                <c:pt idx="511">
                  <c:v>1</c:v>
                </c:pt>
                <c:pt idx="512">
                  <c:v>0</c:v>
                </c:pt>
                <c:pt idx="513">
                  <c:v>1</c:v>
                </c:pt>
                <c:pt idx="514">
                  <c:v>0</c:v>
                </c:pt>
                <c:pt idx="515">
                  <c:v>0</c:v>
                </c:pt>
                <c:pt idx="516">
                  <c:v>0</c:v>
                </c:pt>
                <c:pt idx="517">
                  <c:v>2</c:v>
                </c:pt>
                <c:pt idx="518">
                  <c:v>1</c:v>
                </c:pt>
                <c:pt idx="519">
                  <c:v>0</c:v>
                </c:pt>
                <c:pt idx="520">
                  <c:v>0</c:v>
                </c:pt>
                <c:pt idx="521">
                  <c:v>1</c:v>
                </c:pt>
                <c:pt idx="522">
                  <c:v>1</c:v>
                </c:pt>
                <c:pt idx="523">
                  <c:v>1</c:v>
                </c:pt>
                <c:pt idx="524">
                  <c:v>0</c:v>
                </c:pt>
                <c:pt idx="525">
                  <c:v>0</c:v>
                </c:pt>
                <c:pt idx="526">
                  <c:v>1</c:v>
                </c:pt>
                <c:pt idx="527">
                  <c:v>1</c:v>
                </c:pt>
                <c:pt idx="528">
                  <c:v>0</c:v>
                </c:pt>
                <c:pt idx="529">
                  <c:v>0</c:v>
                </c:pt>
                <c:pt idx="530">
                  <c:v>0</c:v>
                </c:pt>
                <c:pt idx="531">
                  <c:v>2</c:v>
                </c:pt>
                <c:pt idx="532">
                  <c:v>1</c:v>
                </c:pt>
                <c:pt idx="533">
                  <c:v>0</c:v>
                </c:pt>
                <c:pt idx="534">
                  <c:v>1</c:v>
                </c:pt>
                <c:pt idx="535">
                  <c:v>3</c:v>
                </c:pt>
                <c:pt idx="536">
                  <c:v>2</c:v>
                </c:pt>
                <c:pt idx="537">
                  <c:v>1</c:v>
                </c:pt>
                <c:pt idx="538">
                  <c:v>0</c:v>
                </c:pt>
                <c:pt idx="539">
                  <c:v>1</c:v>
                </c:pt>
                <c:pt idx="540">
                  <c:v>0</c:v>
                </c:pt>
                <c:pt idx="541">
                  <c:v>1</c:v>
                </c:pt>
                <c:pt idx="542">
                  <c:v>0</c:v>
                </c:pt>
                <c:pt idx="543">
                  <c:v>1</c:v>
                </c:pt>
                <c:pt idx="544">
                  <c:v>0</c:v>
                </c:pt>
                <c:pt idx="545">
                  <c:v>1</c:v>
                </c:pt>
                <c:pt idx="546">
                  <c:v>0</c:v>
                </c:pt>
                <c:pt idx="547">
                  <c:v>0</c:v>
                </c:pt>
                <c:pt idx="548">
                  <c:v>1</c:v>
                </c:pt>
                <c:pt idx="549">
                  <c:v>1</c:v>
                </c:pt>
                <c:pt idx="550">
                  <c:v>0</c:v>
                </c:pt>
                <c:pt idx="551">
                  <c:v>1</c:v>
                </c:pt>
                <c:pt idx="552">
                  <c:v>1</c:v>
                </c:pt>
                <c:pt idx="553">
                  <c:v>0</c:v>
                </c:pt>
                <c:pt idx="554">
                  <c:v>1</c:v>
                </c:pt>
                <c:pt idx="555">
                  <c:v>1</c:v>
                </c:pt>
                <c:pt idx="556">
                  <c:v>2</c:v>
                </c:pt>
                <c:pt idx="557">
                  <c:v>3</c:v>
                </c:pt>
                <c:pt idx="558">
                  <c:v>1</c:v>
                </c:pt>
                <c:pt idx="559">
                  <c:v>0</c:v>
                </c:pt>
                <c:pt idx="560">
                  <c:v>0</c:v>
                </c:pt>
                <c:pt idx="561">
                  <c:v>2</c:v>
                </c:pt>
                <c:pt idx="562">
                  <c:v>1</c:v>
                </c:pt>
                <c:pt idx="563">
                  <c:v>0</c:v>
                </c:pt>
                <c:pt idx="564">
                  <c:v>2</c:v>
                </c:pt>
                <c:pt idx="565">
                  <c:v>0</c:v>
                </c:pt>
                <c:pt idx="566">
                  <c:v>0</c:v>
                </c:pt>
                <c:pt idx="567">
                  <c:v>0</c:v>
                </c:pt>
                <c:pt idx="568">
                  <c:v>0</c:v>
                </c:pt>
                <c:pt idx="569">
                  <c:v>0</c:v>
                </c:pt>
                <c:pt idx="570">
                  <c:v>1</c:v>
                </c:pt>
                <c:pt idx="571">
                  <c:v>0</c:v>
                </c:pt>
                <c:pt idx="572">
                  <c:v>1</c:v>
                </c:pt>
                <c:pt idx="573">
                  <c:v>0</c:v>
                </c:pt>
                <c:pt idx="574">
                  <c:v>0</c:v>
                </c:pt>
                <c:pt idx="575">
                  <c:v>1</c:v>
                </c:pt>
                <c:pt idx="576">
                  <c:v>1</c:v>
                </c:pt>
                <c:pt idx="577">
                  <c:v>1</c:v>
                </c:pt>
                <c:pt idx="578">
                  <c:v>1</c:v>
                </c:pt>
                <c:pt idx="579">
                  <c:v>0</c:v>
                </c:pt>
                <c:pt idx="580">
                  <c:v>0</c:v>
                </c:pt>
                <c:pt idx="581">
                  <c:v>2</c:v>
                </c:pt>
                <c:pt idx="582">
                  <c:v>0</c:v>
                </c:pt>
                <c:pt idx="583">
                  <c:v>0</c:v>
                </c:pt>
                <c:pt idx="584">
                  <c:v>1</c:v>
                </c:pt>
                <c:pt idx="585">
                  <c:v>1</c:v>
                </c:pt>
                <c:pt idx="586">
                  <c:v>1</c:v>
                </c:pt>
                <c:pt idx="587">
                  <c:v>1</c:v>
                </c:pt>
                <c:pt idx="588">
                  <c:v>3</c:v>
                </c:pt>
                <c:pt idx="589">
                  <c:v>3</c:v>
                </c:pt>
                <c:pt idx="590">
                  <c:v>3</c:v>
                </c:pt>
                <c:pt idx="591">
                  <c:v>1</c:v>
                </c:pt>
                <c:pt idx="592">
                  <c:v>1</c:v>
                </c:pt>
                <c:pt idx="593">
                  <c:v>0</c:v>
                </c:pt>
                <c:pt idx="594">
                  <c:v>2</c:v>
                </c:pt>
                <c:pt idx="595">
                  <c:v>1</c:v>
                </c:pt>
                <c:pt idx="596">
                  <c:v>1</c:v>
                </c:pt>
                <c:pt idx="597">
                  <c:v>3</c:v>
                </c:pt>
                <c:pt idx="598">
                  <c:v>0</c:v>
                </c:pt>
                <c:pt idx="599">
                  <c:v>4</c:v>
                </c:pt>
                <c:pt idx="600">
                  <c:v>1</c:v>
                </c:pt>
                <c:pt idx="601">
                  <c:v>0</c:v>
                </c:pt>
                <c:pt idx="602">
                  <c:v>0</c:v>
                </c:pt>
                <c:pt idx="603">
                  <c:v>0</c:v>
                </c:pt>
                <c:pt idx="604">
                  <c:v>1</c:v>
                </c:pt>
                <c:pt idx="605">
                  <c:v>1</c:v>
                </c:pt>
                <c:pt idx="606">
                  <c:v>4</c:v>
                </c:pt>
                <c:pt idx="607">
                  <c:v>1</c:v>
                </c:pt>
                <c:pt idx="608">
                  <c:v>0</c:v>
                </c:pt>
                <c:pt idx="609">
                  <c:v>1</c:v>
                </c:pt>
                <c:pt idx="610">
                  <c:v>1</c:v>
                </c:pt>
                <c:pt idx="611">
                  <c:v>0</c:v>
                </c:pt>
                <c:pt idx="612">
                  <c:v>1</c:v>
                </c:pt>
                <c:pt idx="613">
                  <c:v>0</c:v>
                </c:pt>
                <c:pt idx="614">
                  <c:v>2</c:v>
                </c:pt>
                <c:pt idx="615">
                  <c:v>0</c:v>
                </c:pt>
                <c:pt idx="616">
                  <c:v>3</c:v>
                </c:pt>
                <c:pt idx="617">
                  <c:v>1</c:v>
                </c:pt>
                <c:pt idx="618">
                  <c:v>0</c:v>
                </c:pt>
                <c:pt idx="619">
                  <c:v>2</c:v>
                </c:pt>
                <c:pt idx="620">
                  <c:v>1</c:v>
                </c:pt>
                <c:pt idx="621">
                  <c:v>3</c:v>
                </c:pt>
                <c:pt idx="622">
                  <c:v>1</c:v>
                </c:pt>
                <c:pt idx="623">
                  <c:v>0</c:v>
                </c:pt>
                <c:pt idx="624">
                  <c:v>1</c:v>
                </c:pt>
                <c:pt idx="625">
                  <c:v>2</c:v>
                </c:pt>
                <c:pt idx="626">
                  <c:v>0</c:v>
                </c:pt>
                <c:pt idx="627">
                  <c:v>1</c:v>
                </c:pt>
                <c:pt idx="628">
                  <c:v>3</c:v>
                </c:pt>
                <c:pt idx="629">
                  <c:v>1</c:v>
                </c:pt>
                <c:pt idx="630">
                  <c:v>2</c:v>
                </c:pt>
                <c:pt idx="631">
                  <c:v>0</c:v>
                </c:pt>
                <c:pt idx="632">
                  <c:v>0</c:v>
                </c:pt>
                <c:pt idx="633">
                  <c:v>1</c:v>
                </c:pt>
                <c:pt idx="634">
                  <c:v>1</c:v>
                </c:pt>
                <c:pt idx="635">
                  <c:v>0</c:v>
                </c:pt>
                <c:pt idx="636">
                  <c:v>0</c:v>
                </c:pt>
                <c:pt idx="637">
                  <c:v>1</c:v>
                </c:pt>
                <c:pt idx="638">
                  <c:v>0</c:v>
                </c:pt>
                <c:pt idx="639">
                  <c:v>1</c:v>
                </c:pt>
                <c:pt idx="640">
                  <c:v>2</c:v>
                </c:pt>
                <c:pt idx="641">
                  <c:v>1</c:v>
                </c:pt>
                <c:pt idx="642">
                  <c:v>0</c:v>
                </c:pt>
                <c:pt idx="643">
                  <c:v>1</c:v>
                </c:pt>
                <c:pt idx="644">
                  <c:v>1</c:v>
                </c:pt>
                <c:pt idx="645">
                  <c:v>0</c:v>
                </c:pt>
                <c:pt idx="646">
                  <c:v>1</c:v>
                </c:pt>
                <c:pt idx="647">
                  <c:v>0</c:v>
                </c:pt>
                <c:pt idx="648">
                  <c:v>2</c:v>
                </c:pt>
                <c:pt idx="649">
                  <c:v>0</c:v>
                </c:pt>
                <c:pt idx="650">
                  <c:v>0</c:v>
                </c:pt>
                <c:pt idx="651">
                  <c:v>2</c:v>
                </c:pt>
                <c:pt idx="652">
                  <c:v>2</c:v>
                </c:pt>
                <c:pt idx="653">
                  <c:v>1</c:v>
                </c:pt>
                <c:pt idx="654">
                  <c:v>0</c:v>
                </c:pt>
                <c:pt idx="655">
                  <c:v>2</c:v>
                </c:pt>
                <c:pt idx="656">
                  <c:v>0</c:v>
                </c:pt>
                <c:pt idx="657">
                  <c:v>0</c:v>
                </c:pt>
                <c:pt idx="658">
                  <c:v>0</c:v>
                </c:pt>
                <c:pt idx="659">
                  <c:v>1</c:v>
                </c:pt>
                <c:pt idx="660">
                  <c:v>2</c:v>
                </c:pt>
                <c:pt idx="661">
                  <c:v>2</c:v>
                </c:pt>
                <c:pt idx="662">
                  <c:v>0</c:v>
                </c:pt>
                <c:pt idx="663">
                  <c:v>1</c:v>
                </c:pt>
                <c:pt idx="664">
                  <c:v>1</c:v>
                </c:pt>
                <c:pt idx="665">
                  <c:v>0</c:v>
                </c:pt>
                <c:pt idx="666">
                  <c:v>3</c:v>
                </c:pt>
                <c:pt idx="667">
                  <c:v>4</c:v>
                </c:pt>
                <c:pt idx="668">
                  <c:v>0</c:v>
                </c:pt>
                <c:pt idx="669">
                  <c:v>1</c:v>
                </c:pt>
                <c:pt idx="670">
                  <c:v>0</c:v>
                </c:pt>
                <c:pt idx="671">
                  <c:v>0</c:v>
                </c:pt>
                <c:pt idx="672">
                  <c:v>1</c:v>
                </c:pt>
                <c:pt idx="673">
                  <c:v>0</c:v>
                </c:pt>
                <c:pt idx="674">
                  <c:v>2</c:v>
                </c:pt>
                <c:pt idx="675">
                  <c:v>1</c:v>
                </c:pt>
                <c:pt idx="676">
                  <c:v>2</c:v>
                </c:pt>
                <c:pt idx="677">
                  <c:v>0</c:v>
                </c:pt>
                <c:pt idx="678">
                  <c:v>2</c:v>
                </c:pt>
                <c:pt idx="679">
                  <c:v>0</c:v>
                </c:pt>
                <c:pt idx="680">
                  <c:v>0</c:v>
                </c:pt>
                <c:pt idx="681">
                  <c:v>4</c:v>
                </c:pt>
                <c:pt idx="682">
                  <c:v>0</c:v>
                </c:pt>
                <c:pt idx="683">
                  <c:v>0</c:v>
                </c:pt>
                <c:pt idx="684">
                  <c:v>6</c:v>
                </c:pt>
                <c:pt idx="685">
                  <c:v>2</c:v>
                </c:pt>
                <c:pt idx="686">
                  <c:v>1</c:v>
                </c:pt>
                <c:pt idx="687">
                  <c:v>0</c:v>
                </c:pt>
                <c:pt idx="688">
                  <c:v>2</c:v>
                </c:pt>
                <c:pt idx="689">
                  <c:v>6</c:v>
                </c:pt>
                <c:pt idx="690">
                  <c:v>0</c:v>
                </c:pt>
                <c:pt idx="691">
                  <c:v>2</c:v>
                </c:pt>
                <c:pt idx="692">
                  <c:v>2</c:v>
                </c:pt>
                <c:pt idx="693">
                  <c:v>0</c:v>
                </c:pt>
                <c:pt idx="694">
                  <c:v>3</c:v>
                </c:pt>
                <c:pt idx="695">
                  <c:v>4</c:v>
                </c:pt>
                <c:pt idx="696">
                  <c:v>3</c:v>
                </c:pt>
                <c:pt idx="697">
                  <c:v>0</c:v>
                </c:pt>
                <c:pt idx="698">
                  <c:v>5</c:v>
                </c:pt>
                <c:pt idx="699">
                  <c:v>0</c:v>
                </c:pt>
                <c:pt idx="700">
                  <c:v>0</c:v>
                </c:pt>
                <c:pt idx="701">
                  <c:v>2</c:v>
                </c:pt>
                <c:pt idx="702">
                  <c:v>0</c:v>
                </c:pt>
                <c:pt idx="703">
                  <c:v>2</c:v>
                </c:pt>
                <c:pt idx="704">
                  <c:v>0</c:v>
                </c:pt>
                <c:pt idx="705">
                  <c:v>1</c:v>
                </c:pt>
                <c:pt idx="706">
                  <c:v>1</c:v>
                </c:pt>
                <c:pt idx="707">
                  <c:v>1</c:v>
                </c:pt>
                <c:pt idx="708">
                  <c:v>4</c:v>
                </c:pt>
                <c:pt idx="709">
                  <c:v>1</c:v>
                </c:pt>
                <c:pt idx="710">
                  <c:v>0</c:v>
                </c:pt>
                <c:pt idx="711">
                  <c:v>0</c:v>
                </c:pt>
                <c:pt idx="712">
                  <c:v>3</c:v>
                </c:pt>
                <c:pt idx="713">
                  <c:v>5</c:v>
                </c:pt>
                <c:pt idx="714">
                  <c:v>4</c:v>
                </c:pt>
                <c:pt idx="715">
                  <c:v>1</c:v>
                </c:pt>
                <c:pt idx="716">
                  <c:v>2</c:v>
                </c:pt>
                <c:pt idx="717">
                  <c:v>3</c:v>
                </c:pt>
                <c:pt idx="718">
                  <c:v>1</c:v>
                </c:pt>
                <c:pt idx="719">
                  <c:v>2</c:v>
                </c:pt>
                <c:pt idx="720">
                  <c:v>1</c:v>
                </c:pt>
                <c:pt idx="721">
                  <c:v>0</c:v>
                </c:pt>
                <c:pt idx="722">
                  <c:v>1</c:v>
                </c:pt>
                <c:pt idx="723">
                  <c:v>3</c:v>
                </c:pt>
                <c:pt idx="724">
                  <c:v>0</c:v>
                </c:pt>
                <c:pt idx="725">
                  <c:v>1</c:v>
                </c:pt>
                <c:pt idx="726">
                  <c:v>1</c:v>
                </c:pt>
                <c:pt idx="727">
                  <c:v>1</c:v>
                </c:pt>
                <c:pt idx="728">
                  <c:v>2</c:v>
                </c:pt>
                <c:pt idx="729">
                  <c:v>1</c:v>
                </c:pt>
                <c:pt idx="730">
                  <c:v>3</c:v>
                </c:pt>
                <c:pt idx="731">
                  <c:v>0</c:v>
                </c:pt>
                <c:pt idx="732">
                  <c:v>1</c:v>
                </c:pt>
                <c:pt idx="733">
                  <c:v>2</c:v>
                </c:pt>
                <c:pt idx="734">
                  <c:v>1</c:v>
                </c:pt>
                <c:pt idx="735">
                  <c:v>4</c:v>
                </c:pt>
                <c:pt idx="736">
                  <c:v>2</c:v>
                </c:pt>
                <c:pt idx="737">
                  <c:v>1</c:v>
                </c:pt>
                <c:pt idx="738">
                  <c:v>2</c:v>
                </c:pt>
                <c:pt idx="739">
                  <c:v>2</c:v>
                </c:pt>
                <c:pt idx="740">
                  <c:v>1</c:v>
                </c:pt>
                <c:pt idx="741">
                  <c:v>1</c:v>
                </c:pt>
                <c:pt idx="742">
                  <c:v>1</c:v>
                </c:pt>
                <c:pt idx="743">
                  <c:v>0</c:v>
                </c:pt>
                <c:pt idx="744">
                  <c:v>0</c:v>
                </c:pt>
                <c:pt idx="745">
                  <c:v>1</c:v>
                </c:pt>
                <c:pt idx="746">
                  <c:v>2</c:v>
                </c:pt>
                <c:pt idx="747">
                  <c:v>4</c:v>
                </c:pt>
                <c:pt idx="748">
                  <c:v>4</c:v>
                </c:pt>
                <c:pt idx="749">
                  <c:v>2</c:v>
                </c:pt>
                <c:pt idx="750">
                  <c:v>1</c:v>
                </c:pt>
                <c:pt idx="751">
                  <c:v>2</c:v>
                </c:pt>
                <c:pt idx="752">
                  <c:v>2</c:v>
                </c:pt>
                <c:pt idx="753">
                  <c:v>5</c:v>
                </c:pt>
                <c:pt idx="754">
                  <c:v>1</c:v>
                </c:pt>
                <c:pt idx="755">
                  <c:v>9</c:v>
                </c:pt>
                <c:pt idx="756">
                  <c:v>14</c:v>
                </c:pt>
                <c:pt idx="757">
                  <c:v>0</c:v>
                </c:pt>
                <c:pt idx="758">
                  <c:v>2</c:v>
                </c:pt>
                <c:pt idx="759">
                  <c:v>1</c:v>
                </c:pt>
                <c:pt idx="760">
                  <c:v>4</c:v>
                </c:pt>
                <c:pt idx="761">
                  <c:v>0</c:v>
                </c:pt>
                <c:pt idx="762">
                  <c:v>2</c:v>
                </c:pt>
                <c:pt idx="763">
                  <c:v>0</c:v>
                </c:pt>
                <c:pt idx="764">
                  <c:v>0</c:v>
                </c:pt>
                <c:pt idx="765">
                  <c:v>1</c:v>
                </c:pt>
                <c:pt idx="766">
                  <c:v>1</c:v>
                </c:pt>
                <c:pt idx="767">
                  <c:v>2</c:v>
                </c:pt>
                <c:pt idx="768">
                  <c:v>1</c:v>
                </c:pt>
                <c:pt idx="769">
                  <c:v>0</c:v>
                </c:pt>
                <c:pt idx="770">
                  <c:v>3</c:v>
                </c:pt>
                <c:pt idx="771">
                  <c:v>1</c:v>
                </c:pt>
                <c:pt idx="772">
                  <c:v>0</c:v>
                </c:pt>
                <c:pt idx="773">
                  <c:v>0</c:v>
                </c:pt>
                <c:pt idx="774">
                  <c:v>0</c:v>
                </c:pt>
                <c:pt idx="775">
                  <c:v>1</c:v>
                </c:pt>
                <c:pt idx="776">
                  <c:v>3</c:v>
                </c:pt>
                <c:pt idx="777">
                  <c:v>3</c:v>
                </c:pt>
                <c:pt idx="778">
                  <c:v>2</c:v>
                </c:pt>
                <c:pt idx="779">
                  <c:v>1</c:v>
                </c:pt>
                <c:pt idx="780">
                  <c:v>2</c:v>
                </c:pt>
                <c:pt idx="781">
                  <c:v>0</c:v>
                </c:pt>
                <c:pt idx="782">
                  <c:v>3</c:v>
                </c:pt>
                <c:pt idx="783">
                  <c:v>1</c:v>
                </c:pt>
                <c:pt idx="784">
                  <c:v>2</c:v>
                </c:pt>
                <c:pt idx="785">
                  <c:v>5</c:v>
                </c:pt>
                <c:pt idx="786">
                  <c:v>1</c:v>
                </c:pt>
                <c:pt idx="787">
                  <c:v>2</c:v>
                </c:pt>
                <c:pt idx="788">
                  <c:v>6</c:v>
                </c:pt>
                <c:pt idx="789">
                  <c:v>5</c:v>
                </c:pt>
                <c:pt idx="790">
                  <c:v>4</c:v>
                </c:pt>
                <c:pt idx="791">
                  <c:v>4</c:v>
                </c:pt>
                <c:pt idx="792">
                  <c:v>2</c:v>
                </c:pt>
                <c:pt idx="793">
                  <c:v>8</c:v>
                </c:pt>
                <c:pt idx="794">
                  <c:v>1</c:v>
                </c:pt>
                <c:pt idx="795">
                  <c:v>9</c:v>
                </c:pt>
                <c:pt idx="796">
                  <c:v>0</c:v>
                </c:pt>
                <c:pt idx="797">
                  <c:v>6</c:v>
                </c:pt>
                <c:pt idx="798">
                  <c:v>1</c:v>
                </c:pt>
                <c:pt idx="799">
                  <c:v>4</c:v>
                </c:pt>
                <c:pt idx="800">
                  <c:v>4</c:v>
                </c:pt>
                <c:pt idx="801">
                  <c:v>1</c:v>
                </c:pt>
                <c:pt idx="802">
                  <c:v>0</c:v>
                </c:pt>
                <c:pt idx="803">
                  <c:v>6</c:v>
                </c:pt>
                <c:pt idx="804">
                  <c:v>10</c:v>
                </c:pt>
                <c:pt idx="805">
                  <c:v>3</c:v>
                </c:pt>
                <c:pt idx="806">
                  <c:v>3</c:v>
                </c:pt>
                <c:pt idx="807">
                  <c:v>1</c:v>
                </c:pt>
                <c:pt idx="808">
                  <c:v>8</c:v>
                </c:pt>
                <c:pt idx="809">
                  <c:v>7</c:v>
                </c:pt>
                <c:pt idx="810">
                  <c:v>3</c:v>
                </c:pt>
                <c:pt idx="811">
                  <c:v>2</c:v>
                </c:pt>
                <c:pt idx="812">
                  <c:v>2</c:v>
                </c:pt>
                <c:pt idx="813">
                  <c:v>14</c:v>
                </c:pt>
                <c:pt idx="814">
                  <c:v>2</c:v>
                </c:pt>
                <c:pt idx="815">
                  <c:v>2</c:v>
                </c:pt>
                <c:pt idx="816">
                  <c:v>6</c:v>
                </c:pt>
                <c:pt idx="817">
                  <c:v>9</c:v>
                </c:pt>
                <c:pt idx="818">
                  <c:v>1</c:v>
                </c:pt>
                <c:pt idx="819">
                  <c:v>2</c:v>
                </c:pt>
                <c:pt idx="820">
                  <c:v>7</c:v>
                </c:pt>
                <c:pt idx="821">
                  <c:v>2</c:v>
                </c:pt>
                <c:pt idx="822">
                  <c:v>3</c:v>
                </c:pt>
                <c:pt idx="823">
                  <c:v>1</c:v>
                </c:pt>
                <c:pt idx="824">
                  <c:v>5</c:v>
                </c:pt>
                <c:pt idx="825">
                  <c:v>8</c:v>
                </c:pt>
                <c:pt idx="826">
                  <c:v>1</c:v>
                </c:pt>
                <c:pt idx="827">
                  <c:v>2</c:v>
                </c:pt>
                <c:pt idx="828">
                  <c:v>2</c:v>
                </c:pt>
                <c:pt idx="829">
                  <c:v>1</c:v>
                </c:pt>
                <c:pt idx="830">
                  <c:v>0</c:v>
                </c:pt>
                <c:pt idx="831">
                  <c:v>4</c:v>
                </c:pt>
                <c:pt idx="832">
                  <c:v>0</c:v>
                </c:pt>
                <c:pt idx="833">
                  <c:v>3</c:v>
                </c:pt>
                <c:pt idx="834">
                  <c:v>3</c:v>
                </c:pt>
                <c:pt idx="835">
                  <c:v>5</c:v>
                </c:pt>
                <c:pt idx="836">
                  <c:v>10</c:v>
                </c:pt>
                <c:pt idx="837">
                  <c:v>2</c:v>
                </c:pt>
                <c:pt idx="838">
                  <c:v>2</c:v>
                </c:pt>
                <c:pt idx="839">
                  <c:v>3</c:v>
                </c:pt>
                <c:pt idx="840">
                  <c:v>0</c:v>
                </c:pt>
                <c:pt idx="841">
                  <c:v>4</c:v>
                </c:pt>
                <c:pt idx="842">
                  <c:v>1</c:v>
                </c:pt>
                <c:pt idx="843">
                  <c:v>0</c:v>
                </c:pt>
                <c:pt idx="844">
                  <c:v>4</c:v>
                </c:pt>
                <c:pt idx="845">
                  <c:v>2</c:v>
                </c:pt>
                <c:pt idx="846">
                  <c:v>4</c:v>
                </c:pt>
                <c:pt idx="847">
                  <c:v>4</c:v>
                </c:pt>
                <c:pt idx="848">
                  <c:v>1</c:v>
                </c:pt>
                <c:pt idx="849">
                  <c:v>1</c:v>
                </c:pt>
                <c:pt idx="850">
                  <c:v>2</c:v>
                </c:pt>
                <c:pt idx="851">
                  <c:v>7</c:v>
                </c:pt>
                <c:pt idx="852">
                  <c:v>6</c:v>
                </c:pt>
                <c:pt idx="853">
                  <c:v>21</c:v>
                </c:pt>
                <c:pt idx="854">
                  <c:v>3</c:v>
                </c:pt>
                <c:pt idx="855">
                  <c:v>8</c:v>
                </c:pt>
                <c:pt idx="856">
                  <c:v>3</c:v>
                </c:pt>
                <c:pt idx="857">
                  <c:v>2</c:v>
                </c:pt>
                <c:pt idx="858">
                  <c:v>0</c:v>
                </c:pt>
                <c:pt idx="859">
                  <c:v>0</c:v>
                </c:pt>
                <c:pt idx="860">
                  <c:v>4</c:v>
                </c:pt>
                <c:pt idx="861">
                  <c:v>8</c:v>
                </c:pt>
                <c:pt idx="862">
                  <c:v>10</c:v>
                </c:pt>
                <c:pt idx="863">
                  <c:v>10</c:v>
                </c:pt>
                <c:pt idx="864">
                  <c:v>2</c:v>
                </c:pt>
                <c:pt idx="865">
                  <c:v>0</c:v>
                </c:pt>
                <c:pt idx="866">
                  <c:v>7</c:v>
                </c:pt>
                <c:pt idx="867">
                  <c:v>13</c:v>
                </c:pt>
                <c:pt idx="868">
                  <c:v>17</c:v>
                </c:pt>
              </c:numCache>
            </c:numRef>
          </c:yVal>
          <c:smooth val="0"/>
          <c:extLst>
            <c:ext xmlns:c16="http://schemas.microsoft.com/office/drawing/2014/chart" uri="{C3380CC4-5D6E-409C-BE32-E72D297353CC}">
              <c16:uniqueId val="{00000000-B1A1-41A3-93C8-15C206A6C900}"/>
            </c:ext>
          </c:extLst>
        </c:ser>
        <c:dLbls>
          <c:showLegendKey val="0"/>
          <c:showVal val="0"/>
          <c:showCatName val="0"/>
          <c:showSerName val="0"/>
          <c:showPercent val="0"/>
          <c:showBubbleSize val="0"/>
        </c:dLbls>
        <c:axId val="237172703"/>
        <c:axId val="237168863"/>
      </c:scatterChart>
      <c:valAx>
        <c:axId val="237172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Ad</a:t>
                </a:r>
                <a:r>
                  <a:rPr lang="en-IN" b="1" baseline="0"/>
                  <a:t> Spent</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68863"/>
        <c:crosses val="autoZero"/>
        <c:crossBetween val="midCat"/>
      </c:valAx>
      <c:valAx>
        <c:axId val="237168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Approved Conversion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7270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[Vivek_Analysis_Sheet.xlsx]Pivot_for_Dashborad!PivotTable10</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74634694455146"/>
          <c:y val="8.6559180092751709E-2"/>
          <c:w val="0.73382070180599246"/>
          <c:h val="0.64712675126552632"/>
        </c:manualLayout>
      </c:layout>
      <c:barChart>
        <c:barDir val="col"/>
        <c:grouping val="clustered"/>
        <c:varyColors val="0"/>
        <c:ser>
          <c:idx val="0"/>
          <c:order val="0"/>
          <c:tx>
            <c:strRef>
              <c:f>Pivot_for_Dashborad!$AC$9</c:f>
              <c:strCache>
                <c:ptCount val="1"/>
                <c:pt idx="0">
                  <c:v>Average of CPA</c:v>
                </c:pt>
              </c:strCache>
            </c:strRef>
          </c:tx>
          <c:spPr>
            <a:solidFill>
              <a:schemeClr val="accent1"/>
            </a:solidFill>
            <a:ln>
              <a:noFill/>
            </a:ln>
            <a:effectLst/>
          </c:spPr>
          <c:invertIfNegative val="0"/>
          <c:cat>
            <c:strRef>
              <c:f>Pivot_for_Dashborad!$AB$10:$AB$13</c:f>
              <c:strCache>
                <c:ptCount val="4"/>
                <c:pt idx="0">
                  <c:v>30-34</c:v>
                </c:pt>
                <c:pt idx="1">
                  <c:v>35-39</c:v>
                </c:pt>
                <c:pt idx="2">
                  <c:v>40-44</c:v>
                </c:pt>
                <c:pt idx="3">
                  <c:v>45-49</c:v>
                </c:pt>
              </c:strCache>
            </c:strRef>
          </c:cat>
          <c:val>
            <c:numRef>
              <c:f>Pivot_for_Dashborad!$AC$10:$AC$13</c:f>
              <c:numCache>
                <c:formatCode>0.00</c:formatCode>
                <c:ptCount val="4"/>
                <c:pt idx="0">
                  <c:v>22.94663030889048</c:v>
                </c:pt>
                <c:pt idx="1">
                  <c:v>40.606658825700229</c:v>
                </c:pt>
                <c:pt idx="2">
                  <c:v>46.817139147831504</c:v>
                </c:pt>
                <c:pt idx="3">
                  <c:v>67.616514096916873</c:v>
                </c:pt>
              </c:numCache>
            </c:numRef>
          </c:val>
          <c:extLst>
            <c:ext xmlns:c16="http://schemas.microsoft.com/office/drawing/2014/chart" uri="{C3380CC4-5D6E-409C-BE32-E72D297353CC}">
              <c16:uniqueId val="{00000000-AD6B-4918-A5CD-FDF7CFC5DDA0}"/>
            </c:ext>
          </c:extLst>
        </c:ser>
        <c:dLbls>
          <c:showLegendKey val="0"/>
          <c:showVal val="0"/>
          <c:showCatName val="0"/>
          <c:showSerName val="0"/>
          <c:showPercent val="0"/>
          <c:showBubbleSize val="0"/>
        </c:dLbls>
        <c:gapWidth val="219"/>
        <c:overlap val="-27"/>
        <c:axId val="61662479"/>
        <c:axId val="61675919"/>
      </c:barChart>
      <c:lineChart>
        <c:grouping val="standard"/>
        <c:varyColors val="0"/>
        <c:ser>
          <c:idx val="1"/>
          <c:order val="1"/>
          <c:tx>
            <c:strRef>
              <c:f>Pivot_for_Dashborad!$AD$9</c:f>
              <c:strCache>
                <c:ptCount val="1"/>
                <c:pt idx="0">
                  <c:v>Average of CPM</c:v>
                </c:pt>
              </c:strCache>
            </c:strRef>
          </c:tx>
          <c:spPr>
            <a:ln w="28575" cap="rnd">
              <a:solidFill>
                <a:schemeClr val="accent2"/>
              </a:solidFill>
              <a:round/>
            </a:ln>
            <a:effectLst/>
          </c:spPr>
          <c:marker>
            <c:symbol val="none"/>
          </c:marker>
          <c:cat>
            <c:strRef>
              <c:f>Pivot_for_Dashborad!$AB$10:$AB$13</c:f>
              <c:strCache>
                <c:ptCount val="4"/>
                <c:pt idx="0">
                  <c:v>30-34</c:v>
                </c:pt>
                <c:pt idx="1">
                  <c:v>35-39</c:v>
                </c:pt>
                <c:pt idx="2">
                  <c:v>40-44</c:v>
                </c:pt>
                <c:pt idx="3">
                  <c:v>45-49</c:v>
                </c:pt>
              </c:strCache>
            </c:strRef>
          </c:cat>
          <c:val>
            <c:numRef>
              <c:f>Pivot_for_Dashborad!$AD$10:$AD$13</c:f>
              <c:numCache>
                <c:formatCode>0.00</c:formatCode>
                <c:ptCount val="4"/>
                <c:pt idx="0">
                  <c:v>0.16822858798852544</c:v>
                </c:pt>
                <c:pt idx="1">
                  <c:v>0.23873259414120593</c:v>
                </c:pt>
                <c:pt idx="2">
                  <c:v>0.28976647460688187</c:v>
                </c:pt>
                <c:pt idx="3">
                  <c:v>0.31620546902573038</c:v>
                </c:pt>
              </c:numCache>
            </c:numRef>
          </c:val>
          <c:smooth val="0"/>
          <c:extLst>
            <c:ext xmlns:c16="http://schemas.microsoft.com/office/drawing/2014/chart" uri="{C3380CC4-5D6E-409C-BE32-E72D297353CC}">
              <c16:uniqueId val="{00000001-AD6B-4918-A5CD-FDF7CFC5DDA0}"/>
            </c:ext>
          </c:extLst>
        </c:ser>
        <c:dLbls>
          <c:showLegendKey val="0"/>
          <c:showVal val="0"/>
          <c:showCatName val="0"/>
          <c:showSerName val="0"/>
          <c:showPercent val="0"/>
          <c:showBubbleSize val="0"/>
        </c:dLbls>
        <c:marker val="1"/>
        <c:smooth val="0"/>
        <c:axId val="61683599"/>
        <c:axId val="61679759"/>
      </c:lineChart>
      <c:catAx>
        <c:axId val="6166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75919"/>
        <c:crosses val="autoZero"/>
        <c:auto val="1"/>
        <c:lblAlgn val="ctr"/>
        <c:lblOffset val="100"/>
        <c:noMultiLvlLbl val="0"/>
      </c:catAx>
      <c:valAx>
        <c:axId val="616759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61662479"/>
        <c:crosses val="autoZero"/>
        <c:crossBetween val="between"/>
      </c:valAx>
      <c:valAx>
        <c:axId val="616797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61683599"/>
        <c:crosses val="max"/>
        <c:crossBetween val="between"/>
      </c:valAx>
      <c:catAx>
        <c:axId val="61683599"/>
        <c:scaling>
          <c:orientation val="minMax"/>
        </c:scaling>
        <c:delete val="1"/>
        <c:axPos val="b"/>
        <c:numFmt formatCode="General" sourceLinked="1"/>
        <c:majorTickMark val="out"/>
        <c:minorTickMark val="none"/>
        <c:tickLblPos val="nextTo"/>
        <c:crossAx val="61679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Vs  Spent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Insights_for_PDF_Report!$C$17</c:f>
              <c:strCache>
                <c:ptCount val="1"/>
                <c:pt idx="0">
                  <c:v>Female</c:v>
                </c:pt>
              </c:strCache>
            </c:strRef>
          </c:tx>
          <c:spPr>
            <a:solidFill>
              <a:schemeClr val="accent1"/>
            </a:solidFill>
            <a:ln>
              <a:noFill/>
            </a:ln>
            <a:effectLst/>
          </c:spPr>
          <c:invertIfNegative val="0"/>
          <c:cat>
            <c:strRef>
              <c:f>Insights_for_PDF_Report!$B$18:$B$21</c:f>
              <c:strCache>
                <c:ptCount val="4"/>
                <c:pt idx="0">
                  <c:v>30-34</c:v>
                </c:pt>
                <c:pt idx="1">
                  <c:v>35-39</c:v>
                </c:pt>
                <c:pt idx="2">
                  <c:v>40-44</c:v>
                </c:pt>
                <c:pt idx="3">
                  <c:v>45-49</c:v>
                </c:pt>
              </c:strCache>
            </c:strRef>
          </c:cat>
          <c:val>
            <c:numRef>
              <c:f>Insights_for_PDF_Report!$C$18:$C$21</c:f>
              <c:numCache>
                <c:formatCode>[$$-409]#,##0.00</c:formatCode>
                <c:ptCount val="4"/>
                <c:pt idx="0">
                  <c:v>7611.4799951269988</c:v>
                </c:pt>
                <c:pt idx="1">
                  <c:v>6061.3499918270008</c:v>
                </c:pt>
                <c:pt idx="2">
                  <c:v>7396.5799836370034</c:v>
                </c:pt>
                <c:pt idx="3">
                  <c:v>13433.209992777003</c:v>
                </c:pt>
              </c:numCache>
            </c:numRef>
          </c:val>
          <c:extLst>
            <c:ext xmlns:c16="http://schemas.microsoft.com/office/drawing/2014/chart" uri="{C3380CC4-5D6E-409C-BE32-E72D297353CC}">
              <c16:uniqueId val="{00000000-BF0D-4545-AC67-5377A6DD37DE}"/>
            </c:ext>
          </c:extLst>
        </c:ser>
        <c:ser>
          <c:idx val="1"/>
          <c:order val="1"/>
          <c:tx>
            <c:strRef>
              <c:f>Insights_for_PDF_Report!$D$17</c:f>
              <c:strCache>
                <c:ptCount val="1"/>
                <c:pt idx="0">
                  <c:v>Male</c:v>
                </c:pt>
              </c:strCache>
            </c:strRef>
          </c:tx>
          <c:spPr>
            <a:solidFill>
              <a:schemeClr val="accent2"/>
            </a:solidFill>
            <a:ln>
              <a:noFill/>
            </a:ln>
            <a:effectLst/>
          </c:spPr>
          <c:invertIfNegative val="0"/>
          <c:cat>
            <c:strRef>
              <c:f>Insights_for_PDF_Report!$B$18:$B$21</c:f>
              <c:strCache>
                <c:ptCount val="4"/>
                <c:pt idx="0">
                  <c:v>30-34</c:v>
                </c:pt>
                <c:pt idx="1">
                  <c:v>35-39</c:v>
                </c:pt>
                <c:pt idx="2">
                  <c:v>40-44</c:v>
                </c:pt>
                <c:pt idx="3">
                  <c:v>45-49</c:v>
                </c:pt>
              </c:strCache>
            </c:strRef>
          </c:cat>
          <c:val>
            <c:numRef>
              <c:f>Insights_for_PDF_Report!$D$18:$D$21</c:f>
              <c:numCache>
                <c:formatCode>[$$-409]#,##0.00</c:formatCode>
                <c:ptCount val="4"/>
                <c:pt idx="0">
                  <c:v>7640.9199912509966</c:v>
                </c:pt>
                <c:pt idx="1">
                  <c:v>5051.0800025079998</c:v>
                </c:pt>
                <c:pt idx="2">
                  <c:v>4193.1499972009997</c:v>
                </c:pt>
                <c:pt idx="3">
                  <c:v>7317.4600038770013</c:v>
                </c:pt>
              </c:numCache>
            </c:numRef>
          </c:val>
          <c:extLst>
            <c:ext xmlns:c16="http://schemas.microsoft.com/office/drawing/2014/chart" uri="{C3380CC4-5D6E-409C-BE32-E72D297353CC}">
              <c16:uniqueId val="{00000001-BF0D-4545-AC67-5377A6DD37DE}"/>
            </c:ext>
          </c:extLst>
        </c:ser>
        <c:dLbls>
          <c:showLegendKey val="0"/>
          <c:showVal val="0"/>
          <c:showCatName val="0"/>
          <c:showSerName val="0"/>
          <c:showPercent val="0"/>
          <c:showBubbleSize val="0"/>
        </c:dLbls>
        <c:gapWidth val="150"/>
        <c:overlap val="100"/>
        <c:axId val="2081855119"/>
        <c:axId val="2081856079"/>
      </c:barChart>
      <c:catAx>
        <c:axId val="208185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856079"/>
        <c:crosses val="autoZero"/>
        <c:auto val="1"/>
        <c:lblAlgn val="ctr"/>
        <c:lblOffset val="100"/>
        <c:noMultiLvlLbl val="0"/>
      </c:catAx>
      <c:valAx>
        <c:axId val="208185607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855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vs CPA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Insights_for_PDF_Report!$C$45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Insights_for_PDF_Report!$B$46:$B$49</c:f>
              <c:strCache>
                <c:ptCount val="4"/>
                <c:pt idx="0">
                  <c:v>30-34</c:v>
                </c:pt>
                <c:pt idx="1">
                  <c:v>35-39</c:v>
                </c:pt>
                <c:pt idx="2">
                  <c:v>40-44</c:v>
                </c:pt>
                <c:pt idx="3">
                  <c:v>45-49</c:v>
                </c:pt>
              </c:strCache>
            </c:strRef>
          </c:cat>
          <c:val>
            <c:numRef>
              <c:f>Insights_for_PDF_Report!$C$46:$C$49</c:f>
              <c:numCache>
                <c:formatCode>0.00</c:formatCode>
                <c:ptCount val="4"/>
                <c:pt idx="0">
                  <c:v>28.666138310643763</c:v>
                </c:pt>
                <c:pt idx="1">
                  <c:v>48.329580314293118</c:v>
                </c:pt>
                <c:pt idx="2">
                  <c:v>57.772754610429899</c:v>
                </c:pt>
                <c:pt idx="3">
                  <c:v>77.977790311848949</c:v>
                </c:pt>
              </c:numCache>
            </c:numRef>
          </c:val>
          <c:extLst>
            <c:ext xmlns:c16="http://schemas.microsoft.com/office/drawing/2014/chart" uri="{C3380CC4-5D6E-409C-BE32-E72D297353CC}">
              <c16:uniqueId val="{00000000-28F8-4BC6-A30F-3CDFD98078EE}"/>
            </c:ext>
          </c:extLst>
        </c:ser>
        <c:ser>
          <c:idx val="1"/>
          <c:order val="1"/>
          <c:tx>
            <c:strRef>
              <c:f>Insights_for_PDF_Report!$D$45</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Insights_for_PDF_Report!$B$46:$B$49</c:f>
              <c:strCache>
                <c:ptCount val="4"/>
                <c:pt idx="0">
                  <c:v>30-34</c:v>
                </c:pt>
                <c:pt idx="1">
                  <c:v>35-39</c:v>
                </c:pt>
                <c:pt idx="2">
                  <c:v>40-44</c:v>
                </c:pt>
                <c:pt idx="3">
                  <c:v>45-49</c:v>
                </c:pt>
              </c:strCache>
            </c:strRef>
          </c:cat>
          <c:val>
            <c:numRef>
              <c:f>Insights_for_PDF_Report!$D$46:$D$49</c:f>
              <c:numCache>
                <c:formatCode>0.00</c:formatCode>
                <c:ptCount val="4"/>
                <c:pt idx="0">
                  <c:v>18.407338244006937</c:v>
                </c:pt>
                <c:pt idx="1">
                  <c:v>34.297793384314545</c:v>
                </c:pt>
                <c:pt idx="2">
                  <c:v>37.904096059615838</c:v>
                </c:pt>
                <c:pt idx="3">
                  <c:v>56.183381721819387</c:v>
                </c:pt>
              </c:numCache>
            </c:numRef>
          </c:val>
          <c:extLst>
            <c:ext xmlns:c16="http://schemas.microsoft.com/office/drawing/2014/chart" uri="{C3380CC4-5D6E-409C-BE32-E72D297353CC}">
              <c16:uniqueId val="{00000001-28F8-4BC6-A30F-3CDFD98078EE}"/>
            </c:ext>
          </c:extLst>
        </c:ser>
        <c:dLbls>
          <c:dLblPos val="outEnd"/>
          <c:showLegendKey val="0"/>
          <c:showVal val="1"/>
          <c:showCatName val="0"/>
          <c:showSerName val="0"/>
          <c:showPercent val="0"/>
          <c:showBubbleSize val="0"/>
        </c:dLbls>
        <c:gapWidth val="219"/>
        <c:overlap val="-27"/>
        <c:axId val="233859071"/>
        <c:axId val="233861951"/>
      </c:barChart>
      <c:catAx>
        <c:axId val="23385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61951"/>
        <c:crosses val="autoZero"/>
        <c:auto val="1"/>
        <c:lblAlgn val="ctr"/>
        <c:lblOffset val="100"/>
        <c:noMultiLvlLbl val="0"/>
      </c:catAx>
      <c:valAx>
        <c:axId val="2338619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59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CTR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9AC-4966-A4ED-2BD6086250E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9AC-4966-A4ED-2BD6086250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Insights_for_PDF_Report!$B$86:$C$86</c:f>
              <c:strCache>
                <c:ptCount val="2"/>
                <c:pt idx="0">
                  <c:v>Female</c:v>
                </c:pt>
                <c:pt idx="1">
                  <c:v>Male</c:v>
                </c:pt>
              </c:strCache>
            </c:strRef>
          </c:cat>
          <c:val>
            <c:numRef>
              <c:f>Insights_for_PDF_Report!$B$87:$C$87</c:f>
              <c:numCache>
                <c:formatCode>0.00%</c:formatCode>
                <c:ptCount val="2"/>
                <c:pt idx="0">
                  <c:v>2.0160781120504535E-4</c:v>
                </c:pt>
                <c:pt idx="1">
                  <c:v>1.4626861461513585E-4</c:v>
                </c:pt>
              </c:numCache>
            </c:numRef>
          </c:val>
          <c:extLst>
            <c:ext xmlns:c16="http://schemas.microsoft.com/office/drawing/2014/chart" uri="{C3380CC4-5D6E-409C-BE32-E72D297353CC}">
              <c16:uniqueId val="{00000000-B0CA-44B8-9A1C-061B351EBFCC}"/>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a:t>
            </a:r>
            <a:r>
              <a:rPr lang="en-US" baseline="0"/>
              <a:t> vs (</a:t>
            </a:r>
            <a:r>
              <a:rPr lang="en-US"/>
              <a:t>CPA &amp;</a:t>
            </a:r>
            <a:r>
              <a:rPr lang="en-US" baseline="0"/>
              <a:t> CTR)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Insights_for_PDF_Report!$C$94</c:f>
              <c:strCache>
                <c:ptCount val="1"/>
                <c:pt idx="0">
                  <c:v>Average of CPA</c:v>
                </c:pt>
              </c:strCache>
            </c:strRef>
          </c:tx>
          <c:spPr>
            <a:solidFill>
              <a:schemeClr val="accent1"/>
            </a:solidFill>
            <a:ln>
              <a:noFill/>
            </a:ln>
            <a:effectLst/>
          </c:spPr>
          <c:invertIfNegative val="0"/>
          <c:cat>
            <c:strRef>
              <c:f>Insights_for_PDF_Report!$B$95:$B$97</c:f>
              <c:strCache>
                <c:ptCount val="3"/>
                <c:pt idx="0">
                  <c:v>916</c:v>
                </c:pt>
                <c:pt idx="1">
                  <c:v>936</c:v>
                </c:pt>
                <c:pt idx="2">
                  <c:v>1178</c:v>
                </c:pt>
              </c:strCache>
            </c:strRef>
          </c:cat>
          <c:val>
            <c:numRef>
              <c:f>Insights_for_PDF_Report!$C$95:$C$97</c:f>
              <c:numCache>
                <c:formatCode>0.00</c:formatCode>
                <c:ptCount val="3"/>
                <c:pt idx="0">
                  <c:v>3.1416666704166669</c:v>
                </c:pt>
                <c:pt idx="1">
                  <c:v>5.4961821641250053</c:v>
                </c:pt>
                <c:pt idx="2">
                  <c:v>58.407481223316765</c:v>
                </c:pt>
              </c:numCache>
            </c:numRef>
          </c:val>
          <c:extLst>
            <c:ext xmlns:c16="http://schemas.microsoft.com/office/drawing/2014/chart" uri="{C3380CC4-5D6E-409C-BE32-E72D297353CC}">
              <c16:uniqueId val="{00000000-34F0-4074-92E1-D6152BF54494}"/>
            </c:ext>
          </c:extLst>
        </c:ser>
        <c:dLbls>
          <c:showLegendKey val="0"/>
          <c:showVal val="0"/>
          <c:showCatName val="0"/>
          <c:showSerName val="0"/>
          <c:showPercent val="0"/>
          <c:showBubbleSize val="0"/>
        </c:dLbls>
        <c:gapWidth val="219"/>
        <c:overlap val="-27"/>
        <c:axId val="386874271"/>
        <c:axId val="386875231"/>
      </c:barChart>
      <c:lineChart>
        <c:grouping val="standard"/>
        <c:varyColors val="0"/>
        <c:ser>
          <c:idx val="1"/>
          <c:order val="1"/>
          <c:tx>
            <c:strRef>
              <c:f>Insights_for_PDF_Report!$D$94</c:f>
              <c:strCache>
                <c:ptCount val="1"/>
                <c:pt idx="0">
                  <c:v>Average of CTR</c:v>
                </c:pt>
              </c:strCache>
            </c:strRef>
          </c:tx>
          <c:spPr>
            <a:ln w="28575" cap="rnd">
              <a:solidFill>
                <a:schemeClr val="accent2"/>
              </a:solidFill>
              <a:round/>
            </a:ln>
            <a:effectLst/>
          </c:spPr>
          <c:marker>
            <c:symbol val="none"/>
          </c:marker>
          <c:cat>
            <c:strRef>
              <c:f>Insights_for_PDF_Report!$B$95:$B$97</c:f>
              <c:strCache>
                <c:ptCount val="3"/>
                <c:pt idx="0">
                  <c:v>916</c:v>
                </c:pt>
                <c:pt idx="1">
                  <c:v>936</c:v>
                </c:pt>
                <c:pt idx="2">
                  <c:v>1178</c:v>
                </c:pt>
              </c:strCache>
            </c:strRef>
          </c:cat>
          <c:val>
            <c:numRef>
              <c:f>Insights_for_PDF_Report!$D$95:$D$97</c:f>
              <c:numCache>
                <c:formatCode>0.0000%</c:formatCode>
                <c:ptCount val="3"/>
                <c:pt idx="0">
                  <c:v>1.8014713698909525E-4</c:v>
                </c:pt>
                <c:pt idx="1">
                  <c:v>1.6501501497368382E-4</c:v>
                </c:pt>
                <c:pt idx="2">
                  <c:v>1.6221108909174263E-4</c:v>
                </c:pt>
              </c:numCache>
            </c:numRef>
          </c:val>
          <c:smooth val="0"/>
          <c:extLst>
            <c:ext xmlns:c16="http://schemas.microsoft.com/office/drawing/2014/chart" uri="{C3380CC4-5D6E-409C-BE32-E72D297353CC}">
              <c16:uniqueId val="{00000001-34F0-4074-92E1-D6152BF54494}"/>
            </c:ext>
          </c:extLst>
        </c:ser>
        <c:dLbls>
          <c:showLegendKey val="0"/>
          <c:showVal val="0"/>
          <c:showCatName val="0"/>
          <c:showSerName val="0"/>
          <c:showPercent val="0"/>
          <c:showBubbleSize val="0"/>
        </c:dLbls>
        <c:marker val="1"/>
        <c:smooth val="0"/>
        <c:axId val="386869951"/>
        <c:axId val="386876671"/>
      </c:lineChart>
      <c:catAx>
        <c:axId val="386874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75231"/>
        <c:crosses val="autoZero"/>
        <c:auto val="1"/>
        <c:lblAlgn val="ctr"/>
        <c:lblOffset val="100"/>
        <c:noMultiLvlLbl val="0"/>
      </c:catAx>
      <c:valAx>
        <c:axId val="38687523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74271"/>
        <c:crosses val="autoZero"/>
        <c:crossBetween val="between"/>
      </c:valAx>
      <c:valAx>
        <c:axId val="386876671"/>
        <c:scaling>
          <c:orientation val="minMax"/>
        </c:scaling>
        <c:delete val="0"/>
        <c:axPos val="r"/>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69951"/>
        <c:crosses val="max"/>
        <c:crossBetween val="between"/>
      </c:valAx>
      <c:catAx>
        <c:axId val="386869951"/>
        <c:scaling>
          <c:orientation val="minMax"/>
        </c:scaling>
        <c:delete val="1"/>
        <c:axPos val="t"/>
        <c:numFmt formatCode="General" sourceLinked="1"/>
        <c:majorTickMark val="out"/>
        <c:minorTickMark val="none"/>
        <c:tickLblPos val="nextTo"/>
        <c:crossAx val="386876671"/>
        <c:crosses val="max"/>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CPA and CPM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Insights_for_PDF_Report!$C$135</c:f>
              <c:strCache>
                <c:ptCount val="1"/>
                <c:pt idx="0">
                  <c:v>Average of CPA</c:v>
                </c:pt>
              </c:strCache>
            </c:strRef>
          </c:tx>
          <c:spPr>
            <a:solidFill>
              <a:schemeClr val="accent1"/>
            </a:solidFill>
            <a:ln>
              <a:noFill/>
            </a:ln>
            <a:effectLst/>
          </c:spPr>
          <c:invertIfNegative val="0"/>
          <c:cat>
            <c:strRef>
              <c:f>Insights_for_PDF_Report!$B$136:$B$139</c:f>
              <c:strCache>
                <c:ptCount val="4"/>
                <c:pt idx="0">
                  <c:v>30-34</c:v>
                </c:pt>
                <c:pt idx="1">
                  <c:v>35-39</c:v>
                </c:pt>
                <c:pt idx="2">
                  <c:v>40-44</c:v>
                </c:pt>
                <c:pt idx="3">
                  <c:v>45-49</c:v>
                </c:pt>
              </c:strCache>
            </c:strRef>
          </c:cat>
          <c:val>
            <c:numRef>
              <c:f>Insights_for_PDF_Report!$C$136:$C$139</c:f>
              <c:numCache>
                <c:formatCode>0.00</c:formatCode>
                <c:ptCount val="4"/>
                <c:pt idx="0">
                  <c:v>22.946630308890473</c:v>
                </c:pt>
                <c:pt idx="1">
                  <c:v>40.606658825700265</c:v>
                </c:pt>
                <c:pt idx="2">
                  <c:v>46.817139147831462</c:v>
                </c:pt>
                <c:pt idx="3">
                  <c:v>67.616514096916859</c:v>
                </c:pt>
              </c:numCache>
            </c:numRef>
          </c:val>
          <c:extLst>
            <c:ext xmlns:c16="http://schemas.microsoft.com/office/drawing/2014/chart" uri="{C3380CC4-5D6E-409C-BE32-E72D297353CC}">
              <c16:uniqueId val="{00000000-8746-47EA-B3E3-005332DBE8BD}"/>
            </c:ext>
          </c:extLst>
        </c:ser>
        <c:dLbls>
          <c:showLegendKey val="0"/>
          <c:showVal val="0"/>
          <c:showCatName val="0"/>
          <c:showSerName val="0"/>
          <c:showPercent val="0"/>
          <c:showBubbleSize val="0"/>
        </c:dLbls>
        <c:gapWidth val="219"/>
        <c:overlap val="-27"/>
        <c:axId val="489706576"/>
        <c:axId val="489715696"/>
      </c:barChart>
      <c:lineChart>
        <c:grouping val="standard"/>
        <c:varyColors val="0"/>
        <c:ser>
          <c:idx val="1"/>
          <c:order val="1"/>
          <c:tx>
            <c:strRef>
              <c:f>Insights_for_PDF_Report!$D$135</c:f>
              <c:strCache>
                <c:ptCount val="1"/>
                <c:pt idx="0">
                  <c:v>Average of CPM</c:v>
                </c:pt>
              </c:strCache>
            </c:strRef>
          </c:tx>
          <c:spPr>
            <a:ln w="28575" cap="rnd">
              <a:solidFill>
                <a:schemeClr val="accent2"/>
              </a:solidFill>
              <a:round/>
            </a:ln>
            <a:effectLst/>
          </c:spPr>
          <c:marker>
            <c:symbol val="none"/>
          </c:marker>
          <c:cat>
            <c:strRef>
              <c:f>Insights_for_PDF_Report!$B$136:$B$139</c:f>
              <c:strCache>
                <c:ptCount val="4"/>
                <c:pt idx="0">
                  <c:v>30-34</c:v>
                </c:pt>
                <c:pt idx="1">
                  <c:v>35-39</c:v>
                </c:pt>
                <c:pt idx="2">
                  <c:v>40-44</c:v>
                </c:pt>
                <c:pt idx="3">
                  <c:v>45-49</c:v>
                </c:pt>
              </c:strCache>
            </c:strRef>
          </c:cat>
          <c:val>
            <c:numRef>
              <c:f>Insights_for_PDF_Report!$D$136:$D$139</c:f>
              <c:numCache>
                <c:formatCode>0.00</c:formatCode>
                <c:ptCount val="4"/>
                <c:pt idx="0">
                  <c:v>0.16822858798852539</c:v>
                </c:pt>
                <c:pt idx="1">
                  <c:v>0.23873259414120604</c:v>
                </c:pt>
                <c:pt idx="2">
                  <c:v>0.28976647460688187</c:v>
                </c:pt>
                <c:pt idx="3">
                  <c:v>0.31620546902573066</c:v>
                </c:pt>
              </c:numCache>
            </c:numRef>
          </c:val>
          <c:smooth val="0"/>
          <c:extLst>
            <c:ext xmlns:c16="http://schemas.microsoft.com/office/drawing/2014/chart" uri="{C3380CC4-5D6E-409C-BE32-E72D297353CC}">
              <c16:uniqueId val="{00000001-8746-47EA-B3E3-005332DBE8BD}"/>
            </c:ext>
          </c:extLst>
        </c:ser>
        <c:dLbls>
          <c:showLegendKey val="0"/>
          <c:showVal val="0"/>
          <c:showCatName val="0"/>
          <c:showSerName val="0"/>
          <c:showPercent val="0"/>
          <c:showBubbleSize val="0"/>
        </c:dLbls>
        <c:marker val="1"/>
        <c:smooth val="0"/>
        <c:axId val="447554464"/>
        <c:axId val="447549184"/>
      </c:lineChart>
      <c:catAx>
        <c:axId val="48970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15696"/>
        <c:crosses val="autoZero"/>
        <c:auto val="1"/>
        <c:lblAlgn val="ctr"/>
        <c:lblOffset val="100"/>
        <c:noMultiLvlLbl val="0"/>
      </c:catAx>
      <c:valAx>
        <c:axId val="4897156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06576"/>
        <c:crosses val="autoZero"/>
        <c:crossBetween val="between"/>
      </c:valAx>
      <c:valAx>
        <c:axId val="4475491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554464"/>
        <c:crosses val="max"/>
        <c:crossBetween val="between"/>
      </c:valAx>
      <c:catAx>
        <c:axId val="447554464"/>
        <c:scaling>
          <c:orientation val="minMax"/>
        </c:scaling>
        <c:delete val="1"/>
        <c:axPos val="b"/>
        <c:numFmt formatCode="General" sourceLinked="1"/>
        <c:majorTickMark val="out"/>
        <c:minorTickMark val="none"/>
        <c:tickLblPos val="nextTo"/>
        <c:crossAx val="4475491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Average CPA and CPM by Gender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Insights_for_PDF_Report!$D$143</c:f>
              <c:strCache>
                <c:ptCount val="1"/>
                <c:pt idx="0">
                  <c:v>Average of CPA</c:v>
                </c:pt>
              </c:strCache>
            </c:strRef>
          </c:tx>
          <c:spPr>
            <a:solidFill>
              <a:schemeClr val="accent1"/>
            </a:solidFill>
            <a:ln>
              <a:noFill/>
            </a:ln>
            <a:effectLst/>
          </c:spPr>
          <c:invertIfNegative val="0"/>
          <c:cat>
            <c:multiLvlStrRef>
              <c:f>Insights_for_PDF_Report!$B$144:$C$151</c:f>
              <c:multiLvlStrCache>
                <c:ptCount val="8"/>
                <c:lvl>
                  <c:pt idx="0">
                    <c:v>F</c:v>
                  </c:pt>
                  <c:pt idx="1">
                    <c:v>M</c:v>
                  </c:pt>
                  <c:pt idx="2">
                    <c:v>F</c:v>
                  </c:pt>
                  <c:pt idx="3">
                    <c:v>M</c:v>
                  </c:pt>
                  <c:pt idx="4">
                    <c:v>F</c:v>
                  </c:pt>
                  <c:pt idx="5">
                    <c:v>M</c:v>
                  </c:pt>
                  <c:pt idx="6">
                    <c:v>F</c:v>
                  </c:pt>
                  <c:pt idx="7">
                    <c:v>M</c:v>
                  </c:pt>
                </c:lvl>
                <c:lvl>
                  <c:pt idx="0">
                    <c:v>30-34</c:v>
                  </c:pt>
                  <c:pt idx="1">
                    <c:v>30-34</c:v>
                  </c:pt>
                  <c:pt idx="2">
                    <c:v>35-39</c:v>
                  </c:pt>
                  <c:pt idx="3">
                    <c:v>35-39</c:v>
                  </c:pt>
                  <c:pt idx="4">
                    <c:v>40-44</c:v>
                  </c:pt>
                  <c:pt idx="5">
                    <c:v>40-44</c:v>
                  </c:pt>
                  <c:pt idx="6">
                    <c:v>45-49</c:v>
                  </c:pt>
                  <c:pt idx="7">
                    <c:v>45-49</c:v>
                  </c:pt>
                </c:lvl>
              </c:multiLvlStrCache>
            </c:multiLvlStrRef>
          </c:cat>
          <c:val>
            <c:numRef>
              <c:f>Insights_for_PDF_Report!$D$144:$D$151</c:f>
              <c:numCache>
                <c:formatCode>0.00</c:formatCode>
                <c:ptCount val="8"/>
                <c:pt idx="0">
                  <c:v>28.666138310643763</c:v>
                </c:pt>
                <c:pt idx="1">
                  <c:v>18.407338244006937</c:v>
                </c:pt>
                <c:pt idx="2">
                  <c:v>48.329580314293118</c:v>
                </c:pt>
                <c:pt idx="3">
                  <c:v>34.297793384314545</c:v>
                </c:pt>
                <c:pt idx="4">
                  <c:v>57.772754610429899</c:v>
                </c:pt>
                <c:pt idx="5">
                  <c:v>37.904096059615838</c:v>
                </c:pt>
                <c:pt idx="6">
                  <c:v>77.977790311848949</c:v>
                </c:pt>
                <c:pt idx="7">
                  <c:v>56.183381721819387</c:v>
                </c:pt>
              </c:numCache>
            </c:numRef>
          </c:val>
          <c:extLst>
            <c:ext xmlns:c16="http://schemas.microsoft.com/office/drawing/2014/chart" uri="{C3380CC4-5D6E-409C-BE32-E72D297353CC}">
              <c16:uniqueId val="{00000000-E637-4461-904C-6196C076AB61}"/>
            </c:ext>
          </c:extLst>
        </c:ser>
        <c:dLbls>
          <c:showLegendKey val="0"/>
          <c:showVal val="0"/>
          <c:showCatName val="0"/>
          <c:showSerName val="0"/>
          <c:showPercent val="0"/>
          <c:showBubbleSize val="0"/>
        </c:dLbls>
        <c:gapWidth val="219"/>
        <c:overlap val="-27"/>
        <c:axId val="575211472"/>
        <c:axId val="575194672"/>
      </c:barChart>
      <c:lineChart>
        <c:grouping val="standard"/>
        <c:varyColors val="0"/>
        <c:ser>
          <c:idx val="1"/>
          <c:order val="1"/>
          <c:tx>
            <c:strRef>
              <c:f>Insights_for_PDF_Report!$E$143</c:f>
              <c:strCache>
                <c:ptCount val="1"/>
                <c:pt idx="0">
                  <c:v>Average of CPM</c:v>
                </c:pt>
              </c:strCache>
            </c:strRef>
          </c:tx>
          <c:spPr>
            <a:ln w="28575" cap="rnd">
              <a:solidFill>
                <a:schemeClr val="accent2"/>
              </a:solidFill>
              <a:round/>
            </a:ln>
            <a:effectLst/>
          </c:spPr>
          <c:marker>
            <c:symbol val="none"/>
          </c:marker>
          <c:cat>
            <c:multiLvlStrRef>
              <c:f>Insights_for_PDF_Report!$B$144:$C$151</c:f>
              <c:multiLvlStrCache>
                <c:ptCount val="8"/>
                <c:lvl>
                  <c:pt idx="0">
                    <c:v>F</c:v>
                  </c:pt>
                  <c:pt idx="1">
                    <c:v>M</c:v>
                  </c:pt>
                  <c:pt idx="2">
                    <c:v>F</c:v>
                  </c:pt>
                  <c:pt idx="3">
                    <c:v>M</c:v>
                  </c:pt>
                  <c:pt idx="4">
                    <c:v>F</c:v>
                  </c:pt>
                  <c:pt idx="5">
                    <c:v>M</c:v>
                  </c:pt>
                  <c:pt idx="6">
                    <c:v>F</c:v>
                  </c:pt>
                  <c:pt idx="7">
                    <c:v>M</c:v>
                  </c:pt>
                </c:lvl>
                <c:lvl>
                  <c:pt idx="0">
                    <c:v>30-34</c:v>
                  </c:pt>
                  <c:pt idx="1">
                    <c:v>30-34</c:v>
                  </c:pt>
                  <c:pt idx="2">
                    <c:v>35-39</c:v>
                  </c:pt>
                  <c:pt idx="3">
                    <c:v>35-39</c:v>
                  </c:pt>
                  <c:pt idx="4">
                    <c:v>40-44</c:v>
                  </c:pt>
                  <c:pt idx="5">
                    <c:v>40-44</c:v>
                  </c:pt>
                  <c:pt idx="6">
                    <c:v>45-49</c:v>
                  </c:pt>
                  <c:pt idx="7">
                    <c:v>45-49</c:v>
                  </c:pt>
                </c:lvl>
              </c:multiLvlStrCache>
            </c:multiLvlStrRef>
          </c:cat>
          <c:val>
            <c:numRef>
              <c:f>Insights_for_PDF_Report!$E$144:$E$151</c:f>
              <c:numCache>
                <c:formatCode>0.00</c:formatCode>
                <c:ptCount val="8"/>
                <c:pt idx="0">
                  <c:v>0.19153404524487005</c:v>
                </c:pt>
                <c:pt idx="1">
                  <c:v>0.14817978851472677</c:v>
                </c:pt>
                <c:pt idx="2">
                  <c:v>0.26818502826219798</c:v>
                </c:pt>
                <c:pt idx="3">
                  <c:v>0.21563680047798203</c:v>
                </c:pt>
                <c:pt idx="4">
                  <c:v>0.31046210208344677</c:v>
                </c:pt>
                <c:pt idx="5">
                  <c:v>0.26826713344190667</c:v>
                </c:pt>
                <c:pt idx="6">
                  <c:v>0.36896680602004495</c:v>
                </c:pt>
                <c:pt idx="7">
                  <c:v>0.25603138220576849</c:v>
                </c:pt>
              </c:numCache>
            </c:numRef>
          </c:val>
          <c:smooth val="0"/>
          <c:extLst>
            <c:ext xmlns:c16="http://schemas.microsoft.com/office/drawing/2014/chart" uri="{C3380CC4-5D6E-409C-BE32-E72D297353CC}">
              <c16:uniqueId val="{00000001-E637-4461-904C-6196C076AB61}"/>
            </c:ext>
          </c:extLst>
        </c:ser>
        <c:dLbls>
          <c:showLegendKey val="0"/>
          <c:showVal val="0"/>
          <c:showCatName val="0"/>
          <c:showSerName val="0"/>
          <c:showPercent val="0"/>
          <c:showBubbleSize val="0"/>
        </c:dLbls>
        <c:marker val="1"/>
        <c:smooth val="0"/>
        <c:axId val="575199952"/>
        <c:axId val="575217712"/>
      </c:lineChart>
      <c:catAx>
        <c:axId val="57521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194672"/>
        <c:crosses val="autoZero"/>
        <c:auto val="1"/>
        <c:lblAlgn val="ctr"/>
        <c:lblOffset val="100"/>
        <c:noMultiLvlLbl val="0"/>
      </c:catAx>
      <c:valAx>
        <c:axId val="575194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11472"/>
        <c:crosses val="autoZero"/>
        <c:crossBetween val="between"/>
      </c:valAx>
      <c:valAx>
        <c:axId val="5752177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199952"/>
        <c:crosses val="max"/>
        <c:crossBetween val="between"/>
      </c:valAx>
      <c:catAx>
        <c:axId val="575199952"/>
        <c:scaling>
          <c:orientation val="minMax"/>
        </c:scaling>
        <c:delete val="1"/>
        <c:axPos val="b"/>
        <c:numFmt formatCode="General" sourceLinked="1"/>
        <c:majorTickMark val="out"/>
        <c:minorTickMark val="none"/>
        <c:tickLblPos val="nextTo"/>
        <c:crossAx val="5752177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4A799FB-9F4D-41F0-95ED-6D287371B0C7}">
          <cx:tx>
            <cx:txData>
              <cx:f>_xlchart.v2.1</cx:f>
              <cx:v>CCR</cx:v>
            </cx:txData>
          </cx:tx>
          <cx:dataLabels>
            <cx:txPr>
              <a:bodyPr spcFirstLastPara="1" vertOverflow="ellipsis" horzOverflow="overflow" wrap="square" lIns="0" tIns="0" rIns="0" bIns="0" anchor="ctr" anchorCtr="1"/>
              <a:lstStyle/>
              <a:p>
                <a:pPr algn="ctr" rtl="0">
                  <a:defRPr sz="500" b="1">
                    <a:solidFill>
                      <a:schemeClr val="bg1"/>
                    </a:solidFill>
                  </a:defRPr>
                </a:pPr>
                <a:endParaRPr lang="en-US" sz="5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5" Type="http://schemas.microsoft.com/office/2014/relationships/chartEx" Target="../charts/chartEx1.xml"/><Relationship Id="rId10" Type="http://schemas.openxmlformats.org/officeDocument/2006/relationships/image" Target="../media/image3.svg"/><Relationship Id="rId4" Type="http://schemas.openxmlformats.org/officeDocument/2006/relationships/chart" Target="../charts/chart3.xml"/><Relationship Id="rId9"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5861</xdr:colOff>
      <xdr:row>0</xdr:row>
      <xdr:rowOff>17585</xdr:rowOff>
    </xdr:from>
    <xdr:to>
      <xdr:col>17</xdr:col>
      <xdr:colOff>486341</xdr:colOff>
      <xdr:row>35</xdr:row>
      <xdr:rowOff>2899</xdr:rowOff>
    </xdr:to>
    <xdr:sp macro="" textlink="">
      <xdr:nvSpPr>
        <xdr:cNvPr id="2" name="Rectangle: Rounded Corners 1">
          <a:extLst>
            <a:ext uri="{FF2B5EF4-FFF2-40B4-BE49-F238E27FC236}">
              <a16:creationId xmlns:a16="http://schemas.microsoft.com/office/drawing/2014/main" id="{E16C2DF4-1C30-FEA1-683F-C80877890196}"/>
            </a:ext>
          </a:extLst>
        </xdr:cNvPr>
        <xdr:cNvSpPr/>
      </xdr:nvSpPr>
      <xdr:spPr>
        <a:xfrm>
          <a:off x="5861" y="17585"/>
          <a:ext cx="11840142" cy="6139929"/>
        </a:xfrm>
        <a:prstGeom prst="roundRect">
          <a:avLst>
            <a:gd name="adj"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xdr:col>
      <xdr:colOff>573845</xdr:colOff>
      <xdr:row>0</xdr:row>
      <xdr:rowOff>125506</xdr:rowOff>
    </xdr:from>
    <xdr:to>
      <xdr:col>17</xdr:col>
      <xdr:colOff>458423</xdr:colOff>
      <xdr:row>5</xdr:row>
      <xdr:rowOff>161365</xdr:rowOff>
    </xdr:to>
    <xdr:sp macro="" textlink="">
      <xdr:nvSpPr>
        <xdr:cNvPr id="5" name="Rectangle: Rounded Corners 4">
          <a:extLst>
            <a:ext uri="{FF2B5EF4-FFF2-40B4-BE49-F238E27FC236}">
              <a16:creationId xmlns:a16="http://schemas.microsoft.com/office/drawing/2014/main" id="{715A0CE6-5944-C1E5-F4E9-69F32ADC171B}"/>
            </a:ext>
          </a:extLst>
        </xdr:cNvPr>
        <xdr:cNvSpPr/>
      </xdr:nvSpPr>
      <xdr:spPr>
        <a:xfrm>
          <a:off x="1179981" y="125506"/>
          <a:ext cx="9582760" cy="988359"/>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a:t>       Social Media Ad Campaign Analysis</a:t>
          </a:r>
        </a:p>
      </xdr:txBody>
    </xdr:sp>
    <xdr:clientData/>
  </xdr:twoCellAnchor>
  <xdr:twoCellAnchor>
    <xdr:from>
      <xdr:col>0</xdr:col>
      <xdr:colOff>107576</xdr:colOff>
      <xdr:row>0</xdr:row>
      <xdr:rowOff>125506</xdr:rowOff>
    </xdr:from>
    <xdr:to>
      <xdr:col>1</xdr:col>
      <xdr:colOff>537882</xdr:colOff>
      <xdr:row>5</xdr:row>
      <xdr:rowOff>161365</xdr:rowOff>
    </xdr:to>
    <xdr:sp macro="" textlink="">
      <xdr:nvSpPr>
        <xdr:cNvPr id="6" name="Rectangle: Rounded Corners 5">
          <a:extLst>
            <a:ext uri="{FF2B5EF4-FFF2-40B4-BE49-F238E27FC236}">
              <a16:creationId xmlns:a16="http://schemas.microsoft.com/office/drawing/2014/main" id="{DCC35CB6-6B06-4037-A3BD-8E553805644B}"/>
            </a:ext>
          </a:extLst>
        </xdr:cNvPr>
        <xdr:cNvSpPr/>
      </xdr:nvSpPr>
      <xdr:spPr>
        <a:xfrm>
          <a:off x="107576" y="125506"/>
          <a:ext cx="1102659" cy="93233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125506</xdr:colOff>
      <xdr:row>6</xdr:row>
      <xdr:rowOff>89646</xdr:rowOff>
    </xdr:from>
    <xdr:to>
      <xdr:col>1</xdr:col>
      <xdr:colOff>555812</xdr:colOff>
      <xdr:row>34</xdr:row>
      <xdr:rowOff>143434</xdr:rowOff>
    </xdr:to>
    <xdr:sp macro="" textlink="">
      <xdr:nvSpPr>
        <xdr:cNvPr id="7" name="Rectangle: Rounded Corners 6">
          <a:extLst>
            <a:ext uri="{FF2B5EF4-FFF2-40B4-BE49-F238E27FC236}">
              <a16:creationId xmlns:a16="http://schemas.microsoft.com/office/drawing/2014/main" id="{B68467FA-CA37-4DCD-9EB4-417A3407B1FE}"/>
            </a:ext>
          </a:extLst>
        </xdr:cNvPr>
        <xdr:cNvSpPr/>
      </xdr:nvSpPr>
      <xdr:spPr>
        <a:xfrm>
          <a:off x="125506" y="1232646"/>
          <a:ext cx="1039906" cy="5387788"/>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663388</xdr:colOff>
      <xdr:row>6</xdr:row>
      <xdr:rowOff>102197</xdr:rowOff>
    </xdr:from>
    <xdr:to>
      <xdr:col>4</xdr:col>
      <xdr:colOff>175260</xdr:colOff>
      <xdr:row>10</xdr:row>
      <xdr:rowOff>83821</xdr:rowOff>
    </xdr:to>
    <xdr:sp macro="" textlink="">
      <xdr:nvSpPr>
        <xdr:cNvPr id="8" name="Rectangle: Rounded Corners 7">
          <a:extLst>
            <a:ext uri="{FF2B5EF4-FFF2-40B4-BE49-F238E27FC236}">
              <a16:creationId xmlns:a16="http://schemas.microsoft.com/office/drawing/2014/main" id="{F355E4F5-58D7-465C-AAD2-6B8492293AD2}"/>
            </a:ext>
          </a:extLst>
        </xdr:cNvPr>
        <xdr:cNvSpPr/>
      </xdr:nvSpPr>
      <xdr:spPr>
        <a:xfrm>
          <a:off x="1333948" y="1153757"/>
          <a:ext cx="1523552" cy="682664"/>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ysClr val="windowText" lastClr="000000"/>
            </a:solidFill>
          </a:endParaRPr>
        </a:p>
      </xdr:txBody>
    </xdr:sp>
    <xdr:clientData/>
  </xdr:twoCellAnchor>
  <xdr:twoCellAnchor>
    <xdr:from>
      <xdr:col>4</xdr:col>
      <xdr:colOff>288664</xdr:colOff>
      <xdr:row>6</xdr:row>
      <xdr:rowOff>106231</xdr:rowOff>
    </xdr:from>
    <xdr:to>
      <xdr:col>6</xdr:col>
      <xdr:colOff>471096</xdr:colOff>
      <xdr:row>10</xdr:row>
      <xdr:rowOff>87855</xdr:rowOff>
    </xdr:to>
    <xdr:sp macro="" textlink="">
      <xdr:nvSpPr>
        <xdr:cNvPr id="9" name="Rectangle: Rounded Corners 8">
          <a:extLst>
            <a:ext uri="{FF2B5EF4-FFF2-40B4-BE49-F238E27FC236}">
              <a16:creationId xmlns:a16="http://schemas.microsoft.com/office/drawing/2014/main" id="{6BC0F535-CC58-41EB-8C63-5FAE6B085402}"/>
            </a:ext>
          </a:extLst>
        </xdr:cNvPr>
        <xdr:cNvSpPr/>
      </xdr:nvSpPr>
      <xdr:spPr>
        <a:xfrm>
          <a:off x="2970904" y="1157791"/>
          <a:ext cx="1523552" cy="682664"/>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559942</xdr:colOff>
      <xdr:row>6</xdr:row>
      <xdr:rowOff>119618</xdr:rowOff>
    </xdr:from>
    <xdr:to>
      <xdr:col>9</xdr:col>
      <xdr:colOff>70022</xdr:colOff>
      <xdr:row>10</xdr:row>
      <xdr:rowOff>101242</xdr:rowOff>
    </xdr:to>
    <xdr:sp macro="" textlink="">
      <xdr:nvSpPr>
        <xdr:cNvPr id="10" name="Rectangle: Rounded Corners 9">
          <a:extLst>
            <a:ext uri="{FF2B5EF4-FFF2-40B4-BE49-F238E27FC236}">
              <a16:creationId xmlns:a16="http://schemas.microsoft.com/office/drawing/2014/main" id="{E383B4EF-82B1-4A27-97FF-EA5C80F9CAB5}"/>
            </a:ext>
          </a:extLst>
        </xdr:cNvPr>
        <xdr:cNvSpPr/>
      </xdr:nvSpPr>
      <xdr:spPr>
        <a:xfrm>
          <a:off x="4583302" y="1171178"/>
          <a:ext cx="1521760" cy="682664"/>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211879</xdr:colOff>
      <xdr:row>6</xdr:row>
      <xdr:rowOff>145870</xdr:rowOff>
    </xdr:from>
    <xdr:to>
      <xdr:col>11</xdr:col>
      <xdr:colOff>394311</xdr:colOff>
      <xdr:row>10</xdr:row>
      <xdr:rowOff>127495</xdr:rowOff>
    </xdr:to>
    <xdr:sp macro="" textlink="">
      <xdr:nvSpPr>
        <xdr:cNvPr id="11" name="Rectangle: Rounded Corners 10">
          <a:extLst>
            <a:ext uri="{FF2B5EF4-FFF2-40B4-BE49-F238E27FC236}">
              <a16:creationId xmlns:a16="http://schemas.microsoft.com/office/drawing/2014/main" id="{637CE212-2B1B-4319-B9D3-E1002CF37B98}"/>
            </a:ext>
          </a:extLst>
        </xdr:cNvPr>
        <xdr:cNvSpPr/>
      </xdr:nvSpPr>
      <xdr:spPr>
        <a:xfrm>
          <a:off x="6234992" y="1179540"/>
          <a:ext cx="1520902" cy="670738"/>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530145</xdr:colOff>
      <xdr:row>6</xdr:row>
      <xdr:rowOff>163058</xdr:rowOff>
    </xdr:from>
    <xdr:to>
      <xdr:col>14</xdr:col>
      <xdr:colOff>43342</xdr:colOff>
      <xdr:row>10</xdr:row>
      <xdr:rowOff>151698</xdr:rowOff>
    </xdr:to>
    <xdr:sp macro="" textlink="">
      <xdr:nvSpPr>
        <xdr:cNvPr id="12" name="Rectangle: Rounded Corners 11">
          <a:extLst>
            <a:ext uri="{FF2B5EF4-FFF2-40B4-BE49-F238E27FC236}">
              <a16:creationId xmlns:a16="http://schemas.microsoft.com/office/drawing/2014/main" id="{B091DAB5-1072-44CE-9C93-5C0F82AA4918}"/>
            </a:ext>
          </a:extLst>
        </xdr:cNvPr>
        <xdr:cNvSpPr/>
      </xdr:nvSpPr>
      <xdr:spPr>
        <a:xfrm>
          <a:off x="7906305" y="1214618"/>
          <a:ext cx="1524877" cy="689680"/>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251009</xdr:colOff>
      <xdr:row>7</xdr:row>
      <xdr:rowOff>80681</xdr:rowOff>
    </xdr:from>
    <xdr:to>
      <xdr:col>15</xdr:col>
      <xdr:colOff>439269</xdr:colOff>
      <xdr:row>16</xdr:row>
      <xdr:rowOff>71717</xdr:rowOff>
    </xdr:to>
    <xdr:sp macro="" textlink="">
      <xdr:nvSpPr>
        <xdr:cNvPr id="19" name="Flowchart: Off-page Connector 18">
          <a:extLst>
            <a:ext uri="{FF2B5EF4-FFF2-40B4-BE49-F238E27FC236}">
              <a16:creationId xmlns:a16="http://schemas.microsoft.com/office/drawing/2014/main" id="{73B1BC95-BAE2-085E-FAEC-22E7EA757088}"/>
            </a:ext>
          </a:extLst>
        </xdr:cNvPr>
        <xdr:cNvSpPr/>
      </xdr:nvSpPr>
      <xdr:spPr>
        <a:xfrm>
          <a:off x="8813483" y="1414181"/>
          <a:ext cx="799865" cy="1705536"/>
        </a:xfrm>
        <a:prstGeom prst="flowChartOffpageConnector">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14</xdr:col>
      <xdr:colOff>134471</xdr:colOff>
      <xdr:row>7</xdr:row>
      <xdr:rowOff>23309</xdr:rowOff>
    </xdr:from>
    <xdr:to>
      <xdr:col>15</xdr:col>
      <xdr:colOff>591671</xdr:colOff>
      <xdr:row>8</xdr:row>
      <xdr:rowOff>14344</xdr:rowOff>
    </xdr:to>
    <xdr:sp macro="" textlink="">
      <xdr:nvSpPr>
        <xdr:cNvPr id="20" name="Trapezoid 19">
          <a:extLst>
            <a:ext uri="{FF2B5EF4-FFF2-40B4-BE49-F238E27FC236}">
              <a16:creationId xmlns:a16="http://schemas.microsoft.com/office/drawing/2014/main" id="{A93801CE-6926-D295-860C-8E19C6141716}"/>
            </a:ext>
          </a:extLst>
        </xdr:cNvPr>
        <xdr:cNvSpPr/>
      </xdr:nvSpPr>
      <xdr:spPr>
        <a:xfrm>
          <a:off x="9522311" y="1242509"/>
          <a:ext cx="1127760" cy="165206"/>
        </a:xfrm>
        <a:prstGeom prst="trapezoid">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16</xdr:col>
      <xdr:colOff>161362</xdr:colOff>
      <xdr:row>7</xdr:row>
      <xdr:rowOff>125505</xdr:rowOff>
    </xdr:from>
    <xdr:to>
      <xdr:col>17</xdr:col>
      <xdr:colOff>349622</xdr:colOff>
      <xdr:row>16</xdr:row>
      <xdr:rowOff>116541</xdr:rowOff>
    </xdr:to>
    <xdr:sp macro="" textlink="">
      <xdr:nvSpPr>
        <xdr:cNvPr id="21" name="Flowchart: Off-page Connector 20">
          <a:extLst>
            <a:ext uri="{FF2B5EF4-FFF2-40B4-BE49-F238E27FC236}">
              <a16:creationId xmlns:a16="http://schemas.microsoft.com/office/drawing/2014/main" id="{24F56D71-B903-4B44-BF92-D49E2FE4705C}"/>
            </a:ext>
          </a:extLst>
        </xdr:cNvPr>
        <xdr:cNvSpPr/>
      </xdr:nvSpPr>
      <xdr:spPr>
        <a:xfrm>
          <a:off x="10919009" y="1380564"/>
          <a:ext cx="860613" cy="1604683"/>
        </a:xfrm>
        <a:prstGeom prst="flowChartOffpageConnector">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8965</xdr:colOff>
      <xdr:row>7</xdr:row>
      <xdr:rowOff>18699</xdr:rowOff>
    </xdr:from>
    <xdr:to>
      <xdr:col>17</xdr:col>
      <xdr:colOff>466165</xdr:colOff>
      <xdr:row>8</xdr:row>
      <xdr:rowOff>9734</xdr:rowOff>
    </xdr:to>
    <xdr:sp macro="" textlink="">
      <xdr:nvSpPr>
        <xdr:cNvPr id="22" name="Trapezoid 21">
          <a:extLst>
            <a:ext uri="{FF2B5EF4-FFF2-40B4-BE49-F238E27FC236}">
              <a16:creationId xmlns:a16="http://schemas.microsoft.com/office/drawing/2014/main" id="{2634CA75-CE33-40BC-B0FB-B71A15A0F528}"/>
            </a:ext>
          </a:extLst>
        </xdr:cNvPr>
        <xdr:cNvSpPr/>
      </xdr:nvSpPr>
      <xdr:spPr>
        <a:xfrm>
          <a:off x="10737925" y="1237899"/>
          <a:ext cx="1127760" cy="165206"/>
        </a:xfrm>
        <a:prstGeom prst="trapezoid">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618329</xdr:colOff>
      <xdr:row>11</xdr:row>
      <xdr:rowOff>64838</xdr:rowOff>
    </xdr:from>
    <xdr:to>
      <xdr:col>4</xdr:col>
      <xdr:colOff>518160</xdr:colOff>
      <xdr:row>19</xdr:row>
      <xdr:rowOff>163898</xdr:rowOff>
    </xdr:to>
    <xdr:sp macro="" textlink="">
      <xdr:nvSpPr>
        <xdr:cNvPr id="23" name="Rectangle: Rounded Corners 22">
          <a:extLst>
            <a:ext uri="{FF2B5EF4-FFF2-40B4-BE49-F238E27FC236}">
              <a16:creationId xmlns:a16="http://schemas.microsoft.com/office/drawing/2014/main" id="{8DF191CD-ED33-4414-B5A8-4ED394B5490F}"/>
            </a:ext>
          </a:extLst>
        </xdr:cNvPr>
        <xdr:cNvSpPr/>
      </xdr:nvSpPr>
      <xdr:spPr>
        <a:xfrm>
          <a:off x="1290682" y="2037073"/>
          <a:ext cx="1916890" cy="1533413"/>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595820</xdr:colOff>
      <xdr:row>11</xdr:row>
      <xdr:rowOff>69388</xdr:rowOff>
    </xdr:from>
    <xdr:to>
      <xdr:col>7</xdr:col>
      <xdr:colOff>671905</xdr:colOff>
      <xdr:row>19</xdr:row>
      <xdr:rowOff>159348</xdr:rowOff>
    </xdr:to>
    <xdr:sp macro="" textlink="">
      <xdr:nvSpPr>
        <xdr:cNvPr id="24" name="Rectangle: Rounded Corners 23">
          <a:extLst>
            <a:ext uri="{FF2B5EF4-FFF2-40B4-BE49-F238E27FC236}">
              <a16:creationId xmlns:a16="http://schemas.microsoft.com/office/drawing/2014/main" id="{AB570C16-61CC-40E9-8D29-70809938818F}"/>
            </a:ext>
          </a:extLst>
        </xdr:cNvPr>
        <xdr:cNvSpPr/>
      </xdr:nvSpPr>
      <xdr:spPr>
        <a:xfrm>
          <a:off x="3285232" y="2041623"/>
          <a:ext cx="2093144" cy="1524313"/>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64058</xdr:colOff>
      <xdr:row>11</xdr:row>
      <xdr:rowOff>57792</xdr:rowOff>
    </xdr:from>
    <xdr:to>
      <xdr:col>11</xdr:col>
      <xdr:colOff>91440</xdr:colOff>
      <xdr:row>19</xdr:row>
      <xdr:rowOff>170944</xdr:rowOff>
    </xdr:to>
    <xdr:sp macro="" textlink="">
      <xdr:nvSpPr>
        <xdr:cNvPr id="26" name="Rectangle: Rounded Corners 25">
          <a:extLst>
            <a:ext uri="{FF2B5EF4-FFF2-40B4-BE49-F238E27FC236}">
              <a16:creationId xmlns:a16="http://schemas.microsoft.com/office/drawing/2014/main" id="{EEC2B5FB-F1AA-4C69-B3FE-DA9D9BCFE223}"/>
            </a:ext>
          </a:extLst>
        </xdr:cNvPr>
        <xdr:cNvSpPr/>
      </xdr:nvSpPr>
      <xdr:spPr>
        <a:xfrm>
          <a:off x="5442882" y="2030027"/>
          <a:ext cx="2044440" cy="1547505"/>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213359</xdr:colOff>
      <xdr:row>16</xdr:row>
      <xdr:rowOff>161169</xdr:rowOff>
    </xdr:from>
    <xdr:to>
      <xdr:col>17</xdr:col>
      <xdr:colOff>449580</xdr:colOff>
      <xdr:row>34</xdr:row>
      <xdr:rowOff>92765</xdr:rowOff>
    </xdr:to>
    <xdr:sp macro="" textlink="">
      <xdr:nvSpPr>
        <xdr:cNvPr id="27" name="Rectangle: Rounded Corners 26">
          <a:extLst>
            <a:ext uri="{FF2B5EF4-FFF2-40B4-BE49-F238E27FC236}">
              <a16:creationId xmlns:a16="http://schemas.microsoft.com/office/drawing/2014/main" id="{CBB9BE7E-08E4-4E62-A0E1-8C89D395A298}"/>
            </a:ext>
          </a:extLst>
        </xdr:cNvPr>
        <xdr:cNvSpPr/>
      </xdr:nvSpPr>
      <xdr:spPr>
        <a:xfrm>
          <a:off x="8747759" y="3209169"/>
          <a:ext cx="2065021" cy="3360596"/>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00">
              <a:solidFill>
                <a:sysClr val="windowText" lastClr="000000"/>
              </a:solidFill>
            </a:rPr>
            <a:t>-&gt; </a:t>
          </a:r>
          <a:r>
            <a:rPr lang="en-IN" sz="1000">
              <a:solidFill>
                <a:sysClr val="windowText" lastClr="000000"/>
              </a:solidFill>
              <a:effectLst/>
              <a:latin typeface="+mn-lt"/>
              <a:ea typeface="+mn-ea"/>
              <a:cs typeface="+mn-cs"/>
            </a:rPr>
            <a:t>Focus on males in prime working ages (30-39) for ROI; deprioritize older females.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a:solidFill>
              <a:sysClr val="windowText" lastClr="000000"/>
            </a:solidFill>
            <a:effectLst/>
            <a:latin typeface="+mn-lt"/>
            <a:ea typeface="+mn-ea"/>
            <a:cs typeface="+mn-cs"/>
          </a:endParaRPr>
        </a:p>
        <a:p>
          <a:pPr algn="l"/>
          <a:endParaRPr lang="en-US" sz="10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a:solidFill>
                <a:sysClr val="windowText" lastClr="000000"/>
              </a:solidFill>
            </a:rPr>
            <a:t>-&gt;</a:t>
          </a:r>
          <a:r>
            <a:rPr lang="en-US" sz="1000" baseline="0">
              <a:solidFill>
                <a:sysClr val="windowText" lastClr="000000"/>
              </a:solidFill>
            </a:rPr>
            <a:t> </a:t>
          </a:r>
          <a:r>
            <a:rPr lang="en-IN" sz="1000">
              <a:solidFill>
                <a:sysClr val="windowText" lastClr="000000"/>
              </a:solidFill>
              <a:effectLst/>
              <a:latin typeface="+mn-lt"/>
              <a:ea typeface="+mn-ea"/>
              <a:cs typeface="+mn-cs"/>
            </a:rPr>
            <a:t>Females consistently demonstrate higher conversion rates across most age groups.</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0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0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000">
              <a:solidFill>
                <a:sysClr val="windowText" lastClr="000000"/>
              </a:solidFill>
              <a:effectLst/>
              <a:latin typeface="+mn-lt"/>
              <a:ea typeface="+mn-ea"/>
              <a:cs typeface="+mn-cs"/>
            </a:rPr>
            <a:t>-&gt; The CCR reduces sharply with age, indicating that older demographics are much more expensive to convert.</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0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0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i="0" u="none" strike="noStrike" baseline="0">
              <a:solidFill>
                <a:sysClr val="windowText" lastClr="000000"/>
              </a:solidFill>
              <a:latin typeface="+mn-lt"/>
              <a:ea typeface="+mn-ea"/>
              <a:cs typeface="+mn-cs"/>
            </a:rPr>
            <a:t>-&gt; The worst-performing segment (45-49 Female) receives the highest budget allocation.</a:t>
          </a:r>
          <a:endParaRPr lang="en-US" sz="1000">
            <a:solidFill>
              <a:sysClr val="windowText" lastClr="000000"/>
            </a:solidFill>
            <a:effectLst/>
            <a:latin typeface="+mn-lt"/>
            <a:ea typeface="+mn-ea"/>
            <a:cs typeface="+mn-cs"/>
          </a:endParaRPr>
        </a:p>
        <a:p>
          <a:pPr algn="l"/>
          <a:endParaRPr lang="en-IN" sz="1100">
            <a:solidFill>
              <a:sysClr val="windowText" lastClr="000000"/>
            </a:solidFill>
          </a:endParaRPr>
        </a:p>
        <a:p>
          <a:pPr algn="l"/>
          <a:endParaRPr lang="en-IN" sz="1100">
            <a:solidFill>
              <a:sysClr val="windowText" lastClr="000000"/>
            </a:solidFill>
          </a:endParaRPr>
        </a:p>
      </xdr:txBody>
    </xdr:sp>
    <xdr:clientData/>
  </xdr:twoCellAnchor>
  <xdr:twoCellAnchor>
    <xdr:from>
      <xdr:col>11</xdr:col>
      <xdr:colOff>178358</xdr:colOff>
      <xdr:row>11</xdr:row>
      <xdr:rowOff>17676</xdr:rowOff>
    </xdr:from>
    <xdr:to>
      <xdr:col>14</xdr:col>
      <xdr:colOff>106680</xdr:colOff>
      <xdr:row>20</xdr:row>
      <xdr:rowOff>46384</xdr:rowOff>
    </xdr:to>
    <xdr:sp macro="" textlink="">
      <xdr:nvSpPr>
        <xdr:cNvPr id="29" name="Rectangle: Rounded Corners 28">
          <a:extLst>
            <a:ext uri="{FF2B5EF4-FFF2-40B4-BE49-F238E27FC236}">
              <a16:creationId xmlns:a16="http://schemas.microsoft.com/office/drawing/2014/main" id="{1D5181D8-7BA7-4645-9A44-4F3AE88ACE67}"/>
            </a:ext>
          </a:extLst>
        </xdr:cNvPr>
        <xdr:cNvSpPr/>
      </xdr:nvSpPr>
      <xdr:spPr>
        <a:xfrm>
          <a:off x="7539941" y="1912737"/>
          <a:ext cx="1936026" cy="1579212"/>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563218</xdr:colOff>
      <xdr:row>20</xdr:row>
      <xdr:rowOff>94093</xdr:rowOff>
    </xdr:from>
    <xdr:to>
      <xdr:col>14</xdr:col>
      <xdr:colOff>132521</xdr:colOff>
      <xdr:row>34</xdr:row>
      <xdr:rowOff>99390</xdr:rowOff>
    </xdr:to>
    <xdr:sp macro="" textlink="">
      <xdr:nvSpPr>
        <xdr:cNvPr id="31" name="Rectangle: Rounded Corners 30">
          <a:extLst>
            <a:ext uri="{FF2B5EF4-FFF2-40B4-BE49-F238E27FC236}">
              <a16:creationId xmlns:a16="http://schemas.microsoft.com/office/drawing/2014/main" id="{5A7AC8DC-DA84-403A-B815-24877E24D057}"/>
            </a:ext>
          </a:extLst>
        </xdr:cNvPr>
        <xdr:cNvSpPr/>
      </xdr:nvSpPr>
      <xdr:spPr>
        <a:xfrm>
          <a:off x="6586331" y="3539658"/>
          <a:ext cx="2915477" cy="2417193"/>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617314</xdr:colOff>
      <xdr:row>20</xdr:row>
      <xdr:rowOff>60959</xdr:rowOff>
    </xdr:from>
    <xdr:to>
      <xdr:col>5</xdr:col>
      <xdr:colOff>384312</xdr:colOff>
      <xdr:row>34</xdr:row>
      <xdr:rowOff>99390</xdr:rowOff>
    </xdr:to>
    <xdr:sp macro="" textlink="">
      <xdr:nvSpPr>
        <xdr:cNvPr id="32" name="Rectangle: Rounded Corners 31">
          <a:extLst>
            <a:ext uri="{FF2B5EF4-FFF2-40B4-BE49-F238E27FC236}">
              <a16:creationId xmlns:a16="http://schemas.microsoft.com/office/drawing/2014/main" id="{3EB70B08-C2A5-434F-BD56-6AF7E444682F}"/>
            </a:ext>
          </a:extLst>
        </xdr:cNvPr>
        <xdr:cNvSpPr/>
      </xdr:nvSpPr>
      <xdr:spPr>
        <a:xfrm>
          <a:off x="1286549" y="3506524"/>
          <a:ext cx="2443937" cy="2450327"/>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457198</xdr:colOff>
      <xdr:row>20</xdr:row>
      <xdr:rowOff>102664</xdr:rowOff>
    </xdr:from>
    <xdr:to>
      <xdr:col>9</xdr:col>
      <xdr:colOff>477078</xdr:colOff>
      <xdr:row>34</xdr:row>
      <xdr:rowOff>106017</xdr:rowOff>
    </xdr:to>
    <xdr:sp macro="" textlink="">
      <xdr:nvSpPr>
        <xdr:cNvPr id="35" name="Rectangle: Rounded Corners 34">
          <a:extLst>
            <a:ext uri="{FF2B5EF4-FFF2-40B4-BE49-F238E27FC236}">
              <a16:creationId xmlns:a16="http://schemas.microsoft.com/office/drawing/2014/main" id="{C9BFF858-434F-4439-9D0B-F42EBAA3D0EB}"/>
            </a:ext>
          </a:extLst>
        </xdr:cNvPr>
        <xdr:cNvSpPr/>
      </xdr:nvSpPr>
      <xdr:spPr>
        <a:xfrm>
          <a:off x="3803372" y="3548229"/>
          <a:ext cx="2696819" cy="2415249"/>
        </a:xfrm>
        <a:prstGeom prst="roundRect">
          <a:avLst/>
        </a:prstGeom>
        <a:gradFill>
          <a:gsLst>
            <a:gs pos="100000">
              <a:srgbClr val="59A7CA"/>
            </a:gs>
            <a:gs pos="98000">
              <a:srgbClr val="3E8AAA"/>
            </a:gs>
            <a:gs pos="0">
              <a:srgbClr val="084F6A"/>
            </a:gs>
            <a:gs pos="100000">
              <a:schemeClr val="accent1">
                <a:lumMod val="45000"/>
                <a:lumOff val="55000"/>
              </a:schemeClr>
            </a:gs>
            <a:gs pos="100000">
              <a:schemeClr val="accent1">
                <a:lumMod val="45000"/>
                <a:lumOff val="55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44823</xdr:colOff>
      <xdr:row>0</xdr:row>
      <xdr:rowOff>71714</xdr:rowOff>
    </xdr:from>
    <xdr:to>
      <xdr:col>1</xdr:col>
      <xdr:colOff>588642</xdr:colOff>
      <xdr:row>6</xdr:row>
      <xdr:rowOff>35858</xdr:rowOff>
    </xdr:to>
    <xdr:pic>
      <xdr:nvPicPr>
        <xdr:cNvPr id="37" name="Picture 36">
          <a:extLst>
            <a:ext uri="{FF2B5EF4-FFF2-40B4-BE49-F238E27FC236}">
              <a16:creationId xmlns:a16="http://schemas.microsoft.com/office/drawing/2014/main" id="{FAC4B197-38CE-FF11-48C1-54987EAAD6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71714"/>
          <a:ext cx="1216172" cy="1039909"/>
        </a:xfrm>
        <a:prstGeom prst="rect">
          <a:avLst/>
        </a:prstGeom>
        <a:ln>
          <a:noFill/>
        </a:ln>
        <a:effectLst>
          <a:softEdge rad="112500"/>
        </a:effectLst>
      </xdr:spPr>
    </xdr:pic>
    <xdr:clientData/>
  </xdr:twoCellAnchor>
  <xdr:twoCellAnchor>
    <xdr:from>
      <xdr:col>2</xdr:col>
      <xdr:colOff>38100</xdr:colOff>
      <xdr:row>6</xdr:row>
      <xdr:rowOff>121920</xdr:rowOff>
    </xdr:from>
    <xdr:to>
      <xdr:col>3</xdr:col>
      <xdr:colOff>99060</xdr:colOff>
      <xdr:row>8</xdr:row>
      <xdr:rowOff>53340</xdr:rowOff>
    </xdr:to>
    <xdr:sp macro="" textlink="">
      <xdr:nvSpPr>
        <xdr:cNvPr id="43" name="Rectangle 42">
          <a:extLst>
            <a:ext uri="{FF2B5EF4-FFF2-40B4-BE49-F238E27FC236}">
              <a16:creationId xmlns:a16="http://schemas.microsoft.com/office/drawing/2014/main" id="{300F47BC-CBB8-2979-D2B3-E49AE9610764}"/>
            </a:ext>
          </a:extLst>
        </xdr:cNvPr>
        <xdr:cNvSpPr/>
      </xdr:nvSpPr>
      <xdr:spPr>
        <a:xfrm>
          <a:off x="1379220" y="1173480"/>
          <a:ext cx="73152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CPM</a:t>
          </a:r>
        </a:p>
      </xdr:txBody>
    </xdr:sp>
    <xdr:clientData/>
  </xdr:twoCellAnchor>
  <xdr:twoCellAnchor>
    <xdr:from>
      <xdr:col>4</xdr:col>
      <xdr:colOff>295836</xdr:colOff>
      <xdr:row>6</xdr:row>
      <xdr:rowOff>130436</xdr:rowOff>
    </xdr:from>
    <xdr:to>
      <xdr:col>5</xdr:col>
      <xdr:colOff>356796</xdr:colOff>
      <xdr:row>8</xdr:row>
      <xdr:rowOff>61856</xdr:rowOff>
    </xdr:to>
    <xdr:sp macro="" textlink="">
      <xdr:nvSpPr>
        <xdr:cNvPr id="44" name="Rectangle 43">
          <a:extLst>
            <a:ext uri="{FF2B5EF4-FFF2-40B4-BE49-F238E27FC236}">
              <a16:creationId xmlns:a16="http://schemas.microsoft.com/office/drawing/2014/main" id="{96774CF8-54A9-44AE-8C12-8D7A58AE72A4}"/>
            </a:ext>
          </a:extLst>
        </xdr:cNvPr>
        <xdr:cNvSpPr/>
      </xdr:nvSpPr>
      <xdr:spPr>
        <a:xfrm>
          <a:off x="2978076" y="1181996"/>
          <a:ext cx="73152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CPC</a:t>
          </a:r>
        </a:p>
      </xdr:txBody>
    </xdr:sp>
    <xdr:clientData/>
  </xdr:twoCellAnchor>
  <xdr:twoCellAnchor>
    <xdr:from>
      <xdr:col>6</xdr:col>
      <xdr:colOff>551991</xdr:colOff>
      <xdr:row>6</xdr:row>
      <xdr:rowOff>101728</xdr:rowOff>
    </xdr:from>
    <xdr:to>
      <xdr:col>7</xdr:col>
      <xdr:colOff>612951</xdr:colOff>
      <xdr:row>8</xdr:row>
      <xdr:rowOff>33148</xdr:rowOff>
    </xdr:to>
    <xdr:sp macro="" textlink="">
      <xdr:nvSpPr>
        <xdr:cNvPr id="45" name="Rectangle 44">
          <a:extLst>
            <a:ext uri="{FF2B5EF4-FFF2-40B4-BE49-F238E27FC236}">
              <a16:creationId xmlns:a16="http://schemas.microsoft.com/office/drawing/2014/main" id="{2E3327A1-753E-4CB6-9031-B2E48A2C0C77}"/>
            </a:ext>
          </a:extLst>
        </xdr:cNvPr>
        <xdr:cNvSpPr/>
      </xdr:nvSpPr>
      <xdr:spPr>
        <a:xfrm>
          <a:off x="4575351" y="1153288"/>
          <a:ext cx="73152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CTR</a:t>
          </a:r>
        </a:p>
      </xdr:txBody>
    </xdr:sp>
    <xdr:clientData/>
  </xdr:twoCellAnchor>
  <xdr:twoCellAnchor>
    <xdr:from>
      <xdr:col>9</xdr:col>
      <xdr:colOff>199952</xdr:colOff>
      <xdr:row>6</xdr:row>
      <xdr:rowOff>127980</xdr:rowOff>
    </xdr:from>
    <xdr:to>
      <xdr:col>10</xdr:col>
      <xdr:colOff>260912</xdr:colOff>
      <xdr:row>8</xdr:row>
      <xdr:rowOff>59400</xdr:rowOff>
    </xdr:to>
    <xdr:sp macro="" textlink="">
      <xdr:nvSpPr>
        <xdr:cNvPr id="46" name="Rectangle 45">
          <a:extLst>
            <a:ext uri="{FF2B5EF4-FFF2-40B4-BE49-F238E27FC236}">
              <a16:creationId xmlns:a16="http://schemas.microsoft.com/office/drawing/2014/main" id="{D6AF2FB4-06FD-4A62-8CB4-49C5ADCDAA20}"/>
            </a:ext>
          </a:extLst>
        </xdr:cNvPr>
        <xdr:cNvSpPr/>
      </xdr:nvSpPr>
      <xdr:spPr>
        <a:xfrm>
          <a:off x="6234992" y="1179540"/>
          <a:ext cx="73152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CPA</a:t>
          </a:r>
        </a:p>
      </xdr:txBody>
    </xdr:sp>
    <xdr:clientData/>
  </xdr:twoCellAnchor>
  <xdr:twoCellAnchor>
    <xdr:from>
      <xdr:col>11</xdr:col>
      <xdr:colOff>515568</xdr:colOff>
      <xdr:row>6</xdr:row>
      <xdr:rowOff>145168</xdr:rowOff>
    </xdr:from>
    <xdr:to>
      <xdr:col>12</xdr:col>
      <xdr:colOff>576528</xdr:colOff>
      <xdr:row>8</xdr:row>
      <xdr:rowOff>76588</xdr:rowOff>
    </xdr:to>
    <xdr:sp macro="" textlink="">
      <xdr:nvSpPr>
        <xdr:cNvPr id="47" name="Rectangle 46">
          <a:extLst>
            <a:ext uri="{FF2B5EF4-FFF2-40B4-BE49-F238E27FC236}">
              <a16:creationId xmlns:a16="http://schemas.microsoft.com/office/drawing/2014/main" id="{A89CD576-89D9-4F3E-A557-288424496C47}"/>
            </a:ext>
          </a:extLst>
        </xdr:cNvPr>
        <xdr:cNvSpPr/>
      </xdr:nvSpPr>
      <xdr:spPr>
        <a:xfrm>
          <a:off x="7891728" y="1196728"/>
          <a:ext cx="73152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CCR</a:t>
          </a:r>
        </a:p>
      </xdr:txBody>
    </xdr:sp>
    <xdr:clientData/>
  </xdr:twoCellAnchor>
  <xdr:twoCellAnchor>
    <xdr:from>
      <xdr:col>2</xdr:col>
      <xdr:colOff>443753</xdr:colOff>
      <xdr:row>7</xdr:row>
      <xdr:rowOff>100131</xdr:rowOff>
    </xdr:from>
    <xdr:to>
      <xdr:col>4</xdr:col>
      <xdr:colOff>56029</xdr:colOff>
      <xdr:row>9</xdr:row>
      <xdr:rowOff>127474</xdr:rowOff>
    </xdr:to>
    <xdr:sp macro="" textlink="Pivot_for_Dashborad!B14">
      <xdr:nvSpPr>
        <xdr:cNvPr id="49" name="Rectangle 48">
          <a:extLst>
            <a:ext uri="{FF2B5EF4-FFF2-40B4-BE49-F238E27FC236}">
              <a16:creationId xmlns:a16="http://schemas.microsoft.com/office/drawing/2014/main" id="{E4739A34-4689-45E2-AF97-8DC377F2622B}"/>
            </a:ext>
          </a:extLst>
        </xdr:cNvPr>
        <xdr:cNvSpPr/>
      </xdr:nvSpPr>
      <xdr:spPr>
        <a:xfrm>
          <a:off x="1653988" y="1433631"/>
          <a:ext cx="822512" cy="4083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C59EFF3-5107-4DD6-A3D6-E75F620EB8CE}" type="TxLink">
            <a:rPr lang="en-US" sz="1800" b="1" i="0" u="none" strike="noStrike">
              <a:solidFill>
                <a:srgbClr val="000000"/>
              </a:solidFill>
              <a:latin typeface="Aptos Narrow"/>
            </a:rPr>
            <a:pPr algn="l"/>
            <a:t>$0.24</a:t>
          </a:fld>
          <a:endParaRPr lang="en-IN" sz="2000" b="1">
            <a:solidFill>
              <a:sysClr val="windowText" lastClr="000000"/>
            </a:solidFill>
          </a:endParaRPr>
        </a:p>
      </xdr:txBody>
    </xdr:sp>
    <xdr:clientData/>
  </xdr:twoCellAnchor>
  <xdr:twoCellAnchor>
    <xdr:from>
      <xdr:col>5</xdr:col>
      <xdr:colOff>52444</xdr:colOff>
      <xdr:row>7</xdr:row>
      <xdr:rowOff>75751</xdr:rowOff>
    </xdr:from>
    <xdr:to>
      <xdr:col>6</xdr:col>
      <xdr:colOff>204396</xdr:colOff>
      <xdr:row>9</xdr:row>
      <xdr:rowOff>103094</xdr:rowOff>
    </xdr:to>
    <xdr:sp macro="" textlink="Pivot_for_Dashborad!B14">
      <xdr:nvSpPr>
        <xdr:cNvPr id="51" name="Rectangle 50">
          <a:extLst>
            <a:ext uri="{FF2B5EF4-FFF2-40B4-BE49-F238E27FC236}">
              <a16:creationId xmlns:a16="http://schemas.microsoft.com/office/drawing/2014/main" id="{5EAE20BD-C5DF-495A-8513-C0A1987905C3}"/>
            </a:ext>
          </a:extLst>
        </xdr:cNvPr>
        <xdr:cNvSpPr/>
      </xdr:nvSpPr>
      <xdr:spPr>
        <a:xfrm>
          <a:off x="3405244" y="1302571"/>
          <a:ext cx="822512" cy="3778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ysClr val="windowText" lastClr="000000"/>
            </a:solidFill>
          </a:endParaRPr>
        </a:p>
      </xdr:txBody>
    </xdr:sp>
    <xdr:clientData/>
  </xdr:twoCellAnchor>
  <xdr:twoCellAnchor>
    <xdr:from>
      <xdr:col>7</xdr:col>
      <xdr:colOff>331010</xdr:colOff>
      <xdr:row>7</xdr:row>
      <xdr:rowOff>88925</xdr:rowOff>
    </xdr:from>
    <xdr:to>
      <xdr:col>9</xdr:col>
      <xdr:colOff>38099</xdr:colOff>
      <xdr:row>9</xdr:row>
      <xdr:rowOff>116268</xdr:rowOff>
    </xdr:to>
    <xdr:sp macro="" textlink="Pivot_for_Dashborad!C14">
      <xdr:nvSpPr>
        <xdr:cNvPr id="52" name="Rectangle 51">
          <a:extLst>
            <a:ext uri="{FF2B5EF4-FFF2-40B4-BE49-F238E27FC236}">
              <a16:creationId xmlns:a16="http://schemas.microsoft.com/office/drawing/2014/main" id="{03AE35D9-2A4F-4D40-97FA-0CC02D70E642}"/>
            </a:ext>
          </a:extLst>
        </xdr:cNvPr>
        <xdr:cNvSpPr/>
      </xdr:nvSpPr>
      <xdr:spPr>
        <a:xfrm>
          <a:off x="5024930" y="1315745"/>
          <a:ext cx="1048209" cy="3778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BCEC3C0-E915-4AF5-B5BD-5176F728F363}" type="TxLink">
            <a:rPr lang="en-US" sz="1800" b="1" i="0" u="none" strike="noStrike">
              <a:solidFill>
                <a:srgbClr val="000000"/>
              </a:solidFill>
              <a:latin typeface="Aptos Narrow"/>
            </a:rPr>
            <a:pPr algn="l"/>
            <a:t>0.016%</a:t>
          </a:fld>
          <a:endParaRPr lang="en-IN" sz="1800" b="1">
            <a:solidFill>
              <a:sysClr val="windowText" lastClr="000000"/>
            </a:solidFill>
          </a:endParaRPr>
        </a:p>
      </xdr:txBody>
    </xdr:sp>
    <xdr:clientData/>
  </xdr:twoCellAnchor>
  <xdr:twoCellAnchor>
    <xdr:from>
      <xdr:col>12</xdr:col>
      <xdr:colOff>301545</xdr:colOff>
      <xdr:row>7</xdr:row>
      <xdr:rowOff>88925</xdr:rowOff>
    </xdr:from>
    <xdr:to>
      <xdr:col>14</xdr:col>
      <xdr:colOff>8634</xdr:colOff>
      <xdr:row>9</xdr:row>
      <xdr:rowOff>116268</xdr:rowOff>
    </xdr:to>
    <xdr:sp macro="" textlink="Pivot_for_Dashborad!D14">
      <xdr:nvSpPr>
        <xdr:cNvPr id="53" name="Rectangle 52">
          <a:extLst>
            <a:ext uri="{FF2B5EF4-FFF2-40B4-BE49-F238E27FC236}">
              <a16:creationId xmlns:a16="http://schemas.microsoft.com/office/drawing/2014/main" id="{0756E5F9-27D2-42A6-B963-0012578D83C4}"/>
            </a:ext>
          </a:extLst>
        </xdr:cNvPr>
        <xdr:cNvSpPr/>
      </xdr:nvSpPr>
      <xdr:spPr>
        <a:xfrm>
          <a:off x="8348265" y="1315745"/>
          <a:ext cx="1048209" cy="3778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A7CAA79-B763-4B23-AFD8-A7A6159EF633}" type="TxLink">
            <a:rPr lang="en-US" sz="1800" b="1" i="0" u="none" strike="noStrike">
              <a:solidFill>
                <a:srgbClr val="000000"/>
              </a:solidFill>
              <a:latin typeface="Aptos Narrow"/>
            </a:rPr>
            <a:pPr algn="l"/>
            <a:t>8.93%</a:t>
          </a:fld>
          <a:endParaRPr lang="en-IN" sz="1800" b="1">
            <a:solidFill>
              <a:sysClr val="windowText" lastClr="000000"/>
            </a:solidFill>
          </a:endParaRPr>
        </a:p>
      </xdr:txBody>
    </xdr:sp>
    <xdr:clientData/>
  </xdr:twoCellAnchor>
  <xdr:twoCellAnchor>
    <xdr:from>
      <xdr:col>5</xdr:col>
      <xdr:colOff>82924</xdr:colOff>
      <xdr:row>7</xdr:row>
      <xdr:rowOff>88925</xdr:rowOff>
    </xdr:from>
    <xdr:to>
      <xdr:col>6</xdr:col>
      <xdr:colOff>234876</xdr:colOff>
      <xdr:row>9</xdr:row>
      <xdr:rowOff>116268</xdr:rowOff>
    </xdr:to>
    <xdr:sp macro="" textlink="Pivot_for_Dashborad!E14">
      <xdr:nvSpPr>
        <xdr:cNvPr id="54" name="Rectangle 53">
          <a:extLst>
            <a:ext uri="{FF2B5EF4-FFF2-40B4-BE49-F238E27FC236}">
              <a16:creationId xmlns:a16="http://schemas.microsoft.com/office/drawing/2014/main" id="{F62FCA74-5368-45B9-B9E8-5E137A4CC868}"/>
            </a:ext>
          </a:extLst>
        </xdr:cNvPr>
        <xdr:cNvSpPr/>
      </xdr:nvSpPr>
      <xdr:spPr>
        <a:xfrm>
          <a:off x="3435724" y="1315745"/>
          <a:ext cx="822512" cy="3778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09138C1-C758-46D6-9B7C-744A15F3ECD5}" type="TxLink">
            <a:rPr lang="en-US" sz="1800" b="1" i="0" u="none" strike="noStrike">
              <a:solidFill>
                <a:srgbClr val="000000"/>
              </a:solidFill>
              <a:latin typeface="Aptos Narrow"/>
            </a:rPr>
            <a:pPr algn="l"/>
            <a:t>$1.50</a:t>
          </a:fld>
          <a:endParaRPr lang="en-IN" sz="1800" b="1">
            <a:solidFill>
              <a:sysClr val="windowText" lastClr="000000"/>
            </a:solidFill>
          </a:endParaRPr>
        </a:p>
      </xdr:txBody>
    </xdr:sp>
    <xdr:clientData/>
  </xdr:twoCellAnchor>
  <xdr:twoCellAnchor>
    <xdr:from>
      <xdr:col>9</xdr:col>
      <xdr:colOff>657152</xdr:colOff>
      <xdr:row>7</xdr:row>
      <xdr:rowOff>88925</xdr:rowOff>
    </xdr:from>
    <xdr:to>
      <xdr:col>11</xdr:col>
      <xdr:colOff>364241</xdr:colOff>
      <xdr:row>9</xdr:row>
      <xdr:rowOff>116268</xdr:rowOff>
    </xdr:to>
    <xdr:sp macro="" textlink="Pivot_for_Dashborad!F14">
      <xdr:nvSpPr>
        <xdr:cNvPr id="55" name="Rectangle 54">
          <a:extLst>
            <a:ext uri="{FF2B5EF4-FFF2-40B4-BE49-F238E27FC236}">
              <a16:creationId xmlns:a16="http://schemas.microsoft.com/office/drawing/2014/main" id="{5419DA3C-D36E-4174-84F5-053FEF38795E}"/>
            </a:ext>
          </a:extLst>
        </xdr:cNvPr>
        <xdr:cNvSpPr/>
      </xdr:nvSpPr>
      <xdr:spPr>
        <a:xfrm>
          <a:off x="6692192" y="1315745"/>
          <a:ext cx="1048209" cy="3778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852E6F-1E8D-4758-801C-C947276612F8}" type="TxLink">
            <a:rPr lang="en-US" sz="1800" b="1" i="0" u="none" strike="noStrike">
              <a:solidFill>
                <a:srgbClr val="000000"/>
              </a:solidFill>
              <a:latin typeface="Aptos Narrow"/>
            </a:rPr>
            <a:pPr algn="l"/>
            <a:t>$40.55</a:t>
          </a:fld>
          <a:endParaRPr lang="en-IN" sz="1800" b="1">
            <a:solidFill>
              <a:sysClr val="windowText" lastClr="000000"/>
            </a:solidFill>
          </a:endParaRPr>
        </a:p>
      </xdr:txBody>
    </xdr:sp>
    <xdr:clientData/>
  </xdr:twoCellAnchor>
  <xdr:twoCellAnchor>
    <xdr:from>
      <xdr:col>1</xdr:col>
      <xdr:colOff>655320</xdr:colOff>
      <xdr:row>11</xdr:row>
      <xdr:rowOff>76200</xdr:rowOff>
    </xdr:from>
    <xdr:to>
      <xdr:col>4</xdr:col>
      <xdr:colOff>441960</xdr:colOff>
      <xdr:row>19</xdr:row>
      <xdr:rowOff>171450</xdr:rowOff>
    </xdr:to>
    <xdr:graphicFrame macro="">
      <xdr:nvGraphicFramePr>
        <xdr:cNvPr id="56" name="Chart 55">
          <a:extLst>
            <a:ext uri="{FF2B5EF4-FFF2-40B4-BE49-F238E27FC236}">
              <a16:creationId xmlns:a16="http://schemas.microsoft.com/office/drawing/2014/main" id="{6EB3B745-FBED-44BD-A000-890EBFC9D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602992</xdr:colOff>
      <xdr:row>11</xdr:row>
      <xdr:rowOff>144780</xdr:rowOff>
    </xdr:from>
    <xdr:to>
      <xdr:col>7</xdr:col>
      <xdr:colOff>480060</xdr:colOff>
      <xdr:row>20</xdr:row>
      <xdr:rowOff>76200</xdr:rowOff>
    </xdr:to>
    <xdr:graphicFrame macro="">
      <xdr:nvGraphicFramePr>
        <xdr:cNvPr id="59" name="Chart 58">
          <a:extLst>
            <a:ext uri="{FF2B5EF4-FFF2-40B4-BE49-F238E27FC236}">
              <a16:creationId xmlns:a16="http://schemas.microsoft.com/office/drawing/2014/main" id="{80ED422D-893D-4BCE-A3F3-13F3954D0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267712</xdr:colOff>
      <xdr:row>11</xdr:row>
      <xdr:rowOff>83283</xdr:rowOff>
    </xdr:from>
    <xdr:to>
      <xdr:col>7</xdr:col>
      <xdr:colOff>620772</xdr:colOff>
      <xdr:row>13</xdr:row>
      <xdr:rowOff>136623</xdr:rowOff>
    </xdr:to>
    <xdr:sp macro="" textlink="">
      <xdr:nvSpPr>
        <xdr:cNvPr id="60" name="Rectangle 59">
          <a:extLst>
            <a:ext uri="{FF2B5EF4-FFF2-40B4-BE49-F238E27FC236}">
              <a16:creationId xmlns:a16="http://schemas.microsoft.com/office/drawing/2014/main" id="{DC4B4EDE-A293-34B5-A7AD-D44231EA4851}"/>
            </a:ext>
          </a:extLst>
        </xdr:cNvPr>
        <xdr:cNvSpPr/>
      </xdr:nvSpPr>
      <xdr:spPr>
        <a:xfrm>
          <a:off x="3620512" y="2011143"/>
          <a:ext cx="1694180" cy="4038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IN" sz="900" b="1">
              <a:solidFill>
                <a:sysClr val="windowText" lastClr="000000"/>
              </a:solidFill>
            </a:rPr>
            <a:t>CPA</a:t>
          </a:r>
          <a:r>
            <a:rPr lang="en-IN" sz="900" b="1" baseline="0">
              <a:solidFill>
                <a:sysClr val="windowText" lastClr="000000"/>
              </a:solidFill>
            </a:rPr>
            <a:t> by Demographics</a:t>
          </a:r>
          <a:endParaRPr lang="en-IN" sz="900" b="1">
            <a:solidFill>
              <a:sysClr val="windowText" lastClr="000000"/>
            </a:solidFill>
          </a:endParaRPr>
        </a:p>
      </xdr:txBody>
    </xdr:sp>
    <xdr:clientData/>
  </xdr:twoCellAnchor>
  <xdr:twoCellAnchor>
    <xdr:from>
      <xdr:col>7</xdr:col>
      <xdr:colOff>634662</xdr:colOff>
      <xdr:row>12</xdr:row>
      <xdr:rowOff>86927</xdr:rowOff>
    </xdr:from>
    <xdr:to>
      <xdr:col>11</xdr:col>
      <xdr:colOff>327660</xdr:colOff>
      <xdr:row>20</xdr:row>
      <xdr:rowOff>160020</xdr:rowOff>
    </xdr:to>
    <xdr:graphicFrame macro="">
      <xdr:nvGraphicFramePr>
        <xdr:cNvPr id="61" name="Chart 60">
          <a:extLst>
            <a:ext uri="{FF2B5EF4-FFF2-40B4-BE49-F238E27FC236}">
              <a16:creationId xmlns:a16="http://schemas.microsoft.com/office/drawing/2014/main" id="{8372E507-BA98-40D0-B77A-5EE55405D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408427</xdr:colOff>
      <xdr:row>11</xdr:row>
      <xdr:rowOff>96123</xdr:rowOff>
    </xdr:from>
    <xdr:to>
      <xdr:col>11</xdr:col>
      <xdr:colOff>88825</xdr:colOff>
      <xdr:row>13</xdr:row>
      <xdr:rowOff>149463</xdr:rowOff>
    </xdr:to>
    <xdr:sp macro="" textlink="">
      <xdr:nvSpPr>
        <xdr:cNvPr id="62" name="Rectangle 61">
          <a:extLst>
            <a:ext uri="{FF2B5EF4-FFF2-40B4-BE49-F238E27FC236}">
              <a16:creationId xmlns:a16="http://schemas.microsoft.com/office/drawing/2014/main" id="{EA30A036-7E06-49E4-97DA-67BFED9F75A7}"/>
            </a:ext>
          </a:extLst>
        </xdr:cNvPr>
        <xdr:cNvSpPr/>
      </xdr:nvSpPr>
      <xdr:spPr>
        <a:xfrm>
          <a:off x="5789724" y="2003751"/>
          <a:ext cx="1698384" cy="4001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IN" sz="900" b="1">
              <a:solidFill>
                <a:sysClr val="windowText" lastClr="000000"/>
              </a:solidFill>
            </a:rPr>
            <a:t>CTR</a:t>
          </a:r>
          <a:r>
            <a:rPr lang="en-IN" sz="900" b="1" baseline="0">
              <a:solidFill>
                <a:sysClr val="windowText" lastClr="000000"/>
              </a:solidFill>
            </a:rPr>
            <a:t> by Demographics</a:t>
          </a:r>
          <a:endParaRPr lang="en-IN" sz="900" b="1">
            <a:solidFill>
              <a:sysClr val="windowText" lastClr="000000"/>
            </a:solidFill>
          </a:endParaRPr>
        </a:p>
      </xdr:txBody>
    </xdr:sp>
    <xdr:clientData/>
  </xdr:twoCellAnchor>
  <xdr:twoCellAnchor>
    <xdr:from>
      <xdr:col>11</xdr:col>
      <xdr:colOff>403941</xdr:colOff>
      <xdr:row>11</xdr:row>
      <xdr:rowOff>152695</xdr:rowOff>
    </xdr:from>
    <xdr:to>
      <xdr:col>13</xdr:col>
      <xdr:colOff>178517</xdr:colOff>
      <xdr:row>20</xdr:row>
      <xdr:rowOff>40716</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8C6FC727-20C4-48C1-A5A7-FB59FCEEE0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109541" y="2248195"/>
              <a:ext cx="993776" cy="16025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105473</xdr:colOff>
      <xdr:row>11</xdr:row>
      <xdr:rowOff>30927</xdr:rowOff>
    </xdr:from>
    <xdr:to>
      <xdr:col>13</xdr:col>
      <xdr:colOff>304801</xdr:colOff>
      <xdr:row>13</xdr:row>
      <xdr:rowOff>84267</xdr:rowOff>
    </xdr:to>
    <xdr:sp macro="" textlink="">
      <xdr:nvSpPr>
        <xdr:cNvPr id="66" name="Rectangle 65">
          <a:extLst>
            <a:ext uri="{FF2B5EF4-FFF2-40B4-BE49-F238E27FC236}">
              <a16:creationId xmlns:a16="http://schemas.microsoft.com/office/drawing/2014/main" id="{4684FEDA-CB28-40E2-97A2-C1879021BB77}"/>
            </a:ext>
          </a:extLst>
        </xdr:cNvPr>
        <xdr:cNvSpPr/>
      </xdr:nvSpPr>
      <xdr:spPr>
        <a:xfrm>
          <a:off x="8136290" y="1925988"/>
          <a:ext cx="868563" cy="3978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IN" sz="900" b="1">
              <a:solidFill>
                <a:sysClr val="windowText" lastClr="000000"/>
              </a:solidFill>
            </a:rPr>
            <a:t>Age vs CCR</a:t>
          </a:r>
        </a:p>
      </xdr:txBody>
    </xdr:sp>
    <xdr:clientData/>
  </xdr:twoCellAnchor>
  <xdr:twoCellAnchor>
    <xdr:from>
      <xdr:col>2</xdr:col>
      <xdr:colOff>72887</xdr:colOff>
      <xdr:row>22</xdr:row>
      <xdr:rowOff>79513</xdr:rowOff>
    </xdr:from>
    <xdr:to>
      <xdr:col>5</xdr:col>
      <xdr:colOff>304800</xdr:colOff>
      <xdr:row>34</xdr:row>
      <xdr:rowOff>112643</xdr:rowOff>
    </xdr:to>
    <xdr:graphicFrame macro="">
      <xdr:nvGraphicFramePr>
        <xdr:cNvPr id="70" name="Chart 69">
          <a:extLst>
            <a:ext uri="{FF2B5EF4-FFF2-40B4-BE49-F238E27FC236}">
              <a16:creationId xmlns:a16="http://schemas.microsoft.com/office/drawing/2014/main" id="{C950ACDC-7CB7-4593-A1CF-CFDA6BACD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160114</xdr:colOff>
      <xdr:row>20</xdr:row>
      <xdr:rowOff>133847</xdr:rowOff>
    </xdr:from>
    <xdr:to>
      <xdr:col>5</xdr:col>
      <xdr:colOff>271670</xdr:colOff>
      <xdr:row>22</xdr:row>
      <xdr:rowOff>39756</xdr:rowOff>
    </xdr:to>
    <xdr:sp macro="" textlink="">
      <xdr:nvSpPr>
        <xdr:cNvPr id="71" name="Rectangle 70">
          <a:extLst>
            <a:ext uri="{FF2B5EF4-FFF2-40B4-BE49-F238E27FC236}">
              <a16:creationId xmlns:a16="http://schemas.microsoft.com/office/drawing/2014/main" id="{B6F66DDC-AF94-44C8-B6F2-7ACB4173FFD9}"/>
            </a:ext>
          </a:extLst>
        </xdr:cNvPr>
        <xdr:cNvSpPr/>
      </xdr:nvSpPr>
      <xdr:spPr>
        <a:xfrm>
          <a:off x="1498584" y="3579412"/>
          <a:ext cx="2119260" cy="2504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IN" sz="900" b="1">
              <a:solidFill>
                <a:sysClr val="windowText" lastClr="000000"/>
              </a:solidFill>
            </a:rPr>
            <a:t>Campaign Performance by Cost &amp; Rate</a:t>
          </a:r>
        </a:p>
      </xdr:txBody>
    </xdr:sp>
    <xdr:clientData/>
  </xdr:twoCellAnchor>
  <xdr:twoCellAnchor>
    <xdr:from>
      <xdr:col>5</xdr:col>
      <xdr:colOff>403430</xdr:colOff>
      <xdr:row>20</xdr:row>
      <xdr:rowOff>159026</xdr:rowOff>
    </xdr:from>
    <xdr:to>
      <xdr:col>9</xdr:col>
      <xdr:colOff>450575</xdr:colOff>
      <xdr:row>34</xdr:row>
      <xdr:rowOff>39756</xdr:rowOff>
    </xdr:to>
    <xdr:graphicFrame macro="">
      <xdr:nvGraphicFramePr>
        <xdr:cNvPr id="73" name="Chart 72">
          <a:extLst>
            <a:ext uri="{FF2B5EF4-FFF2-40B4-BE49-F238E27FC236}">
              <a16:creationId xmlns:a16="http://schemas.microsoft.com/office/drawing/2014/main" id="{E7202C50-0550-4460-B63B-56186FD6F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39756</xdr:colOff>
      <xdr:row>22</xdr:row>
      <xdr:rowOff>19880</xdr:rowOff>
    </xdr:from>
    <xdr:to>
      <xdr:col>13</xdr:col>
      <xdr:colOff>636105</xdr:colOff>
      <xdr:row>34</xdr:row>
      <xdr:rowOff>6627</xdr:rowOff>
    </xdr:to>
    <xdr:graphicFrame macro="">
      <xdr:nvGraphicFramePr>
        <xdr:cNvPr id="75" name="Chart 74">
          <a:extLst>
            <a:ext uri="{FF2B5EF4-FFF2-40B4-BE49-F238E27FC236}">
              <a16:creationId xmlns:a16="http://schemas.microsoft.com/office/drawing/2014/main" id="{E02E6CEA-5D0B-4146-B030-33A834157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331305</xdr:colOff>
      <xdr:row>20</xdr:row>
      <xdr:rowOff>113971</xdr:rowOff>
    </xdr:from>
    <xdr:to>
      <xdr:col>14</xdr:col>
      <xdr:colOff>46383</xdr:colOff>
      <xdr:row>22</xdr:row>
      <xdr:rowOff>8150</xdr:rowOff>
    </xdr:to>
    <xdr:sp macro="" textlink="">
      <xdr:nvSpPr>
        <xdr:cNvPr id="76" name="Rectangle 75">
          <a:extLst>
            <a:ext uri="{FF2B5EF4-FFF2-40B4-BE49-F238E27FC236}">
              <a16:creationId xmlns:a16="http://schemas.microsoft.com/office/drawing/2014/main" id="{EBDC6A46-A073-F3E8-635F-1985E1D7C16E}"/>
            </a:ext>
          </a:extLst>
        </xdr:cNvPr>
        <xdr:cNvSpPr/>
      </xdr:nvSpPr>
      <xdr:spPr>
        <a:xfrm>
          <a:off x="7023653" y="3559536"/>
          <a:ext cx="2392017" cy="2387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IN" sz="900" b="1">
              <a:solidFill>
                <a:sysClr val="windowText" lastClr="000000"/>
              </a:solidFill>
            </a:rPr>
            <a:t>Ad Cost Efficiency &amp; Reach by Age Group</a:t>
          </a:r>
        </a:p>
      </xdr:txBody>
    </xdr:sp>
    <xdr:clientData/>
  </xdr:twoCellAnchor>
  <xdr:twoCellAnchor editAs="oneCell">
    <xdr:from>
      <xdr:col>14</xdr:col>
      <xdr:colOff>503184</xdr:colOff>
      <xdr:row>14</xdr:row>
      <xdr:rowOff>11567</xdr:rowOff>
    </xdr:from>
    <xdr:to>
      <xdr:col>15</xdr:col>
      <xdr:colOff>141233</xdr:colOff>
      <xdr:row>15</xdr:row>
      <xdr:rowOff>69103</xdr:rowOff>
    </xdr:to>
    <xdr:pic>
      <xdr:nvPicPr>
        <xdr:cNvPr id="4" name="Graphic 3" descr="Ribbon with solid fill">
          <a:extLst>
            <a:ext uri="{FF2B5EF4-FFF2-40B4-BE49-F238E27FC236}">
              <a16:creationId xmlns:a16="http://schemas.microsoft.com/office/drawing/2014/main" id="{2FE8AEC3-3FD6-AF06-3B86-0B8D8BEC810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55977" y="2678567"/>
          <a:ext cx="248963" cy="248036"/>
        </a:xfrm>
        <a:prstGeom prst="rect">
          <a:avLst/>
        </a:prstGeom>
      </xdr:spPr>
    </xdr:pic>
    <xdr:clientData/>
  </xdr:twoCellAnchor>
  <xdr:twoCellAnchor editAs="oneCell">
    <xdr:from>
      <xdr:col>16</xdr:col>
      <xdr:colOff>438807</xdr:colOff>
      <xdr:row>14</xdr:row>
      <xdr:rowOff>12880</xdr:rowOff>
    </xdr:from>
    <xdr:to>
      <xdr:col>17</xdr:col>
      <xdr:colOff>76857</xdr:colOff>
      <xdr:row>15</xdr:row>
      <xdr:rowOff>70416</xdr:rowOff>
    </xdr:to>
    <xdr:pic>
      <xdr:nvPicPr>
        <xdr:cNvPr id="13" name="Graphic 12" descr="Ribbon with solid fill">
          <a:extLst>
            <a:ext uri="{FF2B5EF4-FFF2-40B4-BE49-F238E27FC236}">
              <a16:creationId xmlns:a16="http://schemas.microsoft.com/office/drawing/2014/main" id="{30F5C44D-C1F1-4702-B2F7-0F624084D23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213428" y="2679880"/>
          <a:ext cx="248963" cy="248036"/>
        </a:xfrm>
        <a:prstGeom prst="rect">
          <a:avLst/>
        </a:prstGeom>
      </xdr:spPr>
    </xdr:pic>
    <xdr:clientData/>
  </xdr:twoCellAnchor>
  <xdr:twoCellAnchor>
    <xdr:from>
      <xdr:col>14</xdr:col>
      <xdr:colOff>205026</xdr:colOff>
      <xdr:row>8</xdr:row>
      <xdr:rowOff>47836</xdr:rowOff>
    </xdr:from>
    <xdr:to>
      <xdr:col>15</xdr:col>
      <xdr:colOff>564931</xdr:colOff>
      <xdr:row>9</xdr:row>
      <xdr:rowOff>169756</xdr:rowOff>
    </xdr:to>
    <xdr:sp macro="" textlink="">
      <xdr:nvSpPr>
        <xdr:cNvPr id="15" name="Rectangle 14">
          <a:extLst>
            <a:ext uri="{FF2B5EF4-FFF2-40B4-BE49-F238E27FC236}">
              <a16:creationId xmlns:a16="http://schemas.microsoft.com/office/drawing/2014/main" id="{781C17AC-CB95-4C70-8518-F78349624663}"/>
            </a:ext>
          </a:extLst>
        </xdr:cNvPr>
        <xdr:cNvSpPr/>
      </xdr:nvSpPr>
      <xdr:spPr>
        <a:xfrm>
          <a:off x="8757819" y="1571836"/>
          <a:ext cx="970819"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ysClr val="windowText" lastClr="000000"/>
              </a:solidFill>
            </a:rPr>
            <a:t>Best Age Group</a:t>
          </a:r>
        </a:p>
      </xdr:txBody>
    </xdr:sp>
    <xdr:clientData/>
  </xdr:twoCellAnchor>
  <xdr:twoCellAnchor>
    <xdr:from>
      <xdr:col>14</xdr:col>
      <xdr:colOff>333375</xdr:colOff>
      <xdr:row>9</xdr:row>
      <xdr:rowOff>59120</xdr:rowOff>
    </xdr:from>
    <xdr:to>
      <xdr:col>15</xdr:col>
      <xdr:colOff>354725</xdr:colOff>
      <xdr:row>16</xdr:row>
      <xdr:rowOff>0</xdr:rowOff>
    </xdr:to>
    <xdr:sp macro="" textlink="">
      <xdr:nvSpPr>
        <xdr:cNvPr id="16" name="Flowchart: Off-page Connector 15">
          <a:extLst>
            <a:ext uri="{FF2B5EF4-FFF2-40B4-BE49-F238E27FC236}">
              <a16:creationId xmlns:a16="http://schemas.microsoft.com/office/drawing/2014/main" id="{D3D29BE5-720B-4F91-BFD9-550A2149844A}"/>
            </a:ext>
          </a:extLst>
        </xdr:cNvPr>
        <xdr:cNvSpPr/>
      </xdr:nvSpPr>
      <xdr:spPr>
        <a:xfrm>
          <a:off x="8834438" y="1773620"/>
          <a:ext cx="628568" cy="1274380"/>
        </a:xfrm>
        <a:prstGeom prst="flowChartOffpageConnector">
          <a:avLst/>
        </a:prstGeom>
        <a:no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16</xdr:col>
      <xdr:colOff>238942</xdr:colOff>
      <xdr:row>9</xdr:row>
      <xdr:rowOff>69767</xdr:rowOff>
    </xdr:from>
    <xdr:to>
      <xdr:col>17</xdr:col>
      <xdr:colOff>255948</xdr:colOff>
      <xdr:row>16</xdr:row>
      <xdr:rowOff>30078</xdr:rowOff>
    </xdr:to>
    <xdr:sp macro="" textlink="">
      <xdr:nvSpPr>
        <xdr:cNvPr id="17" name="Flowchart: Off-page Connector 16">
          <a:extLst>
            <a:ext uri="{FF2B5EF4-FFF2-40B4-BE49-F238E27FC236}">
              <a16:creationId xmlns:a16="http://schemas.microsoft.com/office/drawing/2014/main" id="{A94E0904-E042-432C-8DCF-18FA9D30D273}"/>
            </a:ext>
          </a:extLst>
        </xdr:cNvPr>
        <xdr:cNvSpPr/>
      </xdr:nvSpPr>
      <xdr:spPr>
        <a:xfrm>
          <a:off x="10024626" y="1784267"/>
          <a:ext cx="628611" cy="1293811"/>
        </a:xfrm>
        <a:prstGeom prst="flowChartOffpageConnector">
          <a:avLst/>
        </a:prstGeom>
        <a:no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16</xdr:col>
      <xdr:colOff>118871</xdr:colOff>
      <xdr:row>8</xdr:row>
      <xdr:rowOff>59098</xdr:rowOff>
    </xdr:from>
    <xdr:to>
      <xdr:col>17</xdr:col>
      <xdr:colOff>478777</xdr:colOff>
      <xdr:row>9</xdr:row>
      <xdr:rowOff>90862</xdr:rowOff>
    </xdr:to>
    <xdr:sp macro="" textlink="">
      <xdr:nvSpPr>
        <xdr:cNvPr id="18" name="Rectangle 17">
          <a:extLst>
            <a:ext uri="{FF2B5EF4-FFF2-40B4-BE49-F238E27FC236}">
              <a16:creationId xmlns:a16="http://schemas.microsoft.com/office/drawing/2014/main" id="{FD5E0B63-39D2-4BA2-9C9B-CC3140078F0A}"/>
            </a:ext>
          </a:extLst>
        </xdr:cNvPr>
        <xdr:cNvSpPr/>
      </xdr:nvSpPr>
      <xdr:spPr>
        <a:xfrm>
          <a:off x="9849025" y="1583098"/>
          <a:ext cx="968040" cy="2222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ysClr val="windowText" lastClr="000000"/>
              </a:solidFill>
            </a:rPr>
            <a:t>Best Campaign</a:t>
          </a:r>
        </a:p>
      </xdr:txBody>
    </xdr:sp>
    <xdr:clientData/>
  </xdr:twoCellAnchor>
  <xdr:twoCellAnchor>
    <xdr:from>
      <xdr:col>14</xdr:col>
      <xdr:colOff>316525</xdr:colOff>
      <xdr:row>10</xdr:row>
      <xdr:rowOff>135827</xdr:rowOff>
    </xdr:from>
    <xdr:to>
      <xdr:col>15</xdr:col>
      <xdr:colOff>456197</xdr:colOff>
      <xdr:row>12</xdr:row>
      <xdr:rowOff>67247</xdr:rowOff>
    </xdr:to>
    <xdr:sp macro="" textlink="">
      <xdr:nvSpPr>
        <xdr:cNvPr id="25" name="Rectangle 24">
          <a:extLst>
            <a:ext uri="{FF2B5EF4-FFF2-40B4-BE49-F238E27FC236}">
              <a16:creationId xmlns:a16="http://schemas.microsoft.com/office/drawing/2014/main" id="{39D4E026-7029-4799-91EA-1F2B37129054}"/>
            </a:ext>
          </a:extLst>
        </xdr:cNvPr>
        <xdr:cNvSpPr/>
      </xdr:nvSpPr>
      <xdr:spPr>
        <a:xfrm>
          <a:off x="8878999" y="2040827"/>
          <a:ext cx="751277"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0" cap="none" spc="0">
              <a:ln w="0"/>
              <a:solidFill>
                <a:schemeClr val="accent6">
                  <a:lumMod val="50000"/>
                </a:schemeClr>
              </a:solidFill>
              <a:effectLst>
                <a:outerShdw blurRad="38100" dist="19050" dir="2700000" algn="tl" rotWithShape="0">
                  <a:schemeClr val="dk1">
                    <a:alpha val="40000"/>
                  </a:schemeClr>
                </a:outerShdw>
                <a:reflection blurRad="6350" stA="60000" endA="900" endPos="58000" dir="5400000" sy="-100000" algn="bl" rotWithShape="0"/>
              </a:effectLst>
            </a:rPr>
            <a:t>30-34</a:t>
          </a:r>
          <a:endParaRPr lang="en-IN" sz="1100" b="0" cap="none" spc="0">
            <a:ln w="0"/>
            <a:solidFill>
              <a:schemeClr val="accent6">
                <a:lumMod val="50000"/>
              </a:schemeClr>
            </a:solidFill>
            <a:effectLst>
              <a:outerShdw blurRad="38100" dist="19050" dir="2700000" algn="tl" rotWithShape="0">
                <a:schemeClr val="dk1">
                  <a:alpha val="40000"/>
                </a:schemeClr>
              </a:outerShdw>
              <a:reflection blurRad="6350" stA="60000" endA="900" endPos="58000" dir="5400000" sy="-100000" algn="bl" rotWithShape="0"/>
            </a:effectLst>
          </a:endParaRPr>
        </a:p>
      </xdr:txBody>
    </xdr:sp>
    <xdr:clientData/>
  </xdr:twoCellAnchor>
  <xdr:twoCellAnchor>
    <xdr:from>
      <xdr:col>16</xdr:col>
      <xdr:colOff>310129</xdr:colOff>
      <xdr:row>10</xdr:row>
      <xdr:rowOff>132460</xdr:rowOff>
    </xdr:from>
    <xdr:to>
      <xdr:col>17</xdr:col>
      <xdr:colOff>449802</xdr:colOff>
      <xdr:row>12</xdr:row>
      <xdr:rowOff>63880</xdr:rowOff>
    </xdr:to>
    <xdr:sp macro="" textlink="">
      <xdr:nvSpPr>
        <xdr:cNvPr id="28" name="Rectangle 27">
          <a:extLst>
            <a:ext uri="{FF2B5EF4-FFF2-40B4-BE49-F238E27FC236}">
              <a16:creationId xmlns:a16="http://schemas.microsoft.com/office/drawing/2014/main" id="{9E5EE30F-C92D-4028-9347-C3E93A182EF5}"/>
            </a:ext>
          </a:extLst>
        </xdr:cNvPr>
        <xdr:cNvSpPr/>
      </xdr:nvSpPr>
      <xdr:spPr>
        <a:xfrm>
          <a:off x="10084750" y="2037460"/>
          <a:ext cx="750586"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0" cap="none" spc="0">
              <a:ln w="0"/>
              <a:solidFill>
                <a:schemeClr val="accent6">
                  <a:lumMod val="50000"/>
                </a:schemeClr>
              </a:solidFill>
              <a:effectLst>
                <a:outerShdw blurRad="38100" dist="19050" dir="2700000" algn="tl" rotWithShape="0">
                  <a:schemeClr val="dk1">
                    <a:alpha val="40000"/>
                  </a:schemeClr>
                </a:outerShdw>
                <a:reflection blurRad="6350" stA="60000" endA="900" endPos="58000" dir="5400000" sy="-100000" algn="bl" rotWithShape="0"/>
              </a:effectLst>
            </a:rPr>
            <a:t>916</a:t>
          </a:r>
          <a:endParaRPr lang="en-IN" sz="1100" b="0" cap="none" spc="0">
            <a:ln w="0"/>
            <a:solidFill>
              <a:schemeClr val="accent6">
                <a:lumMod val="50000"/>
              </a:schemeClr>
            </a:solidFill>
            <a:effectLst>
              <a:outerShdw blurRad="38100" dist="19050" dir="2700000" algn="tl" rotWithShape="0">
                <a:schemeClr val="dk1">
                  <a:alpha val="40000"/>
                </a:schemeClr>
              </a:outerShdw>
              <a:reflection blurRad="6350" stA="60000" endA="900" endPos="58000" dir="5400000" sy="-100000" algn="bl" rotWithShape="0"/>
            </a:effectLst>
          </a:endParaRPr>
        </a:p>
      </xdr:txBody>
    </xdr:sp>
    <xdr:clientData/>
  </xdr:twoCellAnchor>
  <xdr:twoCellAnchor editAs="oneCell">
    <xdr:from>
      <xdr:col>0</xdr:col>
      <xdr:colOff>140324</xdr:colOff>
      <xdr:row>8</xdr:row>
      <xdr:rowOff>29579</xdr:rowOff>
    </xdr:from>
    <xdr:to>
      <xdr:col>1</xdr:col>
      <xdr:colOff>528356</xdr:colOff>
      <xdr:row>16</xdr:row>
      <xdr:rowOff>89647</xdr:rowOff>
    </xdr:to>
    <mc:AlternateContent xmlns:mc="http://schemas.openxmlformats.org/markup-compatibility/2006" xmlns:a14="http://schemas.microsoft.com/office/drawing/2010/main">
      <mc:Choice Requires="a14">
        <xdr:graphicFrame macro="">
          <xdr:nvGraphicFramePr>
            <xdr:cNvPr id="36" name="age">
              <a:extLst>
                <a:ext uri="{FF2B5EF4-FFF2-40B4-BE49-F238E27FC236}">
                  <a16:creationId xmlns:a16="http://schemas.microsoft.com/office/drawing/2014/main" id="{0EB18B82-3EDE-45F3-BB14-A58ECF6923B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40324" y="1553579"/>
              <a:ext cx="997632" cy="1584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135100</xdr:colOff>
      <xdr:row>18</xdr:row>
      <xdr:rowOff>67927</xdr:rowOff>
    </xdr:from>
    <xdr:to>
      <xdr:col>1</xdr:col>
      <xdr:colOff>523582</xdr:colOff>
      <xdr:row>24</xdr:row>
      <xdr:rowOff>148356</xdr:rowOff>
    </xdr:to>
    <mc:AlternateContent xmlns:mc="http://schemas.openxmlformats.org/markup-compatibility/2006" xmlns:a14="http://schemas.microsoft.com/office/drawing/2010/main">
      <mc:Choice Requires="a14">
        <xdr:graphicFrame macro="">
          <xdr:nvGraphicFramePr>
            <xdr:cNvPr id="38" name="gender">
              <a:extLst>
                <a:ext uri="{FF2B5EF4-FFF2-40B4-BE49-F238E27FC236}">
                  <a16:creationId xmlns:a16="http://schemas.microsoft.com/office/drawing/2014/main" id="{D350A876-EA6F-4623-BFE3-8DCDD783B04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5100" y="3496927"/>
              <a:ext cx="998082" cy="1223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143484</xdr:colOff>
      <xdr:row>26</xdr:row>
      <xdr:rowOff>149231</xdr:rowOff>
    </xdr:from>
    <xdr:to>
      <xdr:col>1</xdr:col>
      <xdr:colOff>531966</xdr:colOff>
      <xdr:row>33</xdr:row>
      <xdr:rowOff>75731</xdr:rowOff>
    </xdr:to>
    <mc:AlternateContent xmlns:mc="http://schemas.openxmlformats.org/markup-compatibility/2006" xmlns:a14="http://schemas.microsoft.com/office/drawing/2010/main">
      <mc:Choice Requires="a14">
        <xdr:graphicFrame macro="">
          <xdr:nvGraphicFramePr>
            <xdr:cNvPr id="39" name="xyz_campaign_id">
              <a:extLst>
                <a:ext uri="{FF2B5EF4-FFF2-40B4-BE49-F238E27FC236}">
                  <a16:creationId xmlns:a16="http://schemas.microsoft.com/office/drawing/2014/main" id="{6A1A2909-9C40-42D0-94FE-D2A12C353625}"/>
                </a:ext>
              </a:extLst>
            </xdr:cNvPr>
            <xdr:cNvGraphicFramePr/>
          </xdr:nvGraphicFramePr>
          <xdr:xfrm>
            <a:off x="0" y="0"/>
            <a:ext cx="0" cy="0"/>
          </xdr:xfrm>
          <a:graphic>
            <a:graphicData uri="http://schemas.microsoft.com/office/drawing/2010/slicer">
              <sle:slicer xmlns:sle="http://schemas.microsoft.com/office/drawing/2010/slicer" name="xyz_campaign_id"/>
            </a:graphicData>
          </a:graphic>
        </xdr:graphicFrame>
      </mc:Choice>
      <mc:Fallback xmlns="">
        <xdr:sp macro="" textlink="">
          <xdr:nvSpPr>
            <xdr:cNvPr id="0" name=""/>
            <xdr:cNvSpPr>
              <a:spLocks noTextEdit="1"/>
            </xdr:cNvSpPr>
          </xdr:nvSpPr>
          <xdr:spPr>
            <a:xfrm>
              <a:off x="143484" y="5102231"/>
              <a:ext cx="998082" cy="12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131908</xdr:colOff>
      <xdr:row>6</xdr:row>
      <xdr:rowOff>142588</xdr:rowOff>
    </xdr:from>
    <xdr:to>
      <xdr:col>1</xdr:col>
      <xdr:colOff>192868</xdr:colOff>
      <xdr:row>8</xdr:row>
      <xdr:rowOff>74008</xdr:rowOff>
    </xdr:to>
    <xdr:sp macro="" textlink="">
      <xdr:nvSpPr>
        <xdr:cNvPr id="40" name="Rectangle 39">
          <a:extLst>
            <a:ext uri="{FF2B5EF4-FFF2-40B4-BE49-F238E27FC236}">
              <a16:creationId xmlns:a16="http://schemas.microsoft.com/office/drawing/2014/main" id="{551B984D-7E36-41A8-B9E8-CB276201CA2C}"/>
            </a:ext>
          </a:extLst>
        </xdr:cNvPr>
        <xdr:cNvSpPr/>
      </xdr:nvSpPr>
      <xdr:spPr>
        <a:xfrm>
          <a:off x="131908" y="1285588"/>
          <a:ext cx="666078"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Age</a:t>
          </a:r>
        </a:p>
      </xdr:txBody>
    </xdr:sp>
    <xdr:clientData/>
  </xdr:twoCellAnchor>
  <xdr:twoCellAnchor>
    <xdr:from>
      <xdr:col>0</xdr:col>
      <xdr:colOff>82400</xdr:colOff>
      <xdr:row>17</xdr:row>
      <xdr:rowOff>2083</xdr:rowOff>
    </xdr:from>
    <xdr:to>
      <xdr:col>1</xdr:col>
      <xdr:colOff>143360</xdr:colOff>
      <xdr:row>18</xdr:row>
      <xdr:rowOff>124003</xdr:rowOff>
    </xdr:to>
    <xdr:sp macro="" textlink="">
      <xdr:nvSpPr>
        <xdr:cNvPr id="41" name="Rectangle 40">
          <a:extLst>
            <a:ext uri="{FF2B5EF4-FFF2-40B4-BE49-F238E27FC236}">
              <a16:creationId xmlns:a16="http://schemas.microsoft.com/office/drawing/2014/main" id="{80985A5B-9633-4485-898C-F537550DD93F}"/>
            </a:ext>
          </a:extLst>
        </xdr:cNvPr>
        <xdr:cNvSpPr/>
      </xdr:nvSpPr>
      <xdr:spPr>
        <a:xfrm>
          <a:off x="82400" y="3240583"/>
          <a:ext cx="673873"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Gender</a:t>
          </a:r>
        </a:p>
      </xdr:txBody>
    </xdr:sp>
    <xdr:clientData/>
  </xdr:twoCellAnchor>
  <xdr:twoCellAnchor>
    <xdr:from>
      <xdr:col>0</xdr:col>
      <xdr:colOff>166044</xdr:colOff>
      <xdr:row>25</xdr:row>
      <xdr:rowOff>88379</xdr:rowOff>
    </xdr:from>
    <xdr:to>
      <xdr:col>1</xdr:col>
      <xdr:colOff>453695</xdr:colOff>
      <xdr:row>25</xdr:row>
      <xdr:rowOff>91317</xdr:rowOff>
    </xdr:to>
    <xdr:cxnSp macro="">
      <xdr:nvCxnSpPr>
        <xdr:cNvPr id="77" name="Straight Connector 76">
          <a:extLst>
            <a:ext uri="{FF2B5EF4-FFF2-40B4-BE49-F238E27FC236}">
              <a16:creationId xmlns:a16="http://schemas.microsoft.com/office/drawing/2014/main" id="{42C02DD7-F7D7-58E2-D470-2D3292C7C5D9}"/>
            </a:ext>
          </a:extLst>
        </xdr:cNvPr>
        <xdr:cNvCxnSpPr/>
      </xdr:nvCxnSpPr>
      <xdr:spPr>
        <a:xfrm>
          <a:off x="166044" y="4850879"/>
          <a:ext cx="892769" cy="2938"/>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160885</xdr:colOff>
      <xdr:row>16</xdr:row>
      <xdr:rowOff>181214</xdr:rowOff>
    </xdr:from>
    <xdr:to>
      <xdr:col>1</xdr:col>
      <xdr:colOff>448536</xdr:colOff>
      <xdr:row>16</xdr:row>
      <xdr:rowOff>184152</xdr:rowOff>
    </xdr:to>
    <xdr:cxnSp macro="">
      <xdr:nvCxnSpPr>
        <xdr:cNvPr id="81" name="Straight Connector 80">
          <a:extLst>
            <a:ext uri="{FF2B5EF4-FFF2-40B4-BE49-F238E27FC236}">
              <a16:creationId xmlns:a16="http://schemas.microsoft.com/office/drawing/2014/main" id="{A386BE1A-50C0-4EF3-AA4F-FA00D03A2467}"/>
            </a:ext>
          </a:extLst>
        </xdr:cNvPr>
        <xdr:cNvCxnSpPr/>
      </xdr:nvCxnSpPr>
      <xdr:spPr>
        <a:xfrm>
          <a:off x="160885" y="3229214"/>
          <a:ext cx="892769" cy="2938"/>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79916</xdr:colOff>
      <xdr:row>25</xdr:row>
      <xdr:rowOff>88563</xdr:rowOff>
    </xdr:from>
    <xdr:to>
      <xdr:col>1</xdr:col>
      <xdr:colOff>476250</xdr:colOff>
      <xdr:row>27</xdr:row>
      <xdr:rowOff>19983</xdr:rowOff>
    </xdr:to>
    <xdr:sp macro="" textlink="">
      <xdr:nvSpPr>
        <xdr:cNvPr id="82" name="Rectangle 81">
          <a:extLst>
            <a:ext uri="{FF2B5EF4-FFF2-40B4-BE49-F238E27FC236}">
              <a16:creationId xmlns:a16="http://schemas.microsoft.com/office/drawing/2014/main" id="{49E28000-9A58-448C-A2F3-EB522F853A3F}"/>
            </a:ext>
          </a:extLst>
        </xdr:cNvPr>
        <xdr:cNvSpPr/>
      </xdr:nvSpPr>
      <xdr:spPr>
        <a:xfrm>
          <a:off x="79916" y="4851063"/>
          <a:ext cx="1001452"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Campaign</a:t>
          </a:r>
        </a:p>
      </xdr:txBody>
    </xdr:sp>
    <xdr:clientData/>
  </xdr:twoCellAnchor>
  <xdr:twoCellAnchor>
    <xdr:from>
      <xdr:col>15</xdr:col>
      <xdr:colOff>173183</xdr:colOff>
      <xdr:row>4</xdr:row>
      <xdr:rowOff>155864</xdr:rowOff>
    </xdr:from>
    <xdr:to>
      <xdr:col>18</xdr:col>
      <xdr:colOff>155862</xdr:colOff>
      <xdr:row>6</xdr:row>
      <xdr:rowOff>87284</xdr:rowOff>
    </xdr:to>
    <xdr:sp macro="" textlink="">
      <xdr:nvSpPr>
        <xdr:cNvPr id="3" name="Rectangle 2">
          <a:extLst>
            <a:ext uri="{FF2B5EF4-FFF2-40B4-BE49-F238E27FC236}">
              <a16:creationId xmlns:a16="http://schemas.microsoft.com/office/drawing/2014/main" id="{8495913B-85ED-4A99-8601-CFBB6B5EDCF2}"/>
            </a:ext>
          </a:extLst>
        </xdr:cNvPr>
        <xdr:cNvSpPr/>
      </xdr:nvSpPr>
      <xdr:spPr>
        <a:xfrm>
          <a:off x="9265228" y="917864"/>
          <a:ext cx="1801089"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b="1" i="1">
              <a:solidFill>
                <a:schemeClr val="bg1"/>
              </a:solidFill>
            </a:rPr>
            <a:t>Prepared by Mr.Vivek Karippara</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0.05791</cdr:x>
      <cdr:y>0</cdr:y>
    </cdr:from>
    <cdr:to>
      <cdr:x>1</cdr:x>
      <cdr:y>0.28962</cdr:y>
    </cdr:to>
    <cdr:sp macro="" textlink="">
      <cdr:nvSpPr>
        <cdr:cNvPr id="2" name="Rectangle 1">
          <a:extLst xmlns:a="http://schemas.openxmlformats.org/drawingml/2006/main">
            <a:ext uri="{FF2B5EF4-FFF2-40B4-BE49-F238E27FC236}">
              <a16:creationId xmlns:a16="http://schemas.microsoft.com/office/drawing/2014/main" id="{300F47BC-CBB8-2979-D2B3-E49AE9610764}"/>
            </a:ext>
          </a:extLst>
        </cdr:cNvPr>
        <cdr:cNvSpPr/>
      </cdr:nvSpPr>
      <cdr:spPr>
        <a:xfrm xmlns:a="http://schemas.openxmlformats.org/drawingml/2006/main">
          <a:off x="104140" y="0"/>
          <a:ext cx="1694180" cy="4038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900" b="1">
              <a:solidFill>
                <a:sysClr val="windowText" lastClr="000000"/>
              </a:solidFill>
            </a:rPr>
            <a:t>Demographic Ad Spend Distribution </a:t>
          </a:r>
        </a:p>
      </cdr:txBody>
    </cdr:sp>
  </cdr:relSizeAnchor>
</c:userShapes>
</file>

<file path=xl/drawings/drawing3.xml><?xml version="1.0" encoding="utf-8"?>
<c:userShapes xmlns:c="http://schemas.openxmlformats.org/drawingml/2006/chart">
  <cdr:relSizeAnchor xmlns:cdr="http://schemas.openxmlformats.org/drawingml/2006/chartDrawing">
    <cdr:from>
      <cdr:x>0.27658</cdr:x>
      <cdr:y>0</cdr:y>
    </cdr:from>
    <cdr:to>
      <cdr:x>1</cdr:x>
      <cdr:y>0.10413</cdr:y>
    </cdr:to>
    <cdr:sp macro="" textlink="">
      <cdr:nvSpPr>
        <cdr:cNvPr id="2" name="Rectangle 1">
          <a:extLst xmlns:a="http://schemas.openxmlformats.org/drawingml/2006/main">
            <a:ext uri="{FF2B5EF4-FFF2-40B4-BE49-F238E27FC236}">
              <a16:creationId xmlns:a16="http://schemas.microsoft.com/office/drawing/2014/main" id="{B6F66DDC-AF94-44C8-B6F2-7ACB4173FFD9}"/>
            </a:ext>
          </a:extLst>
        </cdr:cNvPr>
        <cdr:cNvSpPr/>
      </cdr:nvSpPr>
      <cdr:spPr>
        <a:xfrm xmlns:a="http://schemas.openxmlformats.org/drawingml/2006/main">
          <a:off x="810233" y="0"/>
          <a:ext cx="2119260" cy="25046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900" b="1">
              <a:solidFill>
                <a:sysClr val="windowText" lastClr="000000"/>
              </a:solidFill>
            </a:rPr>
            <a:t>Ad Spent</a:t>
          </a:r>
          <a:r>
            <a:rPr lang="en-IN" sz="900" b="1" baseline="0">
              <a:solidFill>
                <a:sysClr val="windowText" lastClr="000000"/>
              </a:solidFill>
            </a:rPr>
            <a:t> vs Conversion</a:t>
          </a:r>
          <a:endParaRPr lang="en-IN" sz="900" b="1">
            <a:solidFill>
              <a:sysClr val="windowText" lastClr="000000"/>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723900</xdr:colOff>
      <xdr:row>22</xdr:row>
      <xdr:rowOff>14287</xdr:rowOff>
    </xdr:from>
    <xdr:to>
      <xdr:col>4</xdr:col>
      <xdr:colOff>1143000</xdr:colOff>
      <xdr:row>36</xdr:row>
      <xdr:rowOff>90487</xdr:rowOff>
    </xdr:to>
    <xdr:graphicFrame macro="">
      <xdr:nvGraphicFramePr>
        <xdr:cNvPr id="3" name="Chart 2">
          <a:extLst>
            <a:ext uri="{FF2B5EF4-FFF2-40B4-BE49-F238E27FC236}">
              <a16:creationId xmlns:a16="http://schemas.microsoft.com/office/drawing/2014/main" id="{8C4D6D23-4123-E9DE-D966-AE0D0A850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623887</xdr:colOff>
      <xdr:row>50</xdr:row>
      <xdr:rowOff>42862</xdr:rowOff>
    </xdr:from>
    <xdr:to>
      <xdr:col>4</xdr:col>
      <xdr:colOff>1042987</xdr:colOff>
      <xdr:row>64</xdr:row>
      <xdr:rowOff>119062</xdr:rowOff>
    </xdr:to>
    <xdr:graphicFrame macro="">
      <xdr:nvGraphicFramePr>
        <xdr:cNvPr id="5" name="Chart 4">
          <a:extLst>
            <a:ext uri="{FF2B5EF4-FFF2-40B4-BE49-F238E27FC236}">
              <a16:creationId xmlns:a16="http://schemas.microsoft.com/office/drawing/2014/main" id="{2FFA8FC7-1662-527F-DB65-2D1F99B08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619125</xdr:colOff>
      <xdr:row>71</xdr:row>
      <xdr:rowOff>23812</xdr:rowOff>
    </xdr:from>
    <xdr:to>
      <xdr:col>5</xdr:col>
      <xdr:colOff>981075</xdr:colOff>
      <xdr:row>85</xdr:row>
      <xdr:rowOff>100012</xdr:rowOff>
    </xdr:to>
    <xdr:graphicFrame macro="">
      <xdr:nvGraphicFramePr>
        <xdr:cNvPr id="7" name="Chart 6">
          <a:extLst>
            <a:ext uri="{FF2B5EF4-FFF2-40B4-BE49-F238E27FC236}">
              <a16:creationId xmlns:a16="http://schemas.microsoft.com/office/drawing/2014/main" id="{A45ADD77-72F5-4B7A-F597-8DD9B8E5A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47625</xdr:colOff>
      <xdr:row>98</xdr:row>
      <xdr:rowOff>80962</xdr:rowOff>
    </xdr:from>
    <xdr:to>
      <xdr:col>4</xdr:col>
      <xdr:colOff>1466850</xdr:colOff>
      <xdr:row>112</xdr:row>
      <xdr:rowOff>157162</xdr:rowOff>
    </xdr:to>
    <xdr:graphicFrame macro="">
      <xdr:nvGraphicFramePr>
        <xdr:cNvPr id="12" name="Chart 11">
          <a:extLst>
            <a:ext uri="{FF2B5EF4-FFF2-40B4-BE49-F238E27FC236}">
              <a16:creationId xmlns:a16="http://schemas.microsoft.com/office/drawing/2014/main" id="{910AFCF2-F85A-9AF5-51A1-91A0C2D87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102870</xdr:colOff>
      <xdr:row>119</xdr:row>
      <xdr:rowOff>140970</xdr:rowOff>
    </xdr:from>
    <xdr:to>
      <xdr:col>5</xdr:col>
      <xdr:colOff>1085850</xdr:colOff>
      <xdr:row>135</xdr:row>
      <xdr:rowOff>80010</xdr:rowOff>
    </xdr:to>
    <xdr:graphicFrame macro="">
      <xdr:nvGraphicFramePr>
        <xdr:cNvPr id="14" name="Chart 13">
          <a:extLst>
            <a:ext uri="{FF2B5EF4-FFF2-40B4-BE49-F238E27FC236}">
              <a16:creationId xmlns:a16="http://schemas.microsoft.com/office/drawing/2014/main" id="{A58E8E80-526D-3E8B-15B0-4120E3625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971550</xdr:colOff>
      <xdr:row>152</xdr:row>
      <xdr:rowOff>57150</xdr:rowOff>
    </xdr:from>
    <xdr:to>
      <xdr:col>4</xdr:col>
      <xdr:colOff>796290</xdr:colOff>
      <xdr:row>167</xdr:row>
      <xdr:rowOff>171450</xdr:rowOff>
    </xdr:to>
    <xdr:graphicFrame macro="">
      <xdr:nvGraphicFramePr>
        <xdr:cNvPr id="15" name="Chart 14">
          <a:extLst>
            <a:ext uri="{FF2B5EF4-FFF2-40B4-BE49-F238E27FC236}">
              <a16:creationId xmlns:a16="http://schemas.microsoft.com/office/drawing/2014/main" id="{150D06A1-316B-5D10-1358-B16B2512B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arippara" refreshedDate="45908.90165925926" createdVersion="8" refreshedVersion="8" minRefreshableVersion="3" recordCount="1143" xr:uid="{61BB1FA3-4CCA-4EF8-AD51-0E276E4C025B}">
  <cacheSource type="worksheet">
    <worksheetSource ref="A1:P1144" sheet="Converted Raw Data"/>
  </cacheSource>
  <cacheFields count="17">
    <cacheField name="ad_id" numFmtId="0">
      <sharedItems containsSemiMixedTypes="0" containsString="0" containsNumber="1" containsInteger="1" minValue="708746" maxValue="1314415"/>
    </cacheField>
    <cacheField name="xyz_campaign_id" numFmtId="0">
      <sharedItems containsSemiMixedTypes="0" containsString="0" containsNumber="1" containsInteger="1" minValue="916" maxValue="1178" count="3">
        <n v="916"/>
        <n v="936"/>
        <n v="1178"/>
      </sharedItems>
    </cacheField>
    <cacheField name="fb_campaign_id" numFmtId="0">
      <sharedItems containsSemiMixedTypes="0" containsString="0" containsNumber="1" containsInteger="1" minValue="103916" maxValue="179982"/>
    </cacheField>
    <cacheField name="age" numFmtId="0">
      <sharedItems count="4">
        <s v="30-34"/>
        <s v="35-39"/>
        <s v="40-44"/>
        <s v="45-49"/>
      </sharedItems>
    </cacheField>
    <cacheField name="gender" numFmtId="0">
      <sharedItems count="2">
        <s v="M"/>
        <s v="F"/>
      </sharedItems>
    </cacheField>
    <cacheField name="interest" numFmtId="1">
      <sharedItems containsSemiMixedTypes="0" containsString="0" containsNumber="1" containsInteger="1" minValue="2" maxValue="114" count="40">
        <n v="15"/>
        <n v="16"/>
        <n v="20"/>
        <n v="28"/>
        <n v="29"/>
        <n v="27"/>
        <n v="31"/>
        <n v="7"/>
        <n v="30"/>
        <n v="24"/>
        <n v="21"/>
        <n v="32"/>
        <n v="18"/>
        <n v="63"/>
        <n v="65"/>
        <n v="25"/>
        <n v="10"/>
        <n v="19"/>
        <n v="26"/>
        <n v="36"/>
        <n v="23"/>
        <n v="64"/>
        <n v="22"/>
        <n v="2"/>
        <n v="66"/>
        <n v="100"/>
        <n v="101"/>
        <n v="102"/>
        <n v="103"/>
        <n v="105"/>
        <n v="107"/>
        <n v="110"/>
        <n v="111"/>
        <n v="112"/>
        <n v="113"/>
        <n v="108"/>
        <n v="109"/>
        <n v="114"/>
        <n v="104"/>
        <n v="106"/>
      </sharedItems>
    </cacheField>
    <cacheField name="Impressions" numFmtId="1">
      <sharedItems containsSemiMixedTypes="0" containsString="0" containsNumber="1" containsInteger="1" minValue="87" maxValue="3052003"/>
    </cacheField>
    <cacheField name="Clicks" numFmtId="1">
      <sharedItems containsSemiMixedTypes="0" containsString="0" containsNumber="1" containsInteger="1" minValue="0" maxValue="421"/>
    </cacheField>
    <cacheField name="Spent" numFmtId="164">
      <sharedItems containsSemiMixedTypes="0" containsString="0" containsNumber="1" minValue="0" maxValue="639.94999810000002" count="869">
        <n v="1.4299999480000001"/>
        <n v="1.820000023"/>
        <n v="0"/>
        <n v="1.25"/>
        <n v="1.289999962"/>
        <n v="4.7699999809999998"/>
        <n v="1.269999981"/>
        <n v="1.5"/>
        <n v="3.1599999670000001"/>
        <n v="10.280000210000001"/>
        <n v="0.56999999300000004"/>
        <n v="1.690000057"/>
        <n v="4.6300001139999996"/>
        <n v="2.6099998950000001"/>
        <n v="3.0499999519999998"/>
        <n v="3.0599999430000002"/>
        <n v="2.9800000190000002"/>
        <n v="5.5200000999999999"/>
        <n v="8.4700001480000005"/>
        <n v="15.82000017"/>
        <n v="1.4700000289999999"/>
        <n v="1.5299999710000001"/>
        <n v="18.06999969"/>
        <n v="1.6100000139999999"/>
        <n v="1.190000057"/>
        <n v="9.2200002669999996"/>
        <n v="1.5099999900000001"/>
        <n v="9.4300000669999999"/>
        <n v="6.9600000380000004"/>
        <n v="1.2200000289999999"/>
        <n v="2.7999999519999998"/>
        <n v="1.6000000240000001"/>
        <n v="1.1299999949999999"/>
        <n v="5.7300000190000002"/>
        <n v="9.3799999950000004"/>
        <n v="5.6299999950000004"/>
        <n v="3.8400000329999999"/>
        <n v="1.039999962"/>
        <n v="1.460000038"/>
        <n v="2.8399999139999998"/>
        <n v="1.3500000240000001"/>
        <n v="5.75"/>
        <n v="3.9800000190000002"/>
        <n v="4.4499999280000004"/>
        <n v="1.3200000519999999"/>
        <n v="4.0900000329999999"/>
        <n v="10.03000009"/>
        <n v="4.25"/>
        <n v="20.290000320000001"/>
        <n v="1.3899999860000001"/>
        <n v="4.4400000569999998"/>
        <n v="1.5700000519999999"/>
        <n v="1.4099999670000001"/>
        <n v="33.330000040000002"/>
        <n v="3.340000093"/>
        <n v="8.0500000719999996"/>
        <n v="5.2100000380000004"/>
        <n v="2.3499999640000002"/>
        <n v="19.329999569999998"/>
        <n v="1.4500000479999999"/>
        <n v="4.0500000719999996"/>
        <n v="32.97999978"/>
        <n v="31.28999949"/>
        <n v="8.7899999619999996"/>
        <n v="9.1199998860000004"/>
        <n v="6.26000011"/>
        <n v="38.63999999"/>
        <n v="0.23999999499999999"/>
        <n v="1.0900000329999999"/>
        <n v="2.6800000669999999"/>
        <n v="3.0099999899999998"/>
        <n v="1.5800000430000001"/>
        <n v="14.06000042"/>
        <n v="2.9000000950000002"/>
        <n v="1.5900000329999999"/>
        <n v="4.5900001530000001"/>
        <n v="0.540000021"/>
        <n v="13.41000009"/>
        <n v="0.86000001400000003"/>
        <n v="10.77000046"/>
        <n v="5.5900001530000001"/>
        <n v="58.160000439999997"/>
        <n v="10.61999977"/>
        <n v="5.4600000380000004"/>
        <n v="20.17999983"/>
        <n v="176.37999769999999"/>
        <n v="34.390000460000003"/>
        <n v="5.4900000100000002"/>
        <n v="1.4199999569999999"/>
        <n v="51.97000027"/>
        <n v="3.1900000569999998"/>
        <n v="1.960000038"/>
        <n v="0.60000002399999997"/>
        <n v="1.1499999759999999"/>
        <n v="3.1800000669999999"/>
        <n v="0.980000019"/>
        <n v="1.480000049"/>
        <n v="2.9399999380000001"/>
        <n v="4.6000000239999999"/>
        <n v="2.6699999569999999"/>
        <n v="10.96000051"/>
        <n v="2.3599998950000001"/>
        <n v="7.3500001429999999"/>
        <n v="9.3400000330000008"/>
        <n v="4.6199998860000004"/>
        <n v="8.5"/>
        <n v="2.420000076"/>
        <n v="2.9500000480000002"/>
        <n v="3.7200000289999999"/>
        <n v="4.4499998090000004"/>
        <n v="13.07000017"/>
        <n v="10.849999670000001"/>
        <n v="12.06000006"/>
        <n v="8.8600001339999999"/>
        <n v="27.729999540000001"/>
        <n v="7.3499999049999998"/>
        <n v="26.530000449999999"/>
        <n v="39.42999983"/>
        <n v="47.930000309999997"/>
        <n v="6.0399999619999996"/>
        <n v="2.369999886"/>
        <n v="6.3400001530000001"/>
        <n v="53.219999489999999"/>
        <n v="35.799999479999997"/>
        <n v="180.22000120000001"/>
        <n v="76.41000056"/>
        <n v="9.5499999520000003"/>
        <n v="18.019999980000001"/>
        <n v="13.37"/>
        <n v="4.5900000329999999"/>
        <n v="25.86000001"/>
        <n v="0.49000000999999999"/>
        <n v="1.6799999480000001"/>
        <n v="25.419999359999998"/>
        <n v="3.3100000619999999"/>
        <n v="1.5499999520000001"/>
        <n v="5.4399999379999997"/>
        <n v="81.609997870000001"/>
        <n v="4.98999989"/>
        <n v="31.709999799999999"/>
        <n v="25.520000459999999"/>
        <n v="4.2599999899999998"/>
        <n v="1.8300000430000001"/>
        <n v="2.8099999430000002"/>
        <n v="11.04999971"/>
        <n v="7.2299997810000001"/>
        <n v="4.2699998619999997"/>
        <n v="9.4799998999999993"/>
        <n v="2.8900001049999999"/>
        <n v="10.56999969"/>
        <n v="3.2000000480000002"/>
        <n v="0.97000002900000004"/>
        <n v="4.3700000049999996"/>
        <n v="1.809999943"/>
        <n v="3.3199999330000001"/>
        <n v="1.1799999480000001"/>
        <n v="4.7300000190000002"/>
        <n v="1.3799999949999999"/>
        <n v="1.2599999900000001"/>
        <n v="3.579999924"/>
        <n v="6.2799999709999996"/>
        <n v="1.210000038"/>
        <n v="46.630000109999997"/>
        <n v="34.440000120000001"/>
        <n v="9.2199997899999993"/>
        <n v="7.7199999090000002"/>
        <n v="0.18000000699999999"/>
        <n v="5.3899998660000001"/>
        <n v="5.7799998520000004"/>
        <n v="0.99000001000000004"/>
        <n v="1.2799999710000001"/>
        <n v="5.2799999709999996"/>
        <n v="1.0499999520000001"/>
        <n v="1.3400000329999999"/>
        <n v="10.42999983"/>
        <n v="6.0999999049999998"/>
        <n v="19.659999490000001"/>
        <n v="56.190000769999997"/>
        <n v="6.0299998520000004"/>
        <n v="0.959999979"/>
        <n v="2.619999945"/>
        <n v="1.3600000139999999"/>
        <n v="6.0500001909999996"/>
        <n v="19.88000035"/>
        <n v="4.5299999709999996"/>
        <n v="6.7799998520000004"/>
        <n v="3.0900000329999999"/>
        <n v="3.1400001049999999"/>
        <n v="7.5400001999999997"/>
        <n v="34.1500001"/>
        <n v="3.9599999189999999"/>
        <n v="2.6500000950000002"/>
        <n v="8.1799998279999997"/>
        <n v="4.1300001139999996"/>
        <n v="0.72000002900000004"/>
        <n v="19.100000380000001"/>
        <n v="2.75"/>
        <n v="41.290000679999999"/>
        <n v="9.4100003240000003"/>
        <n v="13.40999985"/>
        <n v="0.94999998799999996"/>
        <n v="32.289999960000003"/>
        <n v="1.730000019"/>
        <n v="0.88999998599999997"/>
        <n v="10.229999899999999"/>
        <n v="4.4299998279999997"/>
        <n v="3.829999924"/>
        <n v="1.1100000139999999"/>
        <n v="5.3499999049999998"/>
        <n v="3.9500000480000002"/>
        <n v="4.0199999809999998"/>
        <n v="1.3300000430000001"/>
        <n v="3.0899999139999998"/>
        <n v="6.0199999809999998"/>
        <n v="1.230000019"/>
        <n v="77.079999689999994"/>
        <n v="9.3299999239999991"/>
        <n v="1.3700000050000001"/>
        <n v="5.9099999670000001"/>
        <n v="6.9100000860000002"/>
        <n v="9.5399999619999996"/>
        <n v="17.300000369999999"/>
        <n v="1.309999943"/>
        <n v="4.079999924"/>
        <n v="17.929999949999999"/>
        <n v="4.5699999330000001"/>
        <n v="2.2699999809999998"/>
        <n v="1.0299999710000001"/>
        <n v="36.130000350000003"/>
        <n v="1.539999962"/>
        <n v="59.069999930000002"/>
        <n v="7.8100000620000003"/>
        <n v="28.5"/>
        <n v="10.079999920000001"/>
        <n v="67.97999978"/>
        <n v="1.6399999860000001"/>
        <n v="0.52999997099999996"/>
        <n v="1.440000057"/>
        <n v="3.9199999569999999"/>
        <n v="49.440000060000003"/>
        <n v="4.1800000669999999"/>
        <n v="3.7499998809999999"/>
        <n v="2.7300000190000002"/>
        <n v="2.3200000520000001"/>
        <n v="6.1699999569999999"/>
        <n v="4.9400000569999998"/>
        <n v="39.25000095"/>
        <n v="12.51000035"/>
        <n v="4.5500001909999996"/>
        <n v="8.9100000860000002"/>
        <n v="4.3000001909999996"/>
        <n v="2.869999945"/>
        <n v="1.559999943"/>
        <n v="3.210000038"/>
        <n v="1.519999981"/>
        <n v="4.329999924"/>
        <n v="1.0700000519999999"/>
        <n v="4.6599998469999999"/>
        <n v="2.7200000289999999"/>
        <n v="4.2899999619999996"/>
        <n v="3.25"/>
        <n v="2.619999886"/>
        <n v="12.39000034"/>
        <n v="3.1500000950000002"/>
        <n v="11.94999981"/>
        <n v="1.480000019"/>
        <n v="7.2699999809999998"/>
        <n v="0.40999999599999998"/>
        <n v="6.079999924"/>
        <n v="2.0999999049999998"/>
        <n v="2.960000038"/>
        <n v="12.369999890000001"/>
        <n v="254.04999599999999"/>
        <n v="122.4"/>
        <n v="86.330001120000006"/>
        <n v="161.90999909999999"/>
        <n v="1.8200000519999999"/>
        <n v="236.76999860000001"/>
        <n v="639.94999810000002"/>
        <n v="52.970000149999997"/>
        <n v="360.15000149999997"/>
        <n v="16.520000100000001"/>
        <n v="163.8999972"/>
        <n v="210.36000060000001"/>
        <n v="35.730000259999997"/>
        <n v="215.83999940000001"/>
        <n v="3.800000072"/>
        <n v="96.800000549999993"/>
        <n v="157.32999799999999"/>
        <n v="26.569999459999998"/>
        <n v="93.089999910000003"/>
        <n v="78.920000200000004"/>
        <n v="103.15000019999999"/>
        <n v="36.530000209999997"/>
        <n v="28.85000002"/>
        <n v="257.70999860000001"/>
        <n v="7.2200001479999996"/>
        <n v="7.8999999760000001"/>
        <n v="62.060000420000001"/>
        <n v="14.14000046"/>
        <n v="23.730000260000001"/>
        <n v="1.710000038"/>
        <n v="9.4400000570000007"/>
        <n v="27.799999239999998"/>
        <n v="67.650000570000003"/>
        <n v="3.2400000100000002"/>
        <n v="52.26000011"/>
        <n v="13.0400002"/>
        <n v="38.389999750000001"/>
        <n v="138.7699997"/>
        <n v="260.3800013"/>
        <n v="8.5499999520000003"/>
        <n v="15.63000023"/>
        <n v="60.199999570000003"/>
        <n v="34.190000060000003"/>
        <n v="5.1400001050000004"/>
        <n v="216.5599982"/>
        <n v="93.070000410000006"/>
        <n v="56.059999230000003"/>
        <n v="54.099998710000001"/>
        <n v="7.8000000719999996"/>
        <n v="5.2200000290000004"/>
        <n v="358.55000289999998"/>
        <n v="280.98999950000001"/>
        <n v="115.1200008"/>
        <n v="219.77000200000001"/>
        <n v="52.019999859999999"/>
        <n v="35.309999939999997"/>
        <n v="63.320001009999999"/>
        <n v="54.240000369999997"/>
        <n v="65.229999960000001"/>
        <n v="4.2100000380000004"/>
        <n v="48.609999780000003"/>
        <n v="13.91999972"/>
        <n v="11.059999700000001"/>
        <n v="87.420000790000003"/>
        <n v="1.6599999670000001"/>
        <n v="6.7400000100000002"/>
        <n v="8.2200002669999996"/>
        <n v="5.5800000430000001"/>
        <n v="9.2299998999999993"/>
        <n v="34.229999720000002"/>
        <n v="3.1499999760000001"/>
        <n v="20.209999400000001"/>
        <n v="59.439999819999997"/>
        <n v="38.589999679999998"/>
        <n v="21.849999789999998"/>
        <n v="22.320000050000001"/>
        <n v="110.23999910000001"/>
        <n v="29.750000480000001"/>
        <n v="18.470000150000001"/>
        <n v="36.240000250000001"/>
        <n v="76.439999580000006"/>
        <n v="11.80000019"/>
        <n v="26.819999809999999"/>
        <n v="65.670001150000004"/>
        <n v="32.240000250000001"/>
        <n v="245.5999999"/>
        <n v="17.640000100000002"/>
        <n v="38.549999360000001"/>
        <n v="40.75999951"/>
        <n v="6.3700000049999996"/>
        <n v="89.760000469999994"/>
        <n v="16.1500001"/>
        <n v="189.12999840000001"/>
        <n v="8.5299998519999995"/>
        <n v="67.770001289999996"/>
        <n v="96.8999989"/>
        <n v="37.130000109999997"/>
        <n v="53.15999961"/>
        <n v="192.92999950000001"/>
        <n v="236.11999879999999"/>
        <n v="12.57000017"/>
        <n v="12.580000399999999"/>
        <n v="28.049999589999999"/>
        <n v="83.480001209999998"/>
        <n v="30.479999899999999"/>
        <n v="20.299999830000001"/>
        <n v="131.5799983"/>
        <n v="14.62999988"/>
        <n v="64.469999310000006"/>
        <n v="30.15000057"/>
        <n v="62.250000239999999"/>
        <n v="78.039999839999993"/>
        <n v="3.4000000950000002"/>
        <n v="14.830000399999999"/>
        <n v="22.42999983"/>
        <n v="44.14000034"/>
        <n v="69.659999970000001"/>
        <n v="16.269999980000001"/>
        <n v="5.7899999019999999"/>
        <n v="42.080000159999997"/>
        <n v="67.669999840000003"/>
        <n v="34.070000890000003"/>
        <n v="41.71999967"/>
        <n v="19.569999809999999"/>
        <n v="57.37"/>
        <n v="17.36999965"/>
        <n v="100.28999899999999"/>
        <n v="3.7099999189999999"/>
        <n v="23.209999799999999"/>
        <n v="177.88999920000001"/>
        <n v="66.770000100000004"/>
        <n v="32.679999950000003"/>
        <n v="420.5799983"/>
        <n v="87.550000670000003"/>
        <n v="232.37000080000001"/>
        <n v="150.1400012"/>
        <n v="96.48000073"/>
        <n v="95.510001299999999"/>
        <n v="72.310000299999999"/>
        <n v="9.2099999189999995"/>
        <n v="254.2500038"/>
        <n v="11.170000310000001"/>
        <n v="34.230000259999997"/>
        <n v="25.26000011"/>
        <n v="113.99000119999999"/>
        <n v="121.0999982"/>
        <n v="98.700000169999996"/>
        <n v="8.8000000719999996"/>
        <n v="9.9299999480000007"/>
        <n v="53.38999939"/>
        <n v="3.7699999809999998"/>
        <n v="24.179999949999999"/>
        <n v="76.899999679999993"/>
        <n v="14.520000100000001"/>
        <n v="36.170000549999997"/>
        <n v="38.440000769999997"/>
        <n v="61.929999950000003"/>
        <n v="70.410000800000006"/>
        <n v="37.5999999"/>
        <n v="20.590000270000001"/>
        <n v="24.780000210000001"/>
        <n v="29.53999937"/>
        <n v="37.849999789999998"/>
        <n v="2.290000021"/>
        <n v="24.190000300000001"/>
        <n v="8.5199999809999998"/>
        <n v="163.36000000000001"/>
        <n v="58.140000049999998"/>
        <n v="29.309999820000002"/>
        <n v="116.3399996"/>
        <n v="60.899999139999998"/>
        <n v="40.020000930000002"/>
        <n v="260.06999839999997"/>
        <n v="359.47000009999999"/>
        <n v="105.7099996"/>
        <n v="10.66000009"/>
        <n v="143.30000089999999"/>
        <n v="65.029998539999994"/>
        <n v="117.55999970000001"/>
        <n v="143.4300001"/>
        <n v="9.6599998469999999"/>
        <n v="124.7999995"/>
        <n v="98.550000190000006"/>
        <n v="40.77000022"/>
        <n v="134.8799999"/>
        <n v="19.359999899999998"/>
        <n v="43.010000349999999"/>
        <n v="42.629999759999997"/>
        <n v="75.789999839999993"/>
        <n v="7.7100000380000004"/>
        <n v="14.03999984"/>
        <n v="39.85999966"/>
        <n v="36.779999609999997"/>
        <n v="54.869999530000001"/>
        <n v="87.789999600000002"/>
        <n v="6.7300000190000002"/>
        <n v="76.839999320000004"/>
        <n v="15.539999720000001"/>
        <n v="17.670000080000001"/>
        <n v="49.600000139999999"/>
        <n v="53.269999030000001"/>
        <n v="126.9299996"/>
        <n v="179.620001"/>
        <n v="38.420000430000002"/>
        <n v="58.5999999"/>
        <n v="39.72999978"/>
        <n v="19.11000001"/>
        <n v="15.810000179999999"/>
        <n v="140.97000220000001"/>
        <n v="60.760000230000003"/>
        <n v="13.51000011"/>
        <n v="55.100000020000003"/>
        <n v="12.630000109999999"/>
        <n v="81.360000249999999"/>
        <n v="16.470000030000001"/>
        <n v="31.029999969999999"/>
        <n v="60.729999659999997"/>
        <n v="74.830001350000003"/>
        <n v="7.4800000190000002"/>
        <n v="36.480000500000003"/>
        <n v="68.060000540000004"/>
        <n v="7.8799999950000004"/>
        <n v="123.5500004"/>
        <n v="135.75000120000001"/>
        <n v="116.8800001"/>
        <n v="365.6600009"/>
        <n v="128.27999879999999"/>
        <n v="10.779999849999999"/>
        <n v="133.69999859999999"/>
        <n v="64.879999519999998"/>
        <n v="603.38000199999999"/>
        <n v="220.559999"/>
        <n v="33.899999979999997"/>
        <n v="318.97000320000001"/>
        <n v="248.64000010000001"/>
        <n v="40.930000069999998"/>
        <n v="109.2500008"/>
        <n v="134.11999750000001"/>
        <n v="103.3899996"/>
        <n v="116.5599996"/>
        <n v="120.2999994"/>
        <n v="25.459999679999999"/>
        <n v="35.67999983"/>
        <n v="131.78000059999999"/>
        <n v="29.91000021"/>
        <n v="46.790000200000001"/>
        <n v="3.1899999380000001"/>
        <n v="16.67999983"/>
        <n v="11.11000013"/>
        <n v="127.56999930000001"/>
        <n v="11.009999990000001"/>
        <n v="3.5999999049999998"/>
        <n v="33.659999970000001"/>
        <n v="33.3499999"/>
        <n v="128.6099997"/>
        <n v="33.930000309999997"/>
        <n v="36.440000300000001"/>
        <n v="5.7699999809999998"/>
        <n v="181.72000109999999"/>
        <n v="41.420000080000001"/>
        <n v="58.679999709999997"/>
        <n v="80.339999789999993"/>
        <n v="104.4599996"/>
        <n v="87.730000500000003"/>
        <n v="253.990002"/>
        <n v="39.440000060000003"/>
        <n v="39.049999479999997"/>
        <n v="16.939999579999999"/>
        <n v="142.70999850000001"/>
        <n v="27.299999830000001"/>
        <n v="29.379999399999999"/>
        <n v="277.57999860000001"/>
        <n v="422.84000379999998"/>
        <n v="38.500000829999998"/>
        <n v="17.3299998"/>
        <n v="32.309999939999997"/>
        <n v="41.969999430000001"/>
        <n v="352.44999890000003"/>
        <n v="264.58999970000002"/>
        <n v="158.59999980000001"/>
        <n v="4.8200000520000001"/>
        <n v="37.259999989999997"/>
        <n v="39.520000699999997"/>
        <n v="19.47999978"/>
        <n v="16.38"/>
        <n v="22.670000309999999"/>
        <n v="15.99000025"/>
        <n v="17.04999995"/>
        <n v="64.409999970000001"/>
        <n v="44.219999549999997"/>
        <n v="38.180000069999998"/>
        <n v="268.05000200000001"/>
        <n v="77.590000270000004"/>
        <n v="46.779999969999999"/>
        <n v="153.11999750000001"/>
        <n v="55.990000250000001"/>
        <n v="31.540000200000001"/>
        <n v="147.33999900000001"/>
        <n v="159.57000210000001"/>
        <n v="117.6299995"/>
        <n v="171.97999759999999"/>
        <n v="18.100000380000001"/>
        <n v="11.570000050000001"/>
        <n v="24.480000019999999"/>
        <n v="169.66999820000001"/>
        <n v="62.14000034"/>
        <n v="76.680000250000006"/>
        <n v="195.14999779999999"/>
        <n v="38.360000130000003"/>
        <n v="24.56999969"/>
        <n v="74.410000319999995"/>
        <n v="33.46999907"/>
        <n v="4.2200000290000004"/>
        <n v="147.67000060000001"/>
        <n v="62.140000579999999"/>
        <n v="4.5600000620000003"/>
        <n v="35.059999820000002"/>
        <n v="29.310000179999999"/>
        <n v="169.91999730000001"/>
        <n v="41.63"/>
        <n v="75.700000759999995"/>
        <n v="256.46999820000002"/>
        <n v="612.30000319999999"/>
        <n v="51.840000869999997"/>
        <n v="54.790000200000001"/>
        <n v="179.05000100000001"/>
        <n v="17.740000009999999"/>
        <n v="375.71999629999999"/>
        <n v="429.47999809999999"/>
        <n v="95.850000499999993"/>
        <n v="3.8199999330000001"/>
        <n v="226.53999920000001"/>
        <n v="50.72000062"/>
        <n v="54.570000890000003"/>
        <n v="25.220000389999999"/>
        <n v="9.9700002669999996"/>
        <n v="123.0900019"/>
        <n v="37.830000159999997"/>
        <n v="33.039999369999997"/>
        <n v="105.0199997"/>
        <n v="5.9299999479999999"/>
        <n v="3.75"/>
        <n v="343.25999439999998"/>
        <n v="19.189999700000001"/>
        <n v="61.029997710000004"/>
        <n v="56.169999959999998"/>
        <n v="39.230000259999997"/>
        <n v="99.179998400000002"/>
        <n v="16.179999710000001"/>
        <n v="23.970000389999999"/>
        <n v="2.6200000050000001"/>
        <n v="2.7799999710000001"/>
        <n v="42.370000359999999"/>
        <n v="22.049999710000002"/>
        <n v="10.319999810000001"/>
        <n v="9.8099999429999993"/>
        <n v="63.450000760000002"/>
        <n v="10.54999995"/>
        <n v="38.940000410000003"/>
        <n v="38.029999609999997"/>
        <n v="314.29999830000003"/>
        <n v="173.76"/>
        <n v="37.320001240000003"/>
        <n v="2.6299999949999999"/>
        <n v="263.81000069999999"/>
        <n v="177.1099993"/>
        <n v="343.41999939999999"/>
        <n v="33.229999419999999"/>
        <n v="234.65999819999999"/>
        <n v="297.82999810000001"/>
        <n v="31.009999629999999"/>
        <n v="84.659998889999997"/>
        <n v="115.8800026"/>
        <n v="84.510000230000003"/>
        <n v="13.05999959"/>
        <n v="23.649999619999999"/>
        <n v="89.350000260000002"/>
        <n v="17.300000189999999"/>
        <n v="23.339999679999998"/>
        <n v="40.960000399999998"/>
        <n v="50.11000001"/>
        <n v="66.790000680000006"/>
        <n v="36.229999300000003"/>
        <n v="62.869999890000003"/>
        <n v="71.580000519999999"/>
        <n v="350.50999569999999"/>
        <n v="213.6899986"/>
        <n v="10.96000016"/>
        <n v="37.399999620000003"/>
        <n v="210.8200028"/>
        <n v="42.410000320000002"/>
        <n v="33.199999329999997"/>
        <n v="72.910001039999997"/>
        <n v="293.88000110000002"/>
        <n v="167.0499997"/>
        <n v="123.80000099999999"/>
        <n v="85.700001959999994"/>
        <n v="65.179999710000004"/>
        <n v="46.430000069999998"/>
        <n v="68.559999590000004"/>
        <n v="8.1899999379999997"/>
        <n v="48.549999479999997"/>
        <n v="82.279999020000005"/>
        <n v="71.530001040000002"/>
        <n v="191.419996"/>
        <n v="321.87000039999998"/>
        <n v="65.030000329999993"/>
        <n v="194.80999879999999"/>
        <n v="78.459999319999994"/>
        <n v="53.62999868"/>
        <n v="243.7699978"/>
        <n v="262.88999810000001"/>
        <n v="4.0500001909999996"/>
        <n v="16.409999849999998"/>
        <n v="66.389999869999997"/>
        <n v="9.6099998949999996"/>
        <n v="22.12000012"/>
        <n v="78.060000419999994"/>
        <n v="40.87999928"/>
        <n v="88.210000160000007"/>
        <n v="48.939998629999998"/>
        <n v="95.84999895"/>
        <n v="106.9299998"/>
        <n v="254.419997"/>
        <n v="117.3400005"/>
        <n v="390.25999919999998"/>
        <n v="340.40999929999998"/>
        <n v="33.470000390000003"/>
        <n v="66.279999849999996"/>
        <n v="48.180000069999998"/>
        <n v="156.11999929999999"/>
        <n v="288.33000349999998"/>
        <n v="40.370000240000003"/>
        <n v="19.279999849999999"/>
        <n v="34.030000149999999"/>
        <n v="29.670000080000001"/>
        <n v="47.789999129999998"/>
        <n v="111.6500003"/>
        <n v="24.330000160000001"/>
        <n v="188.51000020000001"/>
        <n v="33.14000034"/>
        <n v="59.850000260000002"/>
        <n v="21.10999966"/>
        <n v="38.350000620000003"/>
        <n v="30.840000270000001"/>
        <n v="14.58999991"/>
        <n v="15.91999972"/>
        <n v="24.220000150000001"/>
        <n v="238.40000069999999"/>
        <n v="132.73000070000001"/>
        <n v="201.6000042"/>
        <n v="465.07999810000001"/>
        <n v="234.93999919999999"/>
        <n v="195.07999939999999"/>
        <n v="104.68999890000001"/>
        <n v="295.54999570000001"/>
        <n v="226.0300014"/>
        <n v="287.69000299999999"/>
        <n v="315.90000509999999"/>
        <n v="332.98999889999999"/>
        <n v="282.49000100000001"/>
        <n v="115.66000080000001"/>
        <n v="247.32000260000001"/>
        <n v="11.200000169999999"/>
        <n v="25.459999979999999"/>
        <n v="299.52999829999999"/>
        <n v="140.42000110000001"/>
        <n v="100.8800011"/>
        <n v="13.350000380000001"/>
        <n v="73.749999639999999"/>
        <n v="76.759999160000007"/>
        <n v="145.81999740000001"/>
        <n v="125.2700011"/>
        <n v="38.629999759999997"/>
        <n v="7.1399999860000003"/>
        <n v="116.98999809999999"/>
        <n v="175.9700005"/>
        <n v="105.6600007"/>
        <n v="259.17999880000002"/>
        <n v="46.920001859999999"/>
        <n v="187.7399978"/>
        <n v="380.65999520000003"/>
        <n v="541.70000230000005"/>
        <n v="409.56000260000002"/>
        <n v="102.3900002"/>
        <n v="67.130001070000006"/>
        <n v="22.860000249999999"/>
        <n v="134.88999899999999"/>
        <n v="369.069997"/>
        <n v="198.0899972"/>
        <n v="91.000000540000002"/>
        <n v="297.91000070000001"/>
        <n v="50.29000044"/>
        <n v="9.4199998380000007"/>
        <n v="20.519999980000001"/>
        <n v="38.139999930000002"/>
        <n v="142.05000250000001"/>
        <n v="402.30000260000003"/>
        <n v="159.29999900000001"/>
        <n v="193.65999909999999"/>
        <n v="66.839998719999997"/>
        <n v="178.6700007"/>
        <n v="130.36000110000001"/>
        <n v="114.8599998"/>
        <n v="3.199999928"/>
        <n v="7.5299998520000004"/>
        <n v="2.6900000569999998"/>
        <n v="27.329999690000001"/>
        <n v="53.789999719999997"/>
        <n v="61.009999039999997"/>
        <n v="46.669999359999998"/>
        <n v="12.10999984"/>
        <n v="32.090000150000002"/>
        <n v="23.699999569999999"/>
        <n v="16.940000179999998"/>
        <n v="46.649999260000001"/>
        <n v="12.679999949999999"/>
        <n v="19.820000050000001"/>
        <n v="21.260000229999999"/>
        <n v="40.730000619999998"/>
        <n v="25.010000229999999"/>
        <n v="11.519999500000001"/>
        <n v="7.7000000479999997"/>
        <n v="12.149999619999999"/>
        <n v="14.960000340000001"/>
        <n v="1.4900000099999999"/>
        <n v="28.470000030000001"/>
        <n v="15.14999998"/>
        <n v="60.229999069999998"/>
        <n v="28.719999550000001"/>
        <n v="34.869999649999997"/>
        <n v="13.50000036"/>
        <n v="13.559999940000001"/>
        <n v="9.2599998709999998"/>
        <n v="17.940000059999999"/>
        <n v="25.750000239999999"/>
        <n v="30.080000760000001"/>
        <n v="7.26000011"/>
        <n v="18.419999959999998"/>
        <n v="50.5"/>
        <n v="82.139999149999994"/>
        <n v="36.600000379999997"/>
        <n v="19.580000160000001"/>
        <n v="13.65000045"/>
        <n v="30.26000011"/>
        <n v="113.68000290000001"/>
        <n v="11.42999983"/>
        <n v="99.52000237"/>
        <n v="110.7800021"/>
        <n v="120.8799992"/>
        <n v="35.540000319999997"/>
        <n v="119.64000179999999"/>
        <n v="11.18999994"/>
        <n v="138.92000060000001"/>
        <n v="14.48000044"/>
        <n v="163.8000002"/>
        <n v="111.9899995"/>
        <n v="15.04999995"/>
        <n v="237.3199975"/>
        <n v="47.879999519999998"/>
        <n v="164.64000150000001"/>
        <n v="200.82999609999999"/>
        <n v="105.2199969"/>
        <n v="127.3200028"/>
        <n v="68.670000079999994"/>
        <n v="20.050000189999999"/>
        <n v="9.4099999669999992"/>
        <n v="77.599999789999998"/>
        <n v="16.730000019999999"/>
        <n v="246.74999750000001"/>
        <n v="223.18999479999999"/>
        <n v="67.609999180000003"/>
        <n v="319.00000189999997"/>
        <n v="82.929998870000006"/>
        <n v="57"/>
        <n v="233.11000200000001"/>
        <n v="217.7799966"/>
        <n v="323.06000710000001"/>
        <n v="87.990001680000006"/>
        <n v="105.4500008"/>
        <n v="120.8999977"/>
        <n v="301.0499992"/>
        <n v="62.31999922"/>
        <n v="279.21999499999998"/>
        <n v="158.05000229999999"/>
        <n v="36.01000071"/>
        <n v="16.340000509999999"/>
        <n v="162.63999749999999"/>
        <n v="333.74999430000003"/>
        <n v="33.71000051"/>
        <n v="232.5900005"/>
        <n v="47.690000060000003"/>
        <n v="358.18999700000001"/>
        <n v="173.88000349999999"/>
        <n v="40.28999949"/>
        <n v="198.71000050000001"/>
        <n v="165.60999870000001"/>
      </sharedItems>
    </cacheField>
    <cacheField name="Total_Conversion" numFmtId="1">
      <sharedItems containsSemiMixedTypes="0" containsString="0" containsNumber="1" containsInteger="1" minValue="0" maxValue="60"/>
    </cacheField>
    <cacheField name="Approved_Conversion" numFmtId="1">
      <sharedItems containsSemiMixedTypes="0" containsString="0" containsNumber="1" containsInteger="1" minValue="0" maxValue="21"/>
    </cacheField>
    <cacheField name="CPM" numFmtId="2">
      <sharedItems containsSemiMixedTypes="0" containsString="0" containsNumber="1" minValue="0" maxValue="1.5042372425847457"/>
    </cacheField>
    <cacheField name="CPC" numFmtId="2">
      <sharedItems containsMixedTypes="1" containsNumber="1" minValue="0.18000000699999999" maxValue="2.2119999400000001" count="870">
        <n v="1.4299999480000001"/>
        <n v="0.91000001149999998"/>
        <s v=" "/>
        <n v="1.25"/>
        <n v="1.289999962"/>
        <n v="1.5899999936666667"/>
        <n v="1.269999981"/>
        <n v="1.5"/>
        <n v="1.0533333223333334"/>
        <n v="1.4685714585714287"/>
        <n v="0.56999999300000004"/>
        <n v="1.690000057"/>
        <n v="1.1575000284999999"/>
        <n v="1.3049999475"/>
        <n v="1.5249999759999999"/>
        <n v="1.5299999715000001"/>
        <n v="1.4900000095000001"/>
        <n v="1.380000025"/>
        <n v="0.8450000285"/>
        <n v="1.2100000211428572"/>
        <n v="1.3183333475000001"/>
        <n v="1.4700000289999999"/>
        <n v="1.5299999710000001"/>
        <n v="1.2907142635714286"/>
        <n v="1.6100000139999999"/>
        <n v="1.190000057"/>
        <n v="1.3171428952857143"/>
        <n v="1.5099999900000001"/>
        <n v="1.3471428667142857"/>
        <n v="1.3920000076000001"/>
        <n v="1.2200000289999999"/>
        <n v="1.3999999759999999"/>
        <n v="1.6000000240000001"/>
        <n v="1.1299999949999999"/>
        <n v="1.4325000047500001"/>
        <n v="1.3399999992857143"/>
        <n v="1.4074999987500001"/>
        <n v="1.280000011"/>
        <n v="1.039999962"/>
        <n v="1.460000038"/>
        <n v="1.4199999569999999"/>
        <n v="1.3500000240000001"/>
        <n v="1.4375"/>
        <n v="1.3266666730000001"/>
        <n v="1.4833333093333334"/>
        <n v="0.66000002599999996"/>
        <n v="1.3633333443333333"/>
        <n v="1.4328571557142857"/>
        <n v="1.4166666666666667"/>
        <n v="1.5607692553846155"/>
        <n v="1.3899999860000001"/>
        <n v="1.480000019"/>
        <n v="1.5700000519999999"/>
        <n v="1.4099999670000001"/>
        <n v="1.3887500016666667"/>
        <n v="1.1133333643333334"/>
        <n v="1.3416666786666667"/>
        <n v="1.3025000095000001"/>
        <n v="1.1749999820000001"/>
        <n v="1.4869230438461538"/>
        <n v="1.4500000479999999"/>
        <n v="1.3500000239999999"/>
        <n v="1.4339130339130435"/>
        <n v="1.5644999744999999"/>
        <n v="1.4649999936666667"/>
        <n v="1.8239999772000002"/>
        <n v="1.5650000275"/>
        <n v="1.3799999996428571"/>
        <n v="0.23999999499999999"/>
        <n v="1.0900000329999999"/>
        <n v="1.3400000335"/>
        <n v="1.5049999949999999"/>
        <n v="1.5800000430000001"/>
        <n v="1.4060000420000001"/>
        <n v="1.4500000475000001"/>
        <n v="1.5900000329999999"/>
        <n v="1.530000051"/>
        <n v="0.540000021"/>
        <n v="1.9157142985714286"/>
        <n v="0.86000001400000003"/>
        <n v="1.1966667177777779"/>
        <n v="1.39750003825"/>
        <n v="1.6155555677777778"/>
        <n v="1.5171428242857143"/>
        <n v="1.3650000095000001"/>
        <n v="1.3453333219999999"/>
        <n v="1.520517221551724"/>
        <n v="1.2737037207407409"/>
        <n v="1.3725000025"/>
        <n v="1.3676315860526316"/>
        <n v="1.5950000284999999"/>
        <n v="0.980000019"/>
        <n v="0.60000002399999997"/>
        <n v="1.1499999759999999"/>
        <n v="1.5900000335"/>
        <n v="0.74000002450000002"/>
        <n v="0.97999997933333338"/>
        <n v="1.5333333413333332"/>
        <n v="1.3349999785"/>
        <n v="1.3700000637500001"/>
        <n v="1.1799999475"/>
        <n v="1.4700000285999999"/>
        <n v="0.9340000033000001"/>
        <n v="1.5399999620000002"/>
        <n v="1.7"/>
        <n v="1.210000038"/>
        <n v="1.4750000240000001"/>
        <n v="1.8600000145"/>
        <n v="1.1124999522500001"/>
        <n v="1.63375002125"/>
        <n v="1.5499999528571429"/>
        <n v="1.2055555188888889"/>
        <n v="1.206000006"/>
        <n v="1.7720000268"/>
        <n v="1.3204761685714286"/>
        <n v="1.2249999841666666"/>
        <n v="1.3963158131578948"/>
        <n v="1.5771999932"/>
        <n v="1.9970833462499999"/>
        <n v="2.0133333206666664"/>
        <n v="1.184999943"/>
        <n v="1.58500003825"/>
        <n v="1.5652941026470588"/>
        <n v="1.5565217165217391"/>
        <n v="1.5808772035087721"/>
        <n v="1.5918750116666667"/>
        <n v="1.5916666586666668"/>
        <n v="1.6381818163636366"/>
        <n v="1.6712499999999999"/>
        <n v="1.14750000825"/>
        <n v="1.616250000625"/>
        <n v="0.49000000999999999"/>
        <n v="1.6799999480000001"/>
        <n v="1.6946666239999999"/>
        <n v="1.6550000309999999"/>
        <n v="1.5499999520000001"/>
        <n v="1.0879999875999999"/>
        <n v="1.4838181430909092"/>
        <n v="1.6633332966666667"/>
        <n v="1.58549999"/>
        <n v="1.5950000287499999"/>
        <n v="1.4199999966666665"/>
        <n v="1.8300000430000001"/>
        <n v="1.4049999715000001"/>
        <n v="1.38124996375"/>
        <n v="1.4459999562000001"/>
        <n v="1.4233332873333333"/>
        <n v="1.5799999833333331"/>
        <n v="1.4450000525"/>
        <n v="1.761666615"/>
        <n v="0.97000002900000004"/>
        <n v="1.4566666683333331"/>
        <n v="1.809999943"/>
        <n v="1.6599999665"/>
        <n v="1.1799999480000001"/>
        <n v="1.5766666730000001"/>
        <n v="1.3799999949999999"/>
        <n v="1.2599999900000001"/>
        <n v="1.1933333079999999"/>
        <n v="1.5699999927499999"/>
        <n v="1.6653571467857142"/>
        <n v="1.722000006"/>
        <n v="1.5366666316666666"/>
        <n v="1.5439999818000001"/>
        <n v="0.75"/>
        <n v="0.18000000699999999"/>
        <n v="1.796666622"/>
        <n v="1.4449999630000001"/>
        <n v="0.99000001000000004"/>
        <n v="1.2799999710000001"/>
        <n v="1.3199999927499999"/>
        <n v="1.0499999520000001"/>
        <n v="1.3400000329999999"/>
        <n v="1.4899999757142857"/>
        <n v="1.219999981"/>
        <n v="1.6383332908333335"/>
        <n v="1.7027272960606059"/>
        <n v="1.5074999630000001"/>
        <n v="0.959999979"/>
        <n v="0.873333315"/>
        <n v="1.3600000139999999"/>
        <n v="1.5125000477499999"/>
        <n v="1.6566666958333334"/>
        <n v="1.5099999903333332"/>
        <n v="1.3559999704000001"/>
        <n v="1.5450000165"/>
        <n v="1.5700000525"/>
        <n v="1.2566667"/>
        <n v="1.7973684263157894"/>
        <n v="0.98999997974999998"/>
        <n v="1.3250000475000001"/>
        <n v="1.6359999655999999"/>
        <n v="1.0325000284999999"/>
        <n v="1.3474999665"/>
        <n v="0.72000002900000004"/>
        <n v="1.3642857414285714"/>
        <n v="1.789999962"/>
        <n v="1.375"/>
        <n v="1.6516000272"/>
        <n v="1.3442857605714287"/>
        <n v="1.4899999833333333"/>
        <n v="0.94999998799999996"/>
        <n v="1.3454166650000001"/>
        <n v="0.8650000095"/>
        <n v="0.88999998599999997"/>
        <n v="1.2787499874999999"/>
        <n v="1.4766666093333332"/>
        <n v="0.957499981"/>
        <n v="1.1100000139999999"/>
        <n v="1.3374999762499999"/>
        <n v="1.3166666826666666"/>
        <n v="1.3399999936666667"/>
        <n v="1.3300000430000001"/>
        <n v="1.5449999569999999"/>
        <n v="1.5049999952499999"/>
        <n v="1.230000019"/>
        <n v="1.376428565892857"/>
        <n v="1.3328571319999998"/>
        <n v="1.3700000050000001"/>
        <n v="1.47749999175"/>
        <n v="1.3820000172"/>
        <n v="1.3628571374285714"/>
        <n v="1.3307692592307692"/>
        <n v="0.6549999715"/>
        <n v="1.3599999746666667"/>
        <n v="1.4941666624999999"/>
        <n v="1.523333311"/>
        <n v="1.1349999904999999"/>
        <n v="1.0299999710000001"/>
        <n v="1.3896153980769232"/>
        <n v="1.539999962"/>
        <n v="1.4407317056097562"/>
        <n v="1.301666677"/>
        <n v="1.425"/>
        <n v="1.4399999885714287"/>
        <n v="1.3873469342857143"/>
        <n v="1.6399999860000001"/>
        <n v="0.52999997099999996"/>
        <n v="1.440000057"/>
        <n v="1.3066666523333332"/>
        <n v="1.3010526331578949"/>
        <n v="1.3933333556666667"/>
        <n v="1.2499999603333334"/>
        <n v="1.1600000260000001"/>
        <n v="1.3200000519999999"/>
        <n v="1.2339999913999999"/>
        <n v="1.2350000142499999"/>
        <n v="1.2680000306000001"/>
        <n v="1.3534483086206897"/>
        <n v="1.1372727590909091"/>
        <n v="1.5166667303333332"/>
        <n v="1.2728571551428571"/>
        <n v="1.433333397"/>
        <n v="0.95666664833333337"/>
        <n v="1.559999943"/>
        <n v="1.605000019"/>
        <n v="1.519999981"/>
        <n v="1.4433333079999999"/>
        <n v="1.0700000519999999"/>
        <n v="1.16499996175"/>
        <n v="1.3600000145"/>
        <n v="1.4299999873333331"/>
        <n v="1.625"/>
        <n v="1.309999943"/>
        <n v="1.3766667044444445"/>
        <n v="1.5750000475000001"/>
        <n v="1.194999981"/>
        <n v="1.4539999961999999"/>
        <n v="0.40999999599999998"/>
        <n v="1.0499999524999999"/>
        <n v="1.5462499862500001"/>
        <n v="1.8017730212765957"/>
        <n v="1.826865671641791"/>
        <n v="1.7266000224000002"/>
        <n v="1.8826744081395348"/>
        <n v="1.8200000519999999"/>
        <n v="1.9249593382113821"/>
        <n v="1.8822058767647059"/>
        <n v="1.7656666716666665"/>
        <n v="1.7829207995049503"/>
        <n v="1.8355555666666667"/>
        <n v="1.7252631284210527"/>
        <n v="1.7102439073170732"/>
        <n v="1.7865000129999999"/>
        <n v="1.7986666616666667"/>
        <n v="1.900000036"/>
        <n v="1.7600000099999999"/>
        <n v="1.7677527865168539"/>
        <n v="1.7713332973333331"/>
        <n v="1.7238888872222222"/>
        <n v="1.7156521782608696"/>
        <n v="1.7784482793103447"/>
        <n v="1.6604545549999998"/>
        <n v="1.9233333346666666"/>
        <n v="1.6954605171052632"/>
        <n v="1.4440000296"/>
        <n v="1.974999994"/>
        <n v="1.8252941300000001"/>
        <n v="2.0999999049999998"/>
        <n v="2.0200000657142856"/>
        <n v="1.9775000216666667"/>
        <n v="1.710000038"/>
        <n v="1.8880000114000002"/>
        <n v="1.7374999524999999"/>
        <n v="1.9328571591428572"/>
        <n v="1.6200000050000001"/>
        <n v="1.6858064551612904"/>
        <n v="1.8628571714285713"/>
        <n v="1.6691304239130436"/>
        <n v="1.73462499625"/>
        <n v="1.7957241468965517"/>
        <n v="1.424999992"/>
        <n v="1.7366666922222223"/>
        <n v="1.8242424112121214"/>
        <n v="1.709500003"/>
        <n v="1.7133333683333334"/>
        <n v="1.8046666516666667"/>
        <n v="1.7560377435849057"/>
        <n v="1.8686666410000001"/>
        <n v="1.7451612487096775"/>
        <n v="1.5600000143999999"/>
        <n v="1.7400000096666668"/>
        <n v="1.7405339946601941"/>
        <n v="1.7672327012578617"/>
        <n v="1.7710769353846154"/>
        <n v="1.716953140625"/>
        <n v="1.7339999953333334"/>
        <n v="1.6049999972727271"/>
        <n v="1.6663158160526315"/>
        <n v="1.6950000115624999"/>
        <n v="1.6725641015384616"/>
        <n v="1.4033333460000001"/>
        <n v="1.6203333260000001"/>
        <n v="1.391999972"/>
        <n v="2.2119999400000001"/>
        <n v="2.0330232741860468"/>
        <n v="1.6599999670000001"/>
        <n v="1.6850000025"/>
        <n v="1.6440000533999999"/>
        <n v="1.8600000143333333"/>
        <n v="1.5383333166666666"/>
        <n v="1.7114999860000002"/>
        <n v="1.5749999880000001"/>
        <n v="1.5546153384615384"/>
        <n v="1.917419349032258"/>
        <n v="1.7540908945454545"/>
        <n v="1.986363617272727"/>
        <n v="1.960000038"/>
        <n v="1.594285717857143"/>
        <n v="1.6703030166666668"/>
        <n v="1.5657894989473684"/>
        <n v="1.5391666791666667"/>
        <n v="1.5756521847826088"/>
        <n v="1.5287999916000001"/>
        <n v="1.685714312857143"/>
        <n v="1.9157142721428571"/>
        <n v="1.7281579250000001"/>
        <n v="1.6120000125"/>
        <n v="1.729577464084507"/>
        <n v="1.6036363727272729"/>
        <n v="1.5419999744000001"/>
        <n v="1.7721738917391305"/>
        <n v="1.5925000012499999"/>
        <n v="1.7600000092156862"/>
        <n v="1.7944444555555554"/>
        <n v="1.891299984"/>
        <n v="1.7059999704"/>
        <n v="1.7376923407692306"/>
        <n v="1.9379999779999999"/>
        <n v="1.7680952433333332"/>
        <n v="1.8331034348275863"/>
        <n v="1.6349999957627119"/>
        <n v="1.8446874906249999"/>
        <n v="1.7957143099999999"/>
        <n v="1.7971429142857143"/>
        <n v="1.7531249743749999"/>
        <n v="1.6696000242"/>
        <n v="1.6042105210526316"/>
        <n v="1.5615384484615384"/>
        <n v="1.934999975"/>
        <n v="1.6255555422222221"/>
        <n v="1.6965789292105264"/>
        <n v="1.4357143128571428"/>
        <n v="1.6824324389189189"/>
        <n v="1.8580952342857142"/>
        <n v="1.7000000475000001"/>
        <n v="1.4830000399999999"/>
        <n v="1.7253846023076922"/>
        <n v="1.6348148274074075"/>
        <n v="1.6199999993023255"/>
        <n v="1.6269999980000001"/>
        <n v="1.4474999755"/>
        <n v="1.75333334"/>
        <n v="1.691749996"/>
        <n v="1.8927778272222224"/>
        <n v="1.8139130291304348"/>
        <n v="1.7790908918181818"/>
        <n v="1.8506451612903225"/>
        <n v="1.7369999650000001"/>
        <n v="1.6998304915254236"/>
        <n v="1.2366666396666666"/>
        <n v="1.6578571285714285"/>
        <n v="1.7270873708737864"/>
        <n v="1.5527907000000001"/>
        <n v="1.3071999980000002"/>
        <n v="1.8050643703862661"/>
        <n v="1.6836538590384615"/>
        <n v="1.8589600064"/>
        <n v="1.7873809666666667"/>
        <n v="1.7541818314545454"/>
        <n v="1.7055357375"/>
        <n v="1.6816279139534884"/>
        <n v="1.8419999837999999"/>
        <n v="1.7295918625850339"/>
        <n v="1.8616667183333335"/>
        <n v="1.9016666811111109"/>
        <n v="1.6840000073333334"/>
        <n v="1.8093650984126983"/>
        <n v="1.892187471875"/>
        <n v="1.8622641541509433"/>
        <n v="1.7600000143999999"/>
        <n v="1.6549999913333335"/>
        <n v="1.6178787693939394"/>
        <n v="1.8849999904999999"/>
        <n v="1.6119999966666667"/>
        <n v="1.7883720855813952"/>
        <n v="2.0742857285714287"/>
        <n v="1.7223809785714284"/>
        <n v="1.4784615680769231"/>
        <n v="1.5104878036585367"/>
        <n v="1.6374418790697676"/>
        <n v="1.5666666625000001"/>
        <n v="1.7158333558333334"/>
        <n v="1.7700000150000001"/>
        <n v="1.846249960625"/>
        <n v="1.7204545359090908"/>
        <n v="1.1450000105"/>
        <n v="1.6126666866666668"/>
        <n v="1.7039999961999999"/>
        <n v="1.7951648351648353"/>
        <n v="1.6150000013888888"/>
        <n v="1.6283333233333335"/>
        <n v="1.6860869507246377"/>
        <n v="1.7399999754285713"/>
        <n v="1.5392308050000001"/>
        <n v="1.7691836625850339"/>
        <n v="1.7535121956097561"/>
        <n v="1.9575925851851852"/>
        <n v="1.7766666816666667"/>
        <n v="1.7475609865853656"/>
        <n v="1.8579999582857141"/>
        <n v="1.655774643661972"/>
        <n v="1.7707407419753087"/>
        <n v="1.9319999694000001"/>
        <n v="1.6639999933333334"/>
        <n v="1.6703389862711866"/>
        <n v="1.7726087052173913"/>
        <n v="1.6859999987500001"/>
        <n v="1.7599999909090907"/>
        <n v="1.5360714410714285"/>
        <n v="1.375161282580645"/>
        <n v="1.4860784282352939"/>
        <n v="1.5420000076"/>
        <n v="1.75499998"/>
        <n v="1.6608333191666667"/>
        <n v="1.7514285528571427"/>
        <n v="1.8289999843333333"/>
        <n v="1.3934920571428571"/>
        <n v="1.3460000038"/>
        <n v="1.5681632514285715"/>
        <n v="1.7266666355555556"/>
        <n v="1.6063636436363637"/>
        <n v="1.6533333379999999"/>
        <n v="1.7183870654838711"/>
        <n v="1.4932941129411765"/>
        <n v="1.4968333416666666"/>
        <n v="1.5368000172"/>
        <n v="1.5421052605263157"/>
        <n v="1.5891999912000001"/>
        <n v="1.3650000007142857"/>
        <n v="1.7566666866666667"/>
        <n v="1.6584706141176473"/>
        <n v="1.6877777841666668"/>
        <n v="1.68875001375"/>
        <n v="1.7218750006250001"/>
        <n v="1.5787500137499999"/>
        <n v="1.6604081683673468"/>
        <n v="1.4972727300000002"/>
        <n v="1.6331578931578947"/>
        <n v="1.5182499914999998"/>
        <n v="1.7006818488636364"/>
        <n v="1.4960000038000001"/>
        <n v="1.5860869782608698"/>
        <n v="1.4179166779166668"/>
        <n v="1.575999999"/>
        <n v="1.6045454597402597"/>
        <n v="1.8100000160000003"/>
        <n v="1.7709090924242425"/>
        <n v="1.6545701398190045"/>
        <n v="1.7816666499999998"/>
        <n v="1.5399999785714285"/>
        <n v="1.5022471752808988"/>
        <n v="1.5447618933333334"/>
        <n v="1.7092917903682718"/>
        <n v="1.7644799920000001"/>
        <n v="1.6949999989999998"/>
        <n v="1.6787894905263159"/>
        <n v="1.8555223888059702"/>
        <n v="1.5742307719230768"/>
        <n v="1.5607142971428571"/>
        <n v="1.596666636904762"/>
        <n v="1.72316666"/>
        <n v="1.7932307630769231"/>
        <n v="1.670833325"/>
        <n v="1.697333312"/>
        <n v="1.7839999915"/>
        <n v="1.6472500074999998"/>
        <n v="1.4955000105"/>
        <n v="1.6710714357142857"/>
        <n v="1.5949999690000001"/>
        <n v="1.6679999830000001"/>
        <n v="1.5871428757142856"/>
        <n v="1.5749382629629631"/>
        <n v="1.3762499987500001"/>
        <n v="1.7999999524999999"/>
        <n v="1.8699999983333333"/>
        <n v="1.5880952333333334"/>
        <n v="1.5877777740740742"/>
        <n v="1.4752174047826085"/>
        <n v="1.5183333458333335"/>
        <n v="1.4424999952499999"/>
        <n v="1.7306666771428572"/>
        <n v="1.6568000032000001"/>
        <n v="1.6765714202857143"/>
        <n v="1.7465217345652173"/>
        <n v="1.6848387032258065"/>
        <n v="1.5391228157894736"/>
        <n v="1.4766860581395349"/>
        <n v="1.5169230792307693"/>
        <n v="1.6270833116666665"/>
        <n v="1.5399999618181817"/>
        <n v="1.6594185872093024"/>
        <n v="1.5166666572222223"/>
        <n v="1.7282352588235295"/>
        <n v="1.6522618964285716"/>
        <n v="1.6389147434108526"/>
        <n v="1.7500000377272726"/>
        <n v="1.9255555333333332"/>
        <n v="1.7005263126315788"/>
        <n v="1.7487499762500001"/>
        <n v="1.7890862888324874"/>
        <n v="1.7999319707482995"/>
        <n v="1.9341463390243903"/>
        <n v="1.6066666840000001"/>
        <n v="1.4903999995999999"/>
        <n v="1.4114285964285713"/>
        <n v="1.623333315"/>
        <n v="1.6379999999999999"/>
        <n v="1.4168750193749999"/>
        <n v="1.599000025"/>
        <n v="1.5499999954545454"/>
        <n v="1.400217390652174"/>
        <n v="1.4739999849999998"/>
        <n v="1.4140740766666666"/>
        <n v="1.5144067909604519"/>
        <n v="1.4921153898076924"/>
        <n v="1.5593333323333334"/>
        <n v="1.5160395792079209"/>
        <n v="1.5997142928571428"/>
        <n v="1.5770000100000001"/>
        <n v="1.5034693775510204"/>
        <n v="1.7535165065934066"/>
        <n v="1.7047826014492753"/>
        <n v="1.7027722534653464"/>
        <n v="1.64545458"/>
        <n v="1.6528571500000002"/>
        <n v="1.5300000012499999"/>
        <n v="1.5015044088495575"/>
        <n v="1.4451162869767442"/>
        <n v="1.5035294166666668"/>
        <n v="1.5011538292307691"/>
        <n v="1.5344000052000002"/>
        <n v="1.6379999793333333"/>
        <n v="1.6535555626666665"/>
        <n v="1.6734999534999999"/>
        <n v="1.4066666763333335"/>
        <n v="1.3303603657657659"/>
        <n v="1.5933333482051282"/>
        <n v="1.5200000206666668"/>
        <n v="1.5243478182608696"/>
        <n v="1.5426315884210526"/>
        <n v="1.42789913697479"/>
        <n v="1.6011538461538461"/>
        <n v="1.5448979746938774"/>
        <n v="1.5086470482352943"/>
        <n v="1.4543943068883611"/>
        <n v="1.4400000241666666"/>
        <n v="1.4808108162162164"/>
        <n v="1.4098425275590551"/>
        <n v="1.3646153853846152"/>
        <n v="1.4019402847014926"/>
        <n v="1.4558644003389831"/>
        <n v="1.5214285793650792"/>
        <n v="1.273333311"/>
        <n v="1.4806535895424837"/>
        <n v="1.491764724117647"/>
        <n v="1.6536363906060607"/>
        <n v="1.5762500243749999"/>
        <n v="1.4242857524285715"/>
        <n v="1.730000019"/>
        <n v="1.5985714532467532"/>
        <n v="1.5762500066666665"/>
        <n v="1.6519999684999997"/>
        <n v="1.7503333283333333"/>
        <n v="1.482499987"/>
        <n v="1.875"/>
        <n v="1.619150916981132"/>
        <n v="1.5991666416666668"/>
        <n v="1.6060525713157896"/>
        <n v="1.6048571417142856"/>
        <n v="1.7056521852173911"/>
        <n v="1.6529999733333334"/>
        <n v="1.4709090645454546"/>
        <n v="1.4981250243749999"/>
        <n v="1.3100000025"/>
        <n v="1.3899999855"/>
        <n v="1.5132142985714285"/>
        <n v="1.4699999806666668"/>
        <n v="1.4742856871428571"/>
        <n v="1.4014285632857142"/>
        <n v="1.4755814130232559"/>
        <n v="1.7583333249999999"/>
        <n v="1.5576000164000001"/>
        <n v="1.3582142717857142"/>
        <n v="1.3724890755458516"/>
        <n v="1.401290322580645"/>
        <n v="1.4928000496000002"/>
        <n v="1.3149999975"/>
        <n v="1.5337790738372092"/>
        <n v="1.5535964850877193"/>
        <n v="1.5469369342342343"/>
        <n v="1.4447825834782608"/>
        <n v="1.4575155167701863"/>
        <n v="1.5352061757731958"/>
        <n v="1.5504999815"/>
        <n v="1.5117856944642856"/>
        <n v="1.5049350987012986"/>
        <n v="1.4826315829824561"/>
        <n v="1.63249994875"/>
        <n v="1.5766666413333332"/>
        <n v="1.4182539723809524"/>
        <n v="1.4416666825"/>
        <n v="1.4587499799999999"/>
        <n v="1.5170370518518519"/>
        <n v="1.4317142860000001"/>
        <n v="1.4210638442553192"/>
        <n v="1.3934615115384617"/>
        <n v="1.57174999725"/>
        <n v="1.3765384715384614"/>
        <n v="1.5239565030434783"/>
        <n v="1.3190740654320987"/>
        <n v="1.37000002"/>
        <n v="1.4959999848000001"/>
        <n v="1.5616296503703704"/>
        <n v="1.6311538584615386"/>
        <n v="1.5090908786363635"/>
        <n v="1.4582000207999999"/>
        <n v="1.3994285766666668"/>
        <n v="1.3363999976000001"/>
        <n v="1.5283950740740739"/>
        <n v="1.5303571778571428"/>
        <n v="1.5158139467441862"/>
        <n v="1.2548648667567568"/>
        <n v="1.2465454470909092"/>
        <n v="1.6379999876"/>
        <n v="1.4712121054545453"/>
        <n v="1.3488524429508197"/>
        <n v="1.490208355"/>
        <n v="1.3871014202898551"/>
        <n v="1.3814163107296136"/>
        <n v="1.3271428638775509"/>
        <n v="1.3719013999999998"/>
        <n v="1.5384313592156862"/>
        <n v="1.3751281712820513"/>
        <n v="1.4339411635294117"/>
        <n v="1.4444505390109892"/>
        <n v="1.3500000636666665"/>
        <n v="1.4918181681818181"/>
        <n v="1.5807142826190475"/>
        <n v="1.3728571278571429"/>
        <n v="1.3011764776470589"/>
        <n v="1.5305882435294116"/>
        <n v="1.5140740474074075"/>
        <n v="1.4001587326984128"/>
        <n v="1.3982856751428572"/>
        <n v="1.3891304195652174"/>
        <n v="1.3887012961038963"/>
        <n v="1.3902732076502733"/>
        <n v="1.4137349457831325"/>
        <n v="1.413985504347826"/>
        <n v="1.3894285685714285"/>
        <n v="1.3945833495833335"/>
        <n v="1.4408695619565217"/>
        <n v="1.3765714305714285"/>
        <n v="1.381592914159292"/>
        <n v="1.4862371314432989"/>
        <n v="1.3920689737931036"/>
        <n v="1.4830769115384614"/>
        <n v="1.4179166729166666"/>
        <n v="1.4128571466666666"/>
        <n v="1.4934374728124999"/>
        <n v="1.4132911430379747"/>
        <n v="1.2805263242105263"/>
        <n v="1.3963703718518519"/>
        <n v="1.5780952542857143"/>
        <n v="1.4597561039024392"/>
        <n v="1.6238461276923077"/>
        <n v="1.3696428792857145"/>
        <n v="1.4018181940909091"/>
        <n v="1.2158333258333334"/>
        <n v="1.3266666433333334"/>
        <n v="1.4247058911764707"/>
        <n v="1.3318435793296088"/>
        <n v="1.3683505226804125"/>
        <n v="1.4715328773722627"/>
        <n v="1.3441618442196532"/>
        <n v="1.4413496883435581"/>
        <n v="1.4034532330935252"/>
        <n v="1.5395588073529414"/>
        <n v="1.4631187905940595"/>
        <n v="1.3782317158536586"/>
        <n v="1.4529798131313132"/>
        <n v="1.2789473890688259"/>
        <n v="1.4669162947136563"/>
        <n v="1.4561340257731958"/>
        <n v="1.5218421157894737"/>
        <n v="1.5080487963414635"/>
        <n v="1.6000000242857142"/>
        <n v="1.3399999989473683"/>
        <n v="1.4540291179611651"/>
        <n v="1.3123364588785047"/>
        <n v="1.3819178232876712"/>
        <n v="1.335000038"/>
        <n v="1.3915094271698112"/>
        <n v="1.3956363483636365"/>
        <n v="1.3377981412844038"/>
        <n v="1.3918889011111111"/>
        <n v="1.2071874924999999"/>
        <n v="1.4279999972000001"/>
        <n v="1.3927380726190475"/>
        <n v="1.3641085310077519"/>
        <n v="1.488169023943662"/>
        <n v="1.3934408537634411"/>
        <n v="1.675714352142857"/>
        <n v="1.2858903958904109"/>
        <n v="1.4364528120754718"/>
        <n v="1.4760218046321527"/>
        <n v="1.5057353036764707"/>
        <n v="1.3126923102564103"/>
        <n v="1.266603793773585"/>
        <n v="1.4287500156249999"/>
        <n v="1.40510415625"/>
        <n v="1.3874811917293233"/>
        <n v="1.4354347623188406"/>
        <n v="1.378787886969697"/>
        <n v="1.3123788577092512"/>
        <n v="1.47911766"/>
        <n v="1.569999973"/>
        <n v="1.578461536923077"/>
        <n v="1.3621428546428571"/>
        <n v="1.4644330154639176"/>
        <n v="1.4265957539007093"/>
        <n v="1.3615384529914532"/>
        <n v="1.4239705816176471"/>
        <n v="1.5544185748837209"/>
        <n v="1.3638931351145038"/>
        <n v="1.4325274846153846"/>
        <n v="1.3052272704545453"/>
        <n v="1.599999964"/>
        <n v="1.5059999704"/>
        <n v="1.3450000284999999"/>
        <n v="1.5183333161111112"/>
        <n v="1.4537837762162162"/>
        <n v="1.4526190247619046"/>
        <n v="1.3726470399999999"/>
        <n v="1.3455555377777779"/>
        <n v="1.4586363704545455"/>
        <n v="1.481249973125"/>
        <n v="1.4116666816666665"/>
        <n v="1.4136363412121213"/>
        <n v="1.4088888833333333"/>
        <n v="1.4157142892857144"/>
        <n v="1.5185714449999999"/>
        <n v="1.3576666873333332"/>
        <n v="1.4711764841176471"/>
        <n v="1.4399999375000001"/>
        <n v="1.5400000095999999"/>
        <n v="1.3499999577777777"/>
        <n v="1.4960000340000001"/>
        <n v="1.4900000099999999"/>
        <n v="1.4984210542105263"/>
        <n v="1.514999998"/>
        <n v="1.4690243675609755"/>
        <n v="1.5955555305555555"/>
        <n v="1.4529166520833332"/>
        <n v="1.50000004"/>
        <n v="1.355999994"/>
        <n v="1.5433333118333332"/>
        <n v="1.4950000049999999"/>
        <n v="1.4305555688888889"/>
        <n v="1.504000038"/>
        <n v="1.452000022"/>
        <n v="1.4169230738461538"/>
        <n v="1.4852941176470589"/>
        <n v="1.4410526166666666"/>
        <n v="1.4640000151999999"/>
        <n v="1.5061538584615386"/>
        <n v="1.5166667166666667"/>
        <n v="1.4409523861904763"/>
        <n v="1.4034568259259259"/>
        <n v="1.2699999811111111"/>
        <n v="1.4635294466176472"/>
        <n v="1.4576316065789474"/>
        <n v="1.4055813860465116"/>
        <n v="1.3669230892307691"/>
        <n v="1.3911628116279069"/>
        <n v="1.3987499925"/>
        <n v="1.389200006"/>
        <n v="1.448000044"/>
        <n v="1.4000000017094016"/>
        <n v="1.3998749937499999"/>
        <n v="1.3681818136363637"/>
        <n v="1.4210778293413173"/>
        <n v="1.4509090763636363"/>
        <n v="1.4442105394736844"/>
        <n v="1.4448201158273379"/>
        <n v="1.4613888458333333"/>
        <n v="1.4468182136363636"/>
        <n v="1.4610638314893616"/>
        <n v="1.4321428707142856"/>
        <n v="1.5683333278333331"/>
        <n v="1.4641509394339622"/>
        <n v="1.5209090927272726"/>
        <n v="1.4864457680722891"/>
        <n v="1.4683552289473685"/>
        <n v="1.4085416495833334"/>
        <n v="1.4241071513392856"/>
        <n v="1.429827566724138"/>
        <n v="1.466100641509434"/>
        <n v="1.4616107154362417"/>
        <n v="1.4486995834080718"/>
        <n v="1.4424590439344263"/>
        <n v="1.4060000106666666"/>
        <n v="1.456626478313253"/>
        <n v="1.4267772473933649"/>
        <n v="1.5579999805"/>
        <n v="1.4318974102564102"/>
        <n v="1.4771028252336447"/>
        <n v="1.5004166962500001"/>
        <n v="1.4854545918181818"/>
        <n v="1.4785454318181817"/>
        <n v="1.4202127417021277"/>
        <n v="1.4656521960869566"/>
        <n v="1.4536875031250001"/>
        <n v="1.4451515169696971"/>
        <n v="1.421388876984127"/>
        <n v="1.4490000291666665"/>
        <n v="1.4389285532142857"/>
        <n v="1.4719259296296296"/>
        <n v="1.4527192868421053"/>
      </sharedItems>
    </cacheField>
    <cacheField name="CTR" numFmtId="10">
      <sharedItems containsSemiMixedTypes="0" containsString="0" containsNumber="1" minValue="0" maxValue="1.0593220338983051E-3"/>
    </cacheField>
    <cacheField name="CPA" numFmtId="2">
      <sharedItems containsMixedTypes="1" containsNumber="1" minValue="0" maxValue="352.44999890000003" count="503">
        <n v="1.4299999480000001"/>
        <s v=" "/>
        <n v="1.289999962"/>
        <n v="0"/>
        <n v="1.269999981"/>
        <n v="10.280000210000001"/>
        <n v="4.6300001139999996"/>
        <n v="3.0599999430000002"/>
        <n v="2.9800000190000002"/>
        <n v="1.690000057"/>
        <n v="8.4700001480000005"/>
        <n v="1.5299999710000001"/>
        <n v="18.06999969"/>
        <n v="1.6100000139999999"/>
        <n v="9.4300000669999999"/>
        <n v="2.7999999519999998"/>
        <n v="1.1299999949999999"/>
        <n v="5.7300000190000002"/>
        <n v="5.6299999950000004"/>
        <n v="1.460000038"/>
        <n v="2.8399999139999998"/>
        <n v="1.3500000240000001"/>
        <n v="10.03000009"/>
        <n v="6.7633334400000003"/>
        <n v="1.3899999860000001"/>
        <n v="1.5700000519999999"/>
        <n v="1.4099999670000001"/>
        <n v="16.665000020000001"/>
        <n v="3.340000093"/>
        <n v="5.2100000380000004"/>
        <n v="9.1199998860000004"/>
        <n v="38.63999999"/>
        <n v="1.5800000430000001"/>
        <n v="2.9000000950000002"/>
        <n v="13.41000009"/>
        <n v="0.86000001400000003"/>
        <n v="10.77000046"/>
        <n v="58.160000439999997"/>
        <n v="10.61999977"/>
        <n v="5.4600000380000004"/>
        <n v="20.17999983"/>
        <n v="176.37999769999999"/>
        <n v="34.390000460000003"/>
        <n v="5.4900000100000002"/>
        <n v="51.97000027"/>
        <n v="1.1499999759999999"/>
        <n v="3.1800000669999999"/>
        <n v="0.980000019"/>
        <n v="1.480000049"/>
        <n v="2.9399999380000001"/>
        <n v="4.6000000239999999"/>
        <n v="10.96000051"/>
        <n v="2.3599998950000001"/>
        <n v="3.7200000289999999"/>
        <n v="12.06000006"/>
        <n v="27.729999540000001"/>
        <n v="6.3400001530000001"/>
        <n v="4.5900000329999999"/>
        <n v="0.49000000999999999"/>
        <n v="1.6799999480000001"/>
        <n v="25.419999359999998"/>
        <n v="3.3100000619999999"/>
        <n v="4.98999989"/>
        <n v="9.4799998999999993"/>
        <n v="10.56999969"/>
        <n v="3.2000000480000002"/>
        <n v="0.56999999300000004"/>
        <n v="1.809999943"/>
        <n v="1.1799999480000001"/>
        <n v="4.7300000190000002"/>
        <n v="1.3799999949999999"/>
        <n v="3.579999924"/>
        <n v="1.5"/>
        <n v="0.18000000699999999"/>
        <n v="5.3899998660000001"/>
        <n v="0.99000001000000004"/>
        <n v="5.2799999709999996"/>
        <n v="1.0499999520000001"/>
        <n v="1.3400000329999999"/>
        <n v="1.8300000430000001"/>
        <n v="4.5299999709999996"/>
        <n v="3.0900000329999999"/>
        <n v="7.5400001999999997"/>
        <n v="2.6500000950000002"/>
        <n v="4.1300001139999996"/>
        <n v="0.72000002900000004"/>
        <n v="2.75"/>
        <n v="1.730000019"/>
        <n v="10.229999899999999"/>
        <n v="3.9500000480000002"/>
        <n v="1.3300000430000001"/>
        <n v="1.4199999569999999"/>
        <n v="1.230000019"/>
        <n v="1.3700000050000001"/>
        <n v="5.9099999670000001"/>
        <n v="4.079999924"/>
        <n v="17.929999949999999"/>
        <n v="4.5699999330000001"/>
        <n v="67.97999978"/>
        <n v="1.6399999860000001"/>
        <n v="1.440000057"/>
        <n v="2.7300000190000002"/>
        <n v="2.3200000520000001"/>
        <n v="6.1699999569999999"/>
        <n v="4.9400000569999998"/>
        <n v="39.25000095"/>
        <n v="4.4550000430000001"/>
        <n v="1.559999943"/>
        <n v="3.210000038"/>
        <n v="2.164999962"/>
        <n v="4.6599998469999999"/>
        <n v="1.539999962"/>
        <n v="4.2899999619999996"/>
        <n v="3.25"/>
        <n v="2.619999886"/>
        <n v="0.79500001649999996"/>
        <n v="3.1500000950000002"/>
        <n v="1.5099999900000001"/>
        <n v="12.369999890000001"/>
        <n v="18.146428285714286"/>
        <n v="24.48"/>
        <n v="43.165000560000003"/>
        <n v="80.954999549999997"/>
        <n v="23.676999860000002"/>
        <n v="37.644117535294122"/>
        <n v="1.5900000329999999"/>
        <n v="17.656666716666667"/>
        <n v="17.150000071428572"/>
        <n v="8.2600000500000004"/>
        <n v="11.707142657142857"/>
        <n v="105.1800003"/>
        <n v="35.730000259999997"/>
        <n v="53.959999850000003"/>
        <n v="39.332499499999997"/>
        <n v="26.569999459999998"/>
        <n v="31.029999970000002"/>
        <n v="78.920000200000004"/>
        <n v="36.530000209999997"/>
        <n v="28.85000002"/>
        <n v="28.63444428888889"/>
        <n v="7.8999999760000001"/>
        <n v="62.060000420000001"/>
        <n v="2.0999999049999998"/>
        <n v="7.0700002299999998"/>
        <n v="11.86500013"/>
        <n v="33.825000285000002"/>
        <n v="26.130000055"/>
        <n v="13.0400002"/>
        <n v="38.389999750000001"/>
        <n v="69.38499985"/>
        <n v="37.197143042857142"/>
        <n v="5.1400001050000004"/>
        <n v="54.139999549999999"/>
        <n v="27.049999355000001"/>
        <n v="7.8000000719999996"/>
        <n v="51.221428985714283"/>
        <n v="140.49499975000001"/>
        <n v="23.02400016"/>
        <n v="27.471250250000001"/>
        <n v="52.019999859999999"/>
        <n v="2.9424999949999999"/>
        <n v="21.106667003333332"/>
        <n v="65.229999960000001"/>
        <n v="48.609999780000003"/>
        <n v="6.9599998599999999"/>
        <n v="1.6599999670000001"/>
        <n v="4.1100001334999998"/>
        <n v="9.2299998999999993"/>
        <n v="34.229999720000002"/>
        <n v="20.209999400000001"/>
        <n v="29.719999909999999"/>
        <n v="38.589999679999998"/>
        <n v="21.849999789999998"/>
        <n v="55.119999550000003"/>
        <n v="14.87500024"/>
        <n v="76.439999580000006"/>
        <n v="5.9000000950000002"/>
        <n v="26.819999809999999"/>
        <n v="16.417500287500001"/>
        <n v="32.240000250000001"/>
        <n v="30.6999999875"/>
        <n v="5.8800000333333342"/>
        <n v="38.549999360000001"/>
        <n v="89.760000469999994"/>
        <n v="63.043332800000002"/>
        <n v="22.59000043"/>
        <n v="96.8999989"/>
        <n v="37.130000109999997"/>
        <n v="53.15999961"/>
        <n v="96.464999750000004"/>
        <n v="39.353333133333329"/>
        <n v="12.580000399999999"/>
        <n v="28.049999589999999"/>
        <n v="41.740000604999999"/>
        <n v="30.479999899999999"/>
        <n v="20.299999830000001"/>
        <n v="131.5799983"/>
        <n v="64.469999310000006"/>
        <n v="15.075000285"/>
        <n v="31.125000119999999"/>
        <n v="78.039999839999993"/>
        <n v="22.42999983"/>
        <n v="23.219999990000002"/>
        <n v="41.71999967"/>
        <n v="57.37"/>
        <n v="17.36999965"/>
        <n v="177.88999920000001"/>
        <n v="66.770000100000004"/>
        <n v="52.5724997875"/>
        <n v="232.37000080000001"/>
        <n v="23.877500325"/>
        <n v="36.155000149999999"/>
        <n v="3.0699999729999998"/>
        <n v="127.1250019"/>
        <n v="34.230000259999997"/>
        <n v="25.26000011"/>
        <n v="37.996667066666667"/>
        <n v="40.366666066666667"/>
        <n v="49.350000084999998"/>
        <n v="8.8000000719999996"/>
        <n v="9.9299999480000007"/>
        <n v="26.694999695"/>
        <n v="3.7699999809999998"/>
        <n v="24.179999949999999"/>
        <n v="76.899999679999993"/>
        <n v="14.520000100000001"/>
        <n v="9.6100001924999994"/>
        <n v="20.643333316666666"/>
        <n v="70.410000800000006"/>
        <n v="24.780000210000001"/>
        <n v="29.53999937"/>
        <n v="37.849999789999998"/>
        <n v="24.190000300000001"/>
        <n v="163.36000000000001"/>
        <n v="58.140000049999998"/>
        <n v="29.309999820000002"/>
        <n v="58.169999799999999"/>
        <n v="60.899999139999998"/>
        <n v="40.020000930000002"/>
        <n v="130.03499919999999"/>
        <n v="59.91166668333333"/>
        <n v="52.854999800000002"/>
        <n v="10.66000009"/>
        <n v="71.650000449999993"/>
        <n v="117.55999970000001"/>
        <n v="143.4300001"/>
        <n v="9.6599998469999999"/>
        <n v="41.599999833333335"/>
        <n v="44.959999966666665"/>
        <n v="9.6799999499999991"/>
        <n v="7.7100000380000004"/>
        <n v="87.789999600000002"/>
        <n v="8.8350000400000006"/>
        <n v="49.600000139999999"/>
        <n v="63.464999800000001"/>
        <n v="179.620001"/>
        <n v="58.5999999"/>
        <n v="39.72999978"/>
        <n v="19.11000001"/>
        <n v="15.810000179999999"/>
        <n v="70.485001100000005"/>
        <n v="60.760000230000003"/>
        <n v="12.630000109999999"/>
        <n v="81.360000249999999"/>
        <n v="16.470000030000001"/>
        <n v="60.729999659999997"/>
        <n v="74.830001350000003"/>
        <n v="36.480000500000003"/>
        <n v="7.8799999950000004"/>
        <n v="123.5500004"/>
        <n v="135.75000120000001"/>
        <n v="58.440000050000002"/>
        <n v="121.88666696666667"/>
        <n v="128.27999879999999"/>
        <n v="10.779999849999999"/>
        <n v="66.849999299999993"/>
        <n v="86.197143142857144"/>
        <n v="220.559999"/>
        <n v="33.899999979999997"/>
        <n v="106.32333440000001"/>
        <n v="124.32000005"/>
        <n v="40.930000069999998"/>
        <n v="134.11999750000001"/>
        <n v="25.847499899999999"/>
        <n v="120.2999994"/>
        <n v="131.78000059999999"/>
        <n v="29.91000021"/>
        <n v="46.790000200000001"/>
        <n v="42.869999900000003"/>
        <n v="33.930000309999997"/>
        <n v="36.440000300000001"/>
        <n v="41.420000080000001"/>
        <n v="126.995001"/>
        <n v="16.939999579999999"/>
        <n v="71.354999250000006"/>
        <n v="29.379999399999999"/>
        <n v="34.697499825000001"/>
        <n v="42.284000379999995"/>
        <n v="17.3299998"/>
        <n v="32.309999939999997"/>
        <n v="352.44999890000003"/>
        <n v="264.58999970000002"/>
        <n v="79.299999900000003"/>
        <n v="4.8200000520000001"/>
        <n v="37.259999989999997"/>
        <n v="16.38"/>
        <n v="22.670000309999999"/>
        <n v="16.1024999925"/>
        <n v="22.109999774999999"/>
        <n v="38.180000069999998"/>
        <n v="53.610000400000004"/>
        <n v="77.590000270000004"/>
        <n v="23.389999984999999"/>
        <n v="153.11999750000001"/>
        <n v="55.990000250000001"/>
        <n v="10.5133334"/>
        <n v="147.33999900000001"/>
        <n v="79.785001050000005"/>
        <n v="117.6299995"/>
        <n v="85.989998799999995"/>
        <n v="18.100000380000001"/>
        <n v="42.417499550000002"/>
        <n v="62.14000034"/>
        <n v="76.680000250000006"/>
        <n v="65.04999926666666"/>
        <n v="12.78666671"/>
        <n v="24.56999969"/>
        <n v="24.803333439999999"/>
        <n v="16.734999535"/>
        <n v="4.2200000290000004"/>
        <n v="4.5600000620000003"/>
        <n v="35.059999820000002"/>
        <n v="41.63"/>
        <n v="37.850000379999997"/>
        <n v="42.744999700000001"/>
        <n v="47.100000246153847"/>
        <n v="59.68333366666667"/>
        <n v="125.23999876666666"/>
        <n v="42.947999809999999"/>
        <n v="95.850000499999993"/>
        <n v="37.756666533333338"/>
        <n v="50.72000062"/>
        <n v="25.220000389999999"/>
        <n v="9.9700002669999996"/>
        <n v="30.772500475000001"/>
        <n v="33.039999369999997"/>
        <n v="17.503333283333333"/>
        <n v="85.814998599999996"/>
        <n v="19.189999700000001"/>
        <n v="20.343332570000001"/>
        <n v="56.169999959999998"/>
        <n v="99.179998400000002"/>
        <n v="23.970000389999999"/>
        <n v="2.6200000050000001"/>
        <n v="2.7799999710000001"/>
        <n v="42.370000359999999"/>
        <n v="10.54999995"/>
        <n v="38.029999609999997"/>
        <n v="157.14999915000001"/>
        <n v="37.320001240000003"/>
        <n v="2.6299999949999999"/>
        <n v="87.936666899999992"/>
        <n v="88.554999649999999"/>
        <n v="85.854999849999999"/>
        <n v="33.229999419999999"/>
        <n v="234.65999819999999"/>
        <n v="99.276666033333342"/>
        <n v="31.009999629999999"/>
        <n v="84.659998889999997"/>
        <n v="42.255000115000001"/>
        <n v="50.11000001"/>
        <n v="66.790000680000006"/>
        <n v="62.869999890000003"/>
        <n v="71.580000519999999"/>
        <n v="350.50999569999999"/>
        <n v="42.737999719999998"/>
        <n v="9.3499999050000007"/>
        <n v="35.136667133333333"/>
        <n v="42.410000320000002"/>
        <n v="73.470000275000004"/>
        <n v="167.0499997"/>
        <n v="61.900000499999997"/>
        <n v="65.179999710000004"/>
        <n v="46.430000069999998"/>
        <n v="34.279999795000002"/>
        <n v="63.806665333333335"/>
        <n v="80.467500099999995"/>
        <n v="97.404999399999994"/>
        <n v="78.459999319999994"/>
        <n v="53.62999868"/>
        <n v="243.7699978"/>
        <n v="131.44499905000001"/>
        <n v="4.0500001909999996"/>
        <n v="16.409999849999998"/>
        <n v="20.43999964"/>
        <n v="44.105000080000003"/>
        <n v="17.821666633333333"/>
        <n v="127.2099985"/>
        <n v="117.3400005"/>
        <n v="170.20499964999999"/>
        <n v="33.470000390000003"/>
        <n v="66.279999849999996"/>
        <n v="48.180000069999998"/>
        <n v="78.059999649999995"/>
        <n v="40.370000240000003"/>
        <n v="188.51000020000001"/>
        <n v="33.14000034"/>
        <n v="21.10999966"/>
        <n v="38.350000620000003"/>
        <n v="30.840000270000001"/>
        <n v="14.58999991"/>
        <n v="79.466666899999993"/>
        <n v="132.73000070000001"/>
        <n v="201.6000042"/>
        <n v="232.53999905000001"/>
        <n v="287.69000299999999"/>
        <n v="157.95000254999999"/>
        <n v="141.2450005"/>
        <n v="82.440000866666665"/>
        <n v="5.6000000849999996"/>
        <n v="59.905999659999999"/>
        <n v="35.105000275000002"/>
        <n v="50.440000550000001"/>
        <n v="73.749999639999999"/>
        <n v="145.81999740000001"/>
        <n v="125.2700011"/>
        <n v="38.629999759999997"/>
        <n v="175.9700005"/>
        <n v="259.17999880000002"/>
        <n v="190.32999760000001"/>
        <n v="102.39000065"/>
        <n v="67.130001070000006"/>
        <n v="46.133749625"/>
        <n v="198.0899972"/>
        <n v="91.000000540000002"/>
        <n v="99.303333566666666"/>
        <n v="12.713333310000001"/>
        <n v="142.05000250000001"/>
        <n v="159.29999900000001"/>
        <n v="193.65999909999999"/>
        <n v="1.8824999630000001"/>
        <n v="2.6900000569999998"/>
        <n v="27.329999690000001"/>
        <n v="20.336666346666664"/>
        <n v="15.556666453333333"/>
        <n v="3.199999928"/>
        <n v="32.090000150000002"/>
        <n v="2.960000038"/>
        <n v="8.4700000899999992"/>
        <n v="46.649999260000001"/>
        <n v="19.820000050000001"/>
        <n v="11.519999500000001"/>
        <n v="12.149999619999999"/>
        <n v="1.4900000099999999"/>
        <n v="60.229999069999998"/>
        <n v="28.719999550000001"/>
        <n v="17.434999824999998"/>
        <n v="13.50000036"/>
        <n v="9.2599998709999998"/>
        <n v="25.750000239999999"/>
        <n v="7.26000011"/>
        <n v="18.419999959999998"/>
        <n v="50.5"/>
        <n v="41.069999574999997"/>
        <n v="36.600000379999997"/>
        <n v="28.420000725000001"/>
        <n v="5.7149999149999999"/>
        <n v="49.760001185"/>
        <n v="55.390001050000002"/>
        <n v="35.540000319999997"/>
        <n v="29.910000449999998"/>
        <n v="138.92000060000001"/>
        <n v="14.48000044"/>
        <n v="18.200000022222223"/>
        <n v="37.329999833333332"/>
        <n v="79.106665833333338"/>
        <n v="47.879999519999998"/>
        <n v="40.165999219999996"/>
        <n v="52.609998449999999"/>
        <n v="127.3200028"/>
        <n v="68.670000079999994"/>
        <n v="9.4099999669999992"/>
        <n v="38.799999894999999"/>
        <n v="16.730000019999999"/>
        <n v="35.249999642857141"/>
        <n v="24.79888831111111"/>
        <n v="58.277500500000002"/>
        <n v="108.8899983"/>
        <n v="323.06000710000001"/>
        <n v="43.995000840000003"/>
        <n v="105.4500008"/>
        <n v="30.104999920000001"/>
        <n v="62.31999922"/>
        <n v="279.21999499999998"/>
        <n v="39.512500574999997"/>
        <n v="18.005000355"/>
        <n v="32.5279995"/>
        <n v="83.437498575000006"/>
        <n v="58.147500125000001"/>
        <n v="47.690000060000003"/>
        <n v="179.0949985"/>
        <n v="99.355000250000003"/>
        <n v="82.804999350000003"/>
      </sharedItems>
    </cacheField>
    <cacheField name="CCR" numFmtId="10">
      <sharedItems containsSemiMixedTypes="0" containsString="0" containsNumber="1" minValue="0" maxValue="2"/>
    </cacheField>
    <cacheField name="Enquiry_Rate" numFmtId="2">
      <sharedItems containsSemiMixedTypes="0" containsString="0" containsNumber="1" minValue="0" maxValue="400"/>
    </cacheField>
  </cacheFields>
  <extLst>
    <ext xmlns:x14="http://schemas.microsoft.com/office/spreadsheetml/2009/9/main" uri="{725AE2AE-9491-48be-B2B4-4EB974FC3084}">
      <x14:pivotCacheDefinition pivotCacheId="458486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3">
  <r>
    <n v="708746"/>
    <x v="0"/>
    <n v="103916"/>
    <x v="0"/>
    <x v="0"/>
    <x v="0"/>
    <n v="7350"/>
    <n v="1"/>
    <x v="0"/>
    <n v="2"/>
    <n v="1"/>
    <n v="0.19455781605442177"/>
    <x v="0"/>
    <n v="1.3605442176870748E-4"/>
    <x v="0"/>
    <n v="1"/>
    <n v="200"/>
  </r>
  <r>
    <n v="708749"/>
    <x v="0"/>
    <n v="103917"/>
    <x v="0"/>
    <x v="0"/>
    <x v="1"/>
    <n v="17861"/>
    <n v="2"/>
    <x v="1"/>
    <n v="2"/>
    <n v="0"/>
    <n v="0.10189799132187448"/>
    <x v="1"/>
    <n v="1.1197581322434354E-4"/>
    <x v="1"/>
    <n v="0"/>
    <n v="100"/>
  </r>
  <r>
    <n v="708771"/>
    <x v="0"/>
    <n v="103920"/>
    <x v="0"/>
    <x v="0"/>
    <x v="2"/>
    <n v="693"/>
    <n v="0"/>
    <x v="2"/>
    <n v="1"/>
    <n v="0"/>
    <n v="0"/>
    <x v="2"/>
    <n v="0"/>
    <x v="1"/>
    <n v="0"/>
    <n v="0"/>
  </r>
  <r>
    <n v="708815"/>
    <x v="0"/>
    <n v="103928"/>
    <x v="0"/>
    <x v="0"/>
    <x v="3"/>
    <n v="4259"/>
    <n v="1"/>
    <x v="3"/>
    <n v="1"/>
    <n v="0"/>
    <n v="0.29349612585113877"/>
    <x v="3"/>
    <n v="2.3479690068091102E-4"/>
    <x v="1"/>
    <n v="0"/>
    <n v="100"/>
  </r>
  <r>
    <n v="708818"/>
    <x v="0"/>
    <n v="103928"/>
    <x v="0"/>
    <x v="0"/>
    <x v="3"/>
    <n v="4133"/>
    <n v="1"/>
    <x v="4"/>
    <n v="1"/>
    <n v="1"/>
    <n v="0.31212193612388095"/>
    <x v="4"/>
    <n v="2.4195499637067505E-4"/>
    <x v="2"/>
    <n v="1"/>
    <n v="100"/>
  </r>
  <r>
    <n v="708820"/>
    <x v="0"/>
    <n v="103929"/>
    <x v="0"/>
    <x v="0"/>
    <x v="4"/>
    <n v="1915"/>
    <n v="0"/>
    <x v="2"/>
    <n v="1"/>
    <n v="1"/>
    <n v="0"/>
    <x v="2"/>
    <n v="0"/>
    <x v="3"/>
    <n v="0"/>
    <n v="0"/>
  </r>
  <r>
    <n v="708889"/>
    <x v="0"/>
    <n v="103940"/>
    <x v="0"/>
    <x v="0"/>
    <x v="0"/>
    <n v="15615"/>
    <n v="3"/>
    <x v="5"/>
    <n v="1"/>
    <n v="0"/>
    <n v="0.30547550310598787"/>
    <x v="5"/>
    <n v="1.9212295869356388E-4"/>
    <x v="1"/>
    <n v="0"/>
    <n v="33.333333333333329"/>
  </r>
  <r>
    <n v="708895"/>
    <x v="0"/>
    <n v="103941"/>
    <x v="0"/>
    <x v="0"/>
    <x v="1"/>
    <n v="10951"/>
    <n v="1"/>
    <x v="6"/>
    <n v="1"/>
    <n v="1"/>
    <n v="0.11597114245274404"/>
    <x v="6"/>
    <n v="9.1315861565153872E-5"/>
    <x v="4"/>
    <n v="1"/>
    <n v="100"/>
  </r>
  <r>
    <n v="708953"/>
    <x v="0"/>
    <n v="103951"/>
    <x v="0"/>
    <x v="0"/>
    <x v="5"/>
    <n v="2355"/>
    <n v="1"/>
    <x v="7"/>
    <n v="1"/>
    <n v="0"/>
    <n v="0.63694267515923564"/>
    <x v="7"/>
    <n v="4.2462845010615713E-4"/>
    <x v="1"/>
    <n v="0"/>
    <n v="100"/>
  </r>
  <r>
    <n v="708958"/>
    <x v="0"/>
    <n v="103952"/>
    <x v="0"/>
    <x v="0"/>
    <x v="3"/>
    <n v="9502"/>
    <n v="3"/>
    <x v="8"/>
    <n v="1"/>
    <n v="0"/>
    <n v="0.33256156251315511"/>
    <x v="8"/>
    <n v="3.1572300568301408E-4"/>
    <x v="1"/>
    <n v="0"/>
    <n v="33.333333333333329"/>
  </r>
  <r>
    <n v="708979"/>
    <x v="0"/>
    <n v="103955"/>
    <x v="0"/>
    <x v="0"/>
    <x v="6"/>
    <n v="1224"/>
    <n v="0"/>
    <x v="2"/>
    <n v="1"/>
    <n v="0"/>
    <n v="0"/>
    <x v="2"/>
    <n v="0"/>
    <x v="1"/>
    <n v="0"/>
    <n v="0"/>
  </r>
  <r>
    <n v="709023"/>
    <x v="0"/>
    <n v="103962"/>
    <x v="0"/>
    <x v="0"/>
    <x v="7"/>
    <n v="735"/>
    <n v="0"/>
    <x v="2"/>
    <n v="1"/>
    <n v="0"/>
    <n v="0"/>
    <x v="2"/>
    <n v="0"/>
    <x v="1"/>
    <n v="0"/>
    <n v="0"/>
  </r>
  <r>
    <n v="709038"/>
    <x v="0"/>
    <n v="103965"/>
    <x v="0"/>
    <x v="0"/>
    <x v="1"/>
    <n v="5117"/>
    <n v="0"/>
    <x v="2"/>
    <n v="1"/>
    <n v="0"/>
    <n v="0"/>
    <x v="2"/>
    <n v="0"/>
    <x v="1"/>
    <n v="0"/>
    <n v="0"/>
  </r>
  <r>
    <n v="709040"/>
    <x v="0"/>
    <n v="103965"/>
    <x v="0"/>
    <x v="0"/>
    <x v="1"/>
    <n v="5120"/>
    <n v="0"/>
    <x v="2"/>
    <n v="1"/>
    <n v="0"/>
    <n v="0"/>
    <x v="2"/>
    <n v="0"/>
    <x v="1"/>
    <n v="0"/>
    <n v="0"/>
  </r>
  <r>
    <n v="709059"/>
    <x v="0"/>
    <n v="103968"/>
    <x v="0"/>
    <x v="0"/>
    <x v="2"/>
    <n v="14669"/>
    <n v="7"/>
    <x v="9"/>
    <n v="1"/>
    <n v="1"/>
    <n v="0.70079761469766177"/>
    <x v="9"/>
    <n v="4.77196809598473E-4"/>
    <x v="5"/>
    <n v="0.14285714285714285"/>
    <n v="14.285714285714285"/>
  </r>
  <r>
    <n v="709105"/>
    <x v="0"/>
    <n v="103976"/>
    <x v="0"/>
    <x v="0"/>
    <x v="3"/>
    <n v="1241"/>
    <n v="0"/>
    <x v="2"/>
    <n v="1"/>
    <n v="1"/>
    <n v="0"/>
    <x v="2"/>
    <n v="0"/>
    <x v="3"/>
    <n v="0"/>
    <n v="0"/>
  </r>
  <r>
    <n v="709115"/>
    <x v="0"/>
    <n v="103978"/>
    <x v="0"/>
    <x v="0"/>
    <x v="8"/>
    <n v="2305"/>
    <n v="1"/>
    <x v="10"/>
    <n v="1"/>
    <n v="0"/>
    <n v="0.24728850021691978"/>
    <x v="10"/>
    <n v="4.3383947939262471E-4"/>
    <x v="1"/>
    <n v="0"/>
    <n v="100"/>
  </r>
  <r>
    <n v="709124"/>
    <x v="0"/>
    <n v="103979"/>
    <x v="0"/>
    <x v="0"/>
    <x v="6"/>
    <n v="1024"/>
    <n v="0"/>
    <x v="2"/>
    <n v="1"/>
    <n v="1"/>
    <n v="0"/>
    <x v="2"/>
    <n v="0"/>
    <x v="3"/>
    <n v="0"/>
    <n v="0"/>
  </r>
  <r>
    <n v="709179"/>
    <x v="0"/>
    <n v="103988"/>
    <x v="1"/>
    <x v="0"/>
    <x v="0"/>
    <n v="4627"/>
    <n v="1"/>
    <x v="11"/>
    <n v="1"/>
    <n v="0"/>
    <n v="0.36524747287659393"/>
    <x v="11"/>
    <n v="2.1612275772638859E-4"/>
    <x v="1"/>
    <n v="0"/>
    <n v="100"/>
  </r>
  <r>
    <n v="709183"/>
    <x v="0"/>
    <n v="103989"/>
    <x v="1"/>
    <x v="0"/>
    <x v="1"/>
    <n v="21026"/>
    <n v="4"/>
    <x v="12"/>
    <n v="2"/>
    <n v="1"/>
    <n v="0.22020356292209642"/>
    <x v="12"/>
    <n v="1.9024065442785123E-4"/>
    <x v="6"/>
    <n v="0.25"/>
    <n v="50"/>
  </r>
  <r>
    <n v="709320"/>
    <x v="0"/>
    <n v="104012"/>
    <x v="1"/>
    <x v="0"/>
    <x v="0"/>
    <n v="1422"/>
    <n v="0"/>
    <x v="2"/>
    <n v="1"/>
    <n v="1"/>
    <n v="0"/>
    <x v="2"/>
    <n v="0"/>
    <x v="3"/>
    <n v="0"/>
    <n v="0"/>
  </r>
  <r>
    <n v="709323"/>
    <x v="0"/>
    <n v="104012"/>
    <x v="1"/>
    <x v="0"/>
    <x v="0"/>
    <n v="7132"/>
    <n v="2"/>
    <x v="13"/>
    <n v="1"/>
    <n v="0"/>
    <n v="0.36595623878295008"/>
    <x v="13"/>
    <n v="2.8042624789680314E-4"/>
    <x v="1"/>
    <n v="0"/>
    <n v="50"/>
  </r>
  <r>
    <n v="709326"/>
    <x v="0"/>
    <n v="104013"/>
    <x v="1"/>
    <x v="0"/>
    <x v="1"/>
    <n v="12190"/>
    <n v="2"/>
    <x v="14"/>
    <n v="1"/>
    <n v="0"/>
    <n v="0.25020508219852333"/>
    <x v="14"/>
    <n v="1.6406890894175554E-4"/>
    <x v="1"/>
    <n v="0"/>
    <n v="50"/>
  </r>
  <r>
    <n v="709327"/>
    <x v="0"/>
    <n v="104013"/>
    <x v="1"/>
    <x v="0"/>
    <x v="1"/>
    <n v="12193"/>
    <n v="2"/>
    <x v="15"/>
    <n v="1"/>
    <n v="1"/>
    <n v="0.25096366300336259"/>
    <x v="15"/>
    <n v="1.640285409661281E-4"/>
    <x v="7"/>
    <n v="0.5"/>
    <n v="50"/>
  </r>
  <r>
    <n v="709328"/>
    <x v="0"/>
    <n v="104013"/>
    <x v="1"/>
    <x v="0"/>
    <x v="1"/>
    <n v="3332"/>
    <n v="0"/>
    <x v="2"/>
    <n v="1"/>
    <n v="1"/>
    <n v="0"/>
    <x v="2"/>
    <n v="0"/>
    <x v="3"/>
    <n v="0"/>
    <n v="0"/>
  </r>
  <r>
    <n v="709455"/>
    <x v="0"/>
    <n v="104034"/>
    <x v="1"/>
    <x v="0"/>
    <x v="7"/>
    <n v="559"/>
    <n v="0"/>
    <x v="2"/>
    <n v="1"/>
    <n v="0"/>
    <n v="0"/>
    <x v="2"/>
    <n v="0"/>
    <x v="1"/>
    <n v="0"/>
    <n v="0"/>
  </r>
  <r>
    <n v="709544"/>
    <x v="0"/>
    <n v="104049"/>
    <x v="1"/>
    <x v="0"/>
    <x v="4"/>
    <n v="7440"/>
    <n v="2"/>
    <x v="16"/>
    <n v="1"/>
    <n v="1"/>
    <n v="0.40053763696236561"/>
    <x v="16"/>
    <n v="2.6881720430107527E-4"/>
    <x v="8"/>
    <n v="0.5"/>
    <n v="50"/>
  </r>
  <r>
    <n v="709614"/>
    <x v="0"/>
    <n v="104061"/>
    <x v="2"/>
    <x v="0"/>
    <x v="1"/>
    <n v="19113"/>
    <n v="4"/>
    <x v="17"/>
    <n v="1"/>
    <n v="0"/>
    <n v="0.28880866949196882"/>
    <x v="17"/>
    <n v="2.0928164076806363E-4"/>
    <x v="1"/>
    <n v="0"/>
    <n v="25"/>
  </r>
  <r>
    <n v="709756"/>
    <x v="0"/>
    <n v="104085"/>
    <x v="2"/>
    <x v="0"/>
    <x v="1"/>
    <n v="10976"/>
    <n v="2"/>
    <x v="11"/>
    <n v="1"/>
    <n v="1"/>
    <n v="0.15397230840014578"/>
    <x v="18"/>
    <n v="1.8221574344023323E-4"/>
    <x v="9"/>
    <n v="0.5"/>
    <n v="50"/>
  </r>
  <r>
    <n v="709761"/>
    <x v="0"/>
    <n v="104085"/>
    <x v="2"/>
    <x v="0"/>
    <x v="1"/>
    <n v="2861"/>
    <n v="0"/>
    <x v="2"/>
    <n v="1"/>
    <n v="0"/>
    <n v="0"/>
    <x v="2"/>
    <n v="0"/>
    <x v="1"/>
    <n v="0"/>
    <n v="0"/>
  </r>
  <r>
    <n v="709899"/>
    <x v="0"/>
    <n v="104108"/>
    <x v="2"/>
    <x v="0"/>
    <x v="0"/>
    <n v="1398"/>
    <n v="0"/>
    <x v="2"/>
    <n v="1"/>
    <n v="1"/>
    <n v="0"/>
    <x v="2"/>
    <n v="0"/>
    <x v="3"/>
    <n v="0"/>
    <n v="0"/>
  </r>
  <r>
    <n v="709901"/>
    <x v="0"/>
    <n v="104109"/>
    <x v="2"/>
    <x v="0"/>
    <x v="1"/>
    <n v="23817"/>
    <n v="7"/>
    <x v="18"/>
    <n v="1"/>
    <n v="1"/>
    <n v="0.35562833891757989"/>
    <x v="19"/>
    <n v="2.9390771297812488E-4"/>
    <x v="10"/>
    <n v="0.14285714285714285"/>
    <n v="14.285714285714285"/>
  </r>
  <r>
    <n v="710045"/>
    <x v="0"/>
    <n v="104133"/>
    <x v="3"/>
    <x v="0"/>
    <x v="1"/>
    <n v="47224"/>
    <n v="12"/>
    <x v="19"/>
    <n v="1"/>
    <n v="0"/>
    <n v="0.33499915657292906"/>
    <x v="20"/>
    <n v="2.5410808063696424E-4"/>
    <x v="1"/>
    <n v="0"/>
    <n v="8.3333333333333321"/>
  </r>
  <r>
    <n v="710088"/>
    <x v="0"/>
    <n v="104140"/>
    <x v="3"/>
    <x v="0"/>
    <x v="9"/>
    <n v="2283"/>
    <n v="1"/>
    <x v="20"/>
    <n v="1"/>
    <n v="0"/>
    <n v="0.64388963162505475"/>
    <x v="21"/>
    <n v="4.3802014892685063E-4"/>
    <x v="1"/>
    <n v="0"/>
    <n v="100"/>
  </r>
  <r>
    <n v="710360"/>
    <x v="0"/>
    <n v="104185"/>
    <x v="3"/>
    <x v="0"/>
    <x v="10"/>
    <n v="2182"/>
    <n v="1"/>
    <x v="21"/>
    <n v="1"/>
    <n v="1"/>
    <n v="0.70119155407882672"/>
    <x v="22"/>
    <n v="4.5829514207149406E-4"/>
    <x v="11"/>
    <n v="1"/>
    <n v="100"/>
  </r>
  <r>
    <n v="710477"/>
    <x v="0"/>
    <n v="104205"/>
    <x v="0"/>
    <x v="1"/>
    <x v="1"/>
    <n v="2654"/>
    <n v="0"/>
    <x v="2"/>
    <n v="1"/>
    <n v="1"/>
    <n v="0"/>
    <x v="2"/>
    <n v="0"/>
    <x v="3"/>
    <n v="0"/>
    <n v="0"/>
  </r>
  <r>
    <n v="710480"/>
    <x v="0"/>
    <n v="104205"/>
    <x v="0"/>
    <x v="1"/>
    <x v="1"/>
    <n v="57665"/>
    <n v="14"/>
    <x v="22"/>
    <n v="1"/>
    <n v="1"/>
    <n v="0.31336165247550507"/>
    <x v="23"/>
    <n v="2.4278158328275385E-4"/>
    <x v="12"/>
    <n v="7.1428571428571425E-2"/>
    <n v="7.1428571428571423"/>
  </r>
  <r>
    <n v="710571"/>
    <x v="0"/>
    <n v="104220"/>
    <x v="0"/>
    <x v="1"/>
    <x v="11"/>
    <n v="3091"/>
    <n v="1"/>
    <x v="23"/>
    <n v="1"/>
    <n v="1"/>
    <n v="0.52086703785182786"/>
    <x v="24"/>
    <n v="3.2351989647363315E-4"/>
    <x v="13"/>
    <n v="1"/>
    <n v="100"/>
  </r>
  <r>
    <n v="710617"/>
    <x v="0"/>
    <n v="104228"/>
    <x v="0"/>
    <x v="1"/>
    <x v="0"/>
    <n v="5014"/>
    <n v="1"/>
    <x v="24"/>
    <n v="1"/>
    <n v="0"/>
    <n v="0.23733547207818109"/>
    <x v="25"/>
    <n v="1.9944156362185878E-4"/>
    <x v="1"/>
    <n v="0"/>
    <n v="100"/>
  </r>
  <r>
    <n v="710623"/>
    <x v="0"/>
    <n v="104229"/>
    <x v="0"/>
    <x v="1"/>
    <x v="1"/>
    <n v="38726"/>
    <n v="7"/>
    <x v="25"/>
    <n v="1"/>
    <n v="0"/>
    <n v="0.23808294858751225"/>
    <x v="26"/>
    <n v="1.8075711408356142E-4"/>
    <x v="1"/>
    <n v="0"/>
    <n v="14.285714285714285"/>
  </r>
  <r>
    <n v="710628"/>
    <x v="0"/>
    <n v="104230"/>
    <x v="0"/>
    <x v="1"/>
    <x v="12"/>
    <n v="1473"/>
    <n v="0"/>
    <x v="2"/>
    <n v="1"/>
    <n v="0"/>
    <n v="0"/>
    <x v="2"/>
    <n v="0"/>
    <x v="1"/>
    <n v="0"/>
    <n v="0"/>
  </r>
  <r>
    <n v="710682"/>
    <x v="0"/>
    <n v="104239"/>
    <x v="0"/>
    <x v="1"/>
    <x v="5"/>
    <n v="1186"/>
    <n v="0"/>
    <x v="2"/>
    <n v="1"/>
    <n v="0"/>
    <n v="0"/>
    <x v="2"/>
    <n v="0"/>
    <x v="1"/>
    <n v="0"/>
    <n v="0"/>
  </r>
  <r>
    <n v="710763"/>
    <x v="0"/>
    <n v="104252"/>
    <x v="0"/>
    <x v="1"/>
    <x v="0"/>
    <n v="5369"/>
    <n v="1"/>
    <x v="26"/>
    <n v="1"/>
    <n v="0"/>
    <n v="0.28124417768672011"/>
    <x v="27"/>
    <n v="1.8625442354255913E-4"/>
    <x v="1"/>
    <n v="0"/>
    <n v="100"/>
  </r>
  <r>
    <n v="710836"/>
    <x v="0"/>
    <n v="104265"/>
    <x v="0"/>
    <x v="1"/>
    <x v="4"/>
    <n v="22221"/>
    <n v="7"/>
    <x v="27"/>
    <n v="1"/>
    <n v="1"/>
    <n v="0.42437334354889522"/>
    <x v="28"/>
    <n v="3.1501732595292742E-4"/>
    <x v="14"/>
    <n v="0.14285714285714285"/>
    <n v="14.285714285714285"/>
  </r>
  <r>
    <n v="710867"/>
    <x v="0"/>
    <n v="104270"/>
    <x v="0"/>
    <x v="1"/>
    <x v="13"/>
    <n v="1185"/>
    <n v="0"/>
    <x v="2"/>
    <n v="1"/>
    <n v="0"/>
    <n v="0"/>
    <x v="2"/>
    <n v="0"/>
    <x v="1"/>
    <n v="0"/>
    <n v="0"/>
  </r>
  <r>
    <n v="710880"/>
    <x v="0"/>
    <n v="104272"/>
    <x v="0"/>
    <x v="1"/>
    <x v="14"/>
    <n v="13019"/>
    <n v="5"/>
    <x v="28"/>
    <n v="1"/>
    <n v="0"/>
    <n v="0.53460327505952843"/>
    <x v="29"/>
    <n v="3.8405407481373376E-4"/>
    <x v="1"/>
    <n v="0"/>
    <n v="20"/>
  </r>
  <r>
    <n v="710961"/>
    <x v="0"/>
    <n v="104285"/>
    <x v="1"/>
    <x v="1"/>
    <x v="15"/>
    <n v="2508"/>
    <n v="1"/>
    <x v="29"/>
    <n v="1"/>
    <n v="0"/>
    <n v="0.48644339274322168"/>
    <x v="30"/>
    <n v="3.9872408293460925E-4"/>
    <x v="1"/>
    <n v="0"/>
    <n v="100"/>
  </r>
  <r>
    <n v="710968"/>
    <x v="0"/>
    <n v="104287"/>
    <x v="1"/>
    <x v="1"/>
    <x v="5"/>
    <n v="5864"/>
    <n v="2"/>
    <x v="30"/>
    <n v="1"/>
    <n v="1"/>
    <n v="0.47748975989085946"/>
    <x v="31"/>
    <n v="3.4106412005457026E-4"/>
    <x v="15"/>
    <n v="0.5"/>
    <n v="50"/>
  </r>
  <r>
    <n v="711217"/>
    <x v="0"/>
    <n v="104328"/>
    <x v="1"/>
    <x v="1"/>
    <x v="2"/>
    <n v="2783"/>
    <n v="1"/>
    <x v="31"/>
    <n v="1"/>
    <n v="0"/>
    <n v="0.57491916061803805"/>
    <x v="32"/>
    <n v="3.5932446999640676E-4"/>
    <x v="1"/>
    <n v="0"/>
    <n v="100"/>
  </r>
  <r>
    <n v="711623"/>
    <x v="0"/>
    <n v="104396"/>
    <x v="2"/>
    <x v="1"/>
    <x v="0"/>
    <n v="3812"/>
    <n v="1"/>
    <x v="32"/>
    <n v="2"/>
    <n v="1"/>
    <n v="0.29643231768100731"/>
    <x v="33"/>
    <n v="2.6232948583420777E-4"/>
    <x v="16"/>
    <n v="1"/>
    <n v="200"/>
  </r>
  <r>
    <n v="711764"/>
    <x v="0"/>
    <n v="104419"/>
    <x v="3"/>
    <x v="1"/>
    <x v="16"/>
    <n v="11199"/>
    <n v="4"/>
    <x v="33"/>
    <n v="1"/>
    <n v="1"/>
    <n v="0.51165282784177157"/>
    <x v="34"/>
    <n v="3.5717474774533438E-4"/>
    <x v="17"/>
    <n v="0.25"/>
    <n v="25"/>
  </r>
  <r>
    <n v="711785"/>
    <x v="0"/>
    <n v="104423"/>
    <x v="3"/>
    <x v="1"/>
    <x v="17"/>
    <n v="292"/>
    <n v="0"/>
    <x v="2"/>
    <n v="1"/>
    <n v="0"/>
    <n v="0"/>
    <x v="2"/>
    <n v="0"/>
    <x v="1"/>
    <n v="0"/>
    <n v="0"/>
  </r>
  <r>
    <n v="711877"/>
    <x v="0"/>
    <n v="104438"/>
    <x v="3"/>
    <x v="1"/>
    <x v="13"/>
    <n v="17572"/>
    <n v="7"/>
    <x v="34"/>
    <n v="1"/>
    <n v="0"/>
    <n v="0.53380377845435922"/>
    <x v="35"/>
    <n v="3.9836102890962894E-4"/>
    <x v="1"/>
    <n v="0"/>
    <n v="14.285714285714285"/>
  </r>
  <r>
    <n v="712052"/>
    <x v="0"/>
    <n v="104467"/>
    <x v="3"/>
    <x v="1"/>
    <x v="16"/>
    <n v="1448"/>
    <n v="0"/>
    <x v="2"/>
    <n v="1"/>
    <n v="1"/>
    <n v="0"/>
    <x v="2"/>
    <n v="0"/>
    <x v="3"/>
    <n v="0"/>
    <n v="0"/>
  </r>
  <r>
    <n v="734209"/>
    <x v="1"/>
    <n v="108654"/>
    <x v="0"/>
    <x v="0"/>
    <x v="16"/>
    <n v="1772"/>
    <n v="0"/>
    <x v="2"/>
    <n v="1"/>
    <n v="1"/>
    <n v="0"/>
    <x v="2"/>
    <n v="0"/>
    <x v="3"/>
    <n v="0"/>
    <n v="0"/>
  </r>
  <r>
    <n v="734210"/>
    <x v="1"/>
    <n v="108654"/>
    <x v="0"/>
    <x v="0"/>
    <x v="16"/>
    <n v="13329"/>
    <n v="4"/>
    <x v="35"/>
    <n v="1"/>
    <n v="1"/>
    <n v="0.42238727548953409"/>
    <x v="36"/>
    <n v="3.0009753169780176E-4"/>
    <x v="18"/>
    <n v="0.25"/>
    <n v="25"/>
  </r>
  <r>
    <n v="734215"/>
    <x v="1"/>
    <n v="108655"/>
    <x v="0"/>
    <x v="0"/>
    <x v="0"/>
    <n v="13659"/>
    <n v="3"/>
    <x v="36"/>
    <n v="1"/>
    <n v="0"/>
    <n v="0.28113332110696243"/>
    <x v="37"/>
    <n v="2.1963540522732265E-4"/>
    <x v="1"/>
    <n v="0"/>
    <n v="33.333333333333329"/>
  </r>
  <r>
    <n v="734243"/>
    <x v="1"/>
    <n v="108660"/>
    <x v="0"/>
    <x v="0"/>
    <x v="10"/>
    <n v="739"/>
    <n v="0"/>
    <x v="2"/>
    <n v="1"/>
    <n v="1"/>
    <n v="0"/>
    <x v="2"/>
    <n v="0"/>
    <x v="3"/>
    <n v="0"/>
    <n v="0"/>
  </r>
  <r>
    <n v="734266"/>
    <x v="1"/>
    <n v="108664"/>
    <x v="0"/>
    <x v="0"/>
    <x v="15"/>
    <n v="605"/>
    <n v="0"/>
    <x v="2"/>
    <n v="1"/>
    <n v="0"/>
    <n v="0"/>
    <x v="2"/>
    <n v="0"/>
    <x v="1"/>
    <n v="0"/>
    <n v="0"/>
  </r>
  <r>
    <n v="734272"/>
    <x v="1"/>
    <n v="108665"/>
    <x v="0"/>
    <x v="0"/>
    <x v="18"/>
    <n v="1030"/>
    <n v="0"/>
    <x v="2"/>
    <n v="1"/>
    <n v="0"/>
    <n v="0"/>
    <x v="2"/>
    <n v="0"/>
    <x v="1"/>
    <n v="0"/>
    <n v="0"/>
  </r>
  <r>
    <n v="734290"/>
    <x v="1"/>
    <n v="108668"/>
    <x v="0"/>
    <x v="0"/>
    <x v="4"/>
    <n v="5374"/>
    <n v="1"/>
    <x v="37"/>
    <n v="4"/>
    <n v="0"/>
    <n v="0.1935243695571269"/>
    <x v="38"/>
    <n v="1.8608113137327876E-4"/>
    <x v="1"/>
    <n v="0"/>
    <n v="400"/>
  </r>
  <r>
    <n v="734313"/>
    <x v="1"/>
    <n v="108672"/>
    <x v="0"/>
    <x v="0"/>
    <x v="19"/>
    <n v="790"/>
    <n v="0"/>
    <x v="2"/>
    <n v="1"/>
    <n v="1"/>
    <n v="0"/>
    <x v="2"/>
    <n v="0"/>
    <x v="3"/>
    <n v="0"/>
    <n v="0"/>
  </r>
  <r>
    <n v="734314"/>
    <x v="1"/>
    <n v="108672"/>
    <x v="0"/>
    <x v="0"/>
    <x v="19"/>
    <n v="962"/>
    <n v="0"/>
    <x v="2"/>
    <n v="1"/>
    <n v="0"/>
    <n v="0"/>
    <x v="2"/>
    <n v="0"/>
    <x v="1"/>
    <n v="0"/>
    <n v="0"/>
  </r>
  <r>
    <n v="734352"/>
    <x v="1"/>
    <n v="108678"/>
    <x v="1"/>
    <x v="0"/>
    <x v="16"/>
    <n v="4423"/>
    <n v="1"/>
    <x v="38"/>
    <n v="1"/>
    <n v="1"/>
    <n v="0.33009270585575406"/>
    <x v="39"/>
    <n v="2.2609088853719196E-4"/>
    <x v="19"/>
    <n v="1"/>
    <n v="100"/>
  </r>
  <r>
    <n v="734361"/>
    <x v="1"/>
    <n v="108680"/>
    <x v="1"/>
    <x v="0"/>
    <x v="1"/>
    <n v="12382"/>
    <n v="2"/>
    <x v="39"/>
    <n v="1"/>
    <n v="1"/>
    <n v="0.2293652006137942"/>
    <x v="40"/>
    <n v="1.6152479405588758E-4"/>
    <x v="20"/>
    <n v="0.5"/>
    <n v="50"/>
  </r>
  <r>
    <n v="734381"/>
    <x v="1"/>
    <n v="108683"/>
    <x v="1"/>
    <x v="0"/>
    <x v="2"/>
    <n v="2938"/>
    <n v="1"/>
    <x v="40"/>
    <n v="1"/>
    <n v="1"/>
    <n v="0.45949626412525529"/>
    <x v="41"/>
    <n v="3.4036759700476512E-4"/>
    <x v="21"/>
    <n v="1"/>
    <n v="100"/>
  </r>
  <r>
    <n v="734399"/>
    <x v="1"/>
    <n v="108686"/>
    <x v="1"/>
    <x v="0"/>
    <x v="20"/>
    <n v="239"/>
    <n v="0"/>
    <x v="2"/>
    <n v="1"/>
    <n v="0"/>
    <n v="0"/>
    <x v="2"/>
    <n v="0"/>
    <x v="1"/>
    <n v="0"/>
    <n v="0"/>
  </r>
  <r>
    <n v="734418"/>
    <x v="1"/>
    <n v="108689"/>
    <x v="1"/>
    <x v="0"/>
    <x v="18"/>
    <n v="591"/>
    <n v="0"/>
    <x v="2"/>
    <n v="1"/>
    <n v="0"/>
    <n v="0"/>
    <x v="2"/>
    <n v="0"/>
    <x v="1"/>
    <n v="0"/>
    <n v="0"/>
  </r>
  <r>
    <n v="734421"/>
    <x v="1"/>
    <n v="108690"/>
    <x v="1"/>
    <x v="0"/>
    <x v="5"/>
    <n v="10332"/>
    <n v="4"/>
    <x v="41"/>
    <n v="1"/>
    <n v="0"/>
    <n v="0.55652342237708097"/>
    <x v="42"/>
    <n v="3.8714672861014324E-4"/>
    <x v="1"/>
    <n v="0"/>
    <n v="25"/>
  </r>
  <r>
    <n v="734427"/>
    <x v="1"/>
    <n v="108691"/>
    <x v="1"/>
    <x v="0"/>
    <x v="3"/>
    <n v="8259"/>
    <n v="3"/>
    <x v="42"/>
    <n v="1"/>
    <n v="0"/>
    <n v="0.48189853723211046"/>
    <x v="43"/>
    <n v="3.6324010170722849E-4"/>
    <x v="1"/>
    <n v="0"/>
    <n v="33.333333333333329"/>
  </r>
  <r>
    <n v="734433"/>
    <x v="1"/>
    <n v="108692"/>
    <x v="1"/>
    <x v="0"/>
    <x v="4"/>
    <n v="12158"/>
    <n v="3"/>
    <x v="43"/>
    <n v="1"/>
    <n v="0"/>
    <n v="0.36601414114163516"/>
    <x v="44"/>
    <n v="2.4675111037999672E-4"/>
    <x v="1"/>
    <n v="0"/>
    <n v="33.333333333333329"/>
  </r>
  <r>
    <n v="734582"/>
    <x v="1"/>
    <n v="108716"/>
    <x v="2"/>
    <x v="0"/>
    <x v="4"/>
    <n v="7709"/>
    <n v="2"/>
    <x v="44"/>
    <n v="2"/>
    <n v="0"/>
    <n v="0.1712284410429368"/>
    <x v="45"/>
    <n v="2.5943702166299128E-4"/>
    <x v="1"/>
    <n v="0"/>
    <n v="100"/>
  </r>
  <r>
    <n v="734605"/>
    <x v="1"/>
    <n v="108720"/>
    <x v="2"/>
    <x v="0"/>
    <x v="19"/>
    <n v="834"/>
    <n v="0"/>
    <x v="2"/>
    <n v="1"/>
    <n v="0"/>
    <n v="0"/>
    <x v="2"/>
    <n v="0"/>
    <x v="1"/>
    <n v="0"/>
    <n v="0"/>
  </r>
  <r>
    <n v="734660"/>
    <x v="1"/>
    <n v="108729"/>
    <x v="3"/>
    <x v="0"/>
    <x v="12"/>
    <n v="1299"/>
    <n v="0"/>
    <x v="2"/>
    <n v="2"/>
    <n v="0"/>
    <n v="0"/>
    <x v="2"/>
    <n v="0"/>
    <x v="1"/>
    <n v="0"/>
    <n v="0"/>
  </r>
  <r>
    <n v="734666"/>
    <x v="1"/>
    <n v="108730"/>
    <x v="3"/>
    <x v="0"/>
    <x v="17"/>
    <n v="371"/>
    <n v="0"/>
    <x v="2"/>
    <n v="1"/>
    <n v="0"/>
    <n v="0"/>
    <x v="2"/>
    <n v="0"/>
    <x v="1"/>
    <n v="0"/>
    <n v="0"/>
  </r>
  <r>
    <n v="734726"/>
    <x v="1"/>
    <n v="108740"/>
    <x v="3"/>
    <x v="0"/>
    <x v="4"/>
    <n v="10466"/>
    <n v="3"/>
    <x v="45"/>
    <n v="1"/>
    <n v="0"/>
    <n v="0.39078922539652211"/>
    <x v="46"/>
    <n v="2.866424613032677E-4"/>
    <x v="1"/>
    <n v="0"/>
    <n v="33.333333333333329"/>
  </r>
  <r>
    <n v="734737"/>
    <x v="1"/>
    <n v="108742"/>
    <x v="3"/>
    <x v="0"/>
    <x v="6"/>
    <n v="839"/>
    <n v="0"/>
    <x v="2"/>
    <n v="1"/>
    <n v="0"/>
    <n v="0"/>
    <x v="2"/>
    <n v="0"/>
    <x v="1"/>
    <n v="0"/>
    <n v="0"/>
  </r>
  <r>
    <n v="734785"/>
    <x v="1"/>
    <n v="108750"/>
    <x v="0"/>
    <x v="1"/>
    <x v="16"/>
    <n v="5576"/>
    <n v="1"/>
    <x v="21"/>
    <n v="1"/>
    <n v="1"/>
    <n v="0.27439023870157819"/>
    <x v="22"/>
    <n v="1.793400286944046E-4"/>
    <x v="11"/>
    <n v="1"/>
    <n v="100"/>
  </r>
  <r>
    <n v="734794"/>
    <x v="1"/>
    <n v="108752"/>
    <x v="0"/>
    <x v="1"/>
    <x v="1"/>
    <n v="4010"/>
    <n v="0"/>
    <x v="2"/>
    <n v="1"/>
    <n v="0"/>
    <n v="0"/>
    <x v="2"/>
    <n v="0"/>
    <x v="1"/>
    <n v="0"/>
    <n v="0"/>
  </r>
  <r>
    <n v="734796"/>
    <x v="1"/>
    <n v="108752"/>
    <x v="0"/>
    <x v="1"/>
    <x v="1"/>
    <n v="39337"/>
    <n v="7"/>
    <x v="46"/>
    <n v="1"/>
    <n v="1"/>
    <n v="0.25497623331723313"/>
    <x v="47"/>
    <n v="1.7794951318097466E-4"/>
    <x v="22"/>
    <n v="0.14285714285714285"/>
    <n v="14.285714285714285"/>
  </r>
  <r>
    <n v="734800"/>
    <x v="1"/>
    <n v="108753"/>
    <x v="0"/>
    <x v="1"/>
    <x v="12"/>
    <n v="1635"/>
    <n v="0"/>
    <x v="2"/>
    <n v="1"/>
    <n v="0"/>
    <n v="0"/>
    <x v="2"/>
    <n v="0"/>
    <x v="1"/>
    <n v="0"/>
    <n v="0"/>
  </r>
  <r>
    <n v="734803"/>
    <x v="1"/>
    <n v="108753"/>
    <x v="0"/>
    <x v="1"/>
    <x v="12"/>
    <n v="1631"/>
    <n v="0"/>
    <x v="2"/>
    <n v="1"/>
    <n v="0"/>
    <n v="0"/>
    <x v="2"/>
    <n v="0"/>
    <x v="1"/>
    <n v="0"/>
    <n v="0"/>
  </r>
  <r>
    <n v="734852"/>
    <x v="1"/>
    <n v="108761"/>
    <x v="0"/>
    <x v="1"/>
    <x v="18"/>
    <n v="13479"/>
    <n v="3"/>
    <x v="47"/>
    <n v="1"/>
    <n v="0"/>
    <n v="0.31530528970991911"/>
    <x v="48"/>
    <n v="2.2256843979523704E-4"/>
    <x v="1"/>
    <n v="0"/>
    <n v="33.333333333333329"/>
  </r>
  <r>
    <n v="734854"/>
    <x v="1"/>
    <n v="108762"/>
    <x v="0"/>
    <x v="1"/>
    <x v="5"/>
    <n v="57022"/>
    <n v="13"/>
    <x v="48"/>
    <n v="3"/>
    <n v="3"/>
    <n v="0.35582758093367473"/>
    <x v="49"/>
    <n v="2.2798218231559749E-4"/>
    <x v="23"/>
    <n v="0.23076923076923078"/>
    <n v="23.076923076923077"/>
  </r>
  <r>
    <n v="734856"/>
    <x v="1"/>
    <n v="108762"/>
    <x v="0"/>
    <x v="1"/>
    <x v="5"/>
    <n v="5453"/>
    <n v="1"/>
    <x v="49"/>
    <n v="1"/>
    <n v="1"/>
    <n v="0.25490555400696863"/>
    <x v="50"/>
    <n v="1.8338529249954154E-4"/>
    <x v="24"/>
    <n v="1"/>
    <n v="100"/>
  </r>
  <r>
    <n v="734866"/>
    <x v="1"/>
    <n v="108764"/>
    <x v="0"/>
    <x v="1"/>
    <x v="4"/>
    <n v="11803"/>
    <n v="3"/>
    <x v="50"/>
    <n v="1"/>
    <n v="0"/>
    <n v="0.37617555341862235"/>
    <x v="51"/>
    <n v="2.5417266796577139E-4"/>
    <x v="1"/>
    <n v="0"/>
    <n v="33.333333333333329"/>
  </r>
  <r>
    <n v="734881"/>
    <x v="1"/>
    <n v="108766"/>
    <x v="0"/>
    <x v="1"/>
    <x v="6"/>
    <n v="4259"/>
    <n v="1"/>
    <x v="51"/>
    <n v="1"/>
    <n v="1"/>
    <n v="0.3686311462784691"/>
    <x v="52"/>
    <n v="2.3479690068091102E-4"/>
    <x v="25"/>
    <n v="1"/>
    <n v="100"/>
  </r>
  <r>
    <n v="734901"/>
    <x v="1"/>
    <n v="108770"/>
    <x v="0"/>
    <x v="1"/>
    <x v="21"/>
    <n v="1554"/>
    <n v="0"/>
    <x v="2"/>
    <n v="1"/>
    <n v="0"/>
    <n v="0"/>
    <x v="2"/>
    <n v="0"/>
    <x v="1"/>
    <n v="0"/>
    <n v="0"/>
  </r>
  <r>
    <n v="734903"/>
    <x v="1"/>
    <n v="108770"/>
    <x v="0"/>
    <x v="1"/>
    <x v="21"/>
    <n v="5323"/>
    <n v="1"/>
    <x v="4"/>
    <n v="1"/>
    <n v="1"/>
    <n v="0.24234453541236145"/>
    <x v="4"/>
    <n v="1.8786398647379298E-4"/>
    <x v="2"/>
    <n v="1"/>
    <n v="100"/>
  </r>
  <r>
    <n v="734925"/>
    <x v="1"/>
    <n v="108774"/>
    <x v="1"/>
    <x v="1"/>
    <x v="16"/>
    <n v="5024"/>
    <n v="1"/>
    <x v="52"/>
    <n v="1"/>
    <n v="1"/>
    <n v="0.2806528596735669"/>
    <x v="53"/>
    <n v="1.9904458598726116E-4"/>
    <x v="26"/>
    <n v="1"/>
    <n v="100"/>
  </r>
  <r>
    <n v="734939"/>
    <x v="1"/>
    <n v="108776"/>
    <x v="1"/>
    <x v="1"/>
    <x v="1"/>
    <n v="104648"/>
    <n v="24"/>
    <x v="53"/>
    <n v="4"/>
    <n v="2"/>
    <n v="0.31849629271462426"/>
    <x v="54"/>
    <n v="2.2934026450577172E-4"/>
    <x v="27"/>
    <n v="8.3333333333333329E-2"/>
    <n v="16.666666666666664"/>
  </r>
  <r>
    <n v="734968"/>
    <x v="1"/>
    <n v="108781"/>
    <x v="1"/>
    <x v="1"/>
    <x v="22"/>
    <n v="8504"/>
    <n v="3"/>
    <x v="54"/>
    <n v="1"/>
    <n v="1"/>
    <n v="0.39275636088899341"/>
    <x v="55"/>
    <n v="3.5277516462841018E-4"/>
    <x v="28"/>
    <n v="0.33333333333333331"/>
    <n v="33.333333333333329"/>
  </r>
  <r>
    <n v="734999"/>
    <x v="1"/>
    <n v="108786"/>
    <x v="1"/>
    <x v="1"/>
    <x v="5"/>
    <n v="20277"/>
    <n v="6"/>
    <x v="55"/>
    <n v="1"/>
    <n v="0"/>
    <n v="0.39700153237658431"/>
    <x v="56"/>
    <n v="2.9590176061547566E-4"/>
    <x v="1"/>
    <n v="0"/>
    <n v="16.666666666666664"/>
  </r>
  <r>
    <n v="735014"/>
    <x v="1"/>
    <n v="108788"/>
    <x v="1"/>
    <x v="1"/>
    <x v="4"/>
    <n v="12403"/>
    <n v="4"/>
    <x v="56"/>
    <n v="1"/>
    <n v="1"/>
    <n v="0.42005966604853667"/>
    <x v="57"/>
    <n v="3.225026203337902E-4"/>
    <x v="29"/>
    <n v="0.25"/>
    <n v="25"/>
  </r>
  <r>
    <n v="735032"/>
    <x v="1"/>
    <n v="108791"/>
    <x v="1"/>
    <x v="1"/>
    <x v="11"/>
    <n v="498"/>
    <n v="0"/>
    <x v="2"/>
    <n v="1"/>
    <n v="1"/>
    <n v="0"/>
    <x v="2"/>
    <n v="0"/>
    <x v="3"/>
    <n v="0"/>
    <n v="0"/>
  </r>
  <r>
    <n v="735033"/>
    <x v="1"/>
    <n v="108792"/>
    <x v="1"/>
    <x v="1"/>
    <x v="19"/>
    <n v="652"/>
    <n v="0"/>
    <x v="2"/>
    <n v="0"/>
    <n v="0"/>
    <n v="0"/>
    <x v="2"/>
    <n v="0"/>
    <x v="1"/>
    <n v="0"/>
    <n v="0"/>
  </r>
  <r>
    <n v="735043"/>
    <x v="1"/>
    <n v="108793"/>
    <x v="1"/>
    <x v="1"/>
    <x v="13"/>
    <n v="1357"/>
    <n v="0"/>
    <x v="2"/>
    <n v="1"/>
    <n v="1"/>
    <n v="0"/>
    <x v="2"/>
    <n v="0"/>
    <x v="3"/>
    <n v="0"/>
    <n v="0"/>
  </r>
  <r>
    <n v="735048"/>
    <x v="1"/>
    <n v="108794"/>
    <x v="1"/>
    <x v="1"/>
    <x v="21"/>
    <n v="1393"/>
    <n v="0"/>
    <x v="2"/>
    <n v="1"/>
    <n v="0"/>
    <n v="0"/>
    <x v="2"/>
    <n v="0"/>
    <x v="1"/>
    <n v="0"/>
    <n v="0"/>
  </r>
  <r>
    <n v="735065"/>
    <x v="1"/>
    <n v="108797"/>
    <x v="2"/>
    <x v="1"/>
    <x v="7"/>
    <n v="648"/>
    <n v="0"/>
    <x v="2"/>
    <n v="1"/>
    <n v="0"/>
    <n v="0"/>
    <x v="2"/>
    <n v="0"/>
    <x v="1"/>
    <n v="0"/>
    <n v="0"/>
  </r>
  <r>
    <n v="735109"/>
    <x v="1"/>
    <n v="108804"/>
    <x v="2"/>
    <x v="1"/>
    <x v="10"/>
    <n v="708"/>
    <n v="0"/>
    <x v="2"/>
    <n v="1"/>
    <n v="1"/>
    <n v="0"/>
    <x v="2"/>
    <n v="0"/>
    <x v="3"/>
    <n v="0"/>
    <n v="0"/>
  </r>
  <r>
    <n v="735140"/>
    <x v="1"/>
    <n v="108809"/>
    <x v="2"/>
    <x v="1"/>
    <x v="18"/>
    <n v="6907"/>
    <n v="2"/>
    <x v="57"/>
    <n v="1"/>
    <n v="0"/>
    <n v="0.34023453945272913"/>
    <x v="58"/>
    <n v="2.895613146083683E-4"/>
    <x v="1"/>
    <n v="0"/>
    <n v="50"/>
  </r>
  <r>
    <n v="735143"/>
    <x v="1"/>
    <n v="108810"/>
    <x v="2"/>
    <x v="1"/>
    <x v="5"/>
    <n v="39035"/>
    <n v="13"/>
    <x v="58"/>
    <n v="1"/>
    <n v="0"/>
    <n v="0.49519660740361204"/>
    <x v="59"/>
    <n v="3.330344562572051E-4"/>
    <x v="1"/>
    <n v="0"/>
    <n v="7.6923076923076925"/>
  </r>
  <r>
    <n v="735151"/>
    <x v="1"/>
    <n v="108811"/>
    <x v="2"/>
    <x v="1"/>
    <x v="3"/>
    <n v="926"/>
    <n v="0"/>
    <x v="2"/>
    <n v="1"/>
    <n v="0"/>
    <n v="0"/>
    <x v="2"/>
    <n v="0"/>
    <x v="1"/>
    <n v="0"/>
    <n v="0"/>
  </r>
  <r>
    <n v="735184"/>
    <x v="1"/>
    <n v="108817"/>
    <x v="2"/>
    <x v="1"/>
    <x v="13"/>
    <n v="4412"/>
    <n v="1"/>
    <x v="59"/>
    <n v="1"/>
    <n v="0"/>
    <n v="0.32864914959202174"/>
    <x v="60"/>
    <n v="2.2665457842248413E-4"/>
    <x v="1"/>
    <n v="0"/>
    <n v="100"/>
  </r>
  <r>
    <n v="735189"/>
    <x v="1"/>
    <n v="108818"/>
    <x v="2"/>
    <x v="1"/>
    <x v="21"/>
    <n v="9965"/>
    <n v="3"/>
    <x v="60"/>
    <n v="1"/>
    <n v="0"/>
    <n v="0.40642248590065222"/>
    <x v="61"/>
    <n v="3.0105368790767686E-4"/>
    <x v="1"/>
    <n v="0"/>
    <n v="33.333333333333329"/>
  </r>
  <r>
    <n v="735213"/>
    <x v="1"/>
    <n v="108822"/>
    <x v="3"/>
    <x v="1"/>
    <x v="16"/>
    <n v="73634"/>
    <n v="23"/>
    <x v="61"/>
    <n v="1"/>
    <n v="0"/>
    <n v="0.44789091696770517"/>
    <x v="62"/>
    <n v="3.1235570524485969E-4"/>
    <x v="1"/>
    <n v="0"/>
    <n v="4.3478260869565215"/>
  </r>
  <r>
    <n v="735220"/>
    <x v="1"/>
    <n v="108823"/>
    <x v="3"/>
    <x v="1"/>
    <x v="0"/>
    <n v="69708"/>
    <n v="20"/>
    <x v="62"/>
    <n v="1"/>
    <n v="0"/>
    <n v="0.44887243200206572"/>
    <x v="63"/>
    <n v="2.8691111493659262E-4"/>
    <x v="1"/>
    <n v="0"/>
    <n v="5"/>
  </r>
  <r>
    <n v="735242"/>
    <x v="1"/>
    <n v="108826"/>
    <x v="3"/>
    <x v="1"/>
    <x v="17"/>
    <n v="530"/>
    <n v="0"/>
    <x v="2"/>
    <n v="1"/>
    <n v="0"/>
    <n v="0"/>
    <x v="2"/>
    <n v="0"/>
    <x v="1"/>
    <n v="0"/>
    <n v="0"/>
  </r>
  <r>
    <n v="735247"/>
    <x v="1"/>
    <n v="108827"/>
    <x v="3"/>
    <x v="1"/>
    <x v="2"/>
    <n v="14257"/>
    <n v="6"/>
    <x v="63"/>
    <n v="1"/>
    <n v="0"/>
    <n v="0.61653924121484172"/>
    <x v="64"/>
    <n v="4.2084590025952165E-4"/>
    <x v="1"/>
    <n v="0"/>
    <n v="16.666666666666664"/>
  </r>
  <r>
    <n v="735289"/>
    <x v="1"/>
    <n v="108834"/>
    <x v="3"/>
    <x v="1"/>
    <x v="5"/>
    <n v="20362"/>
    <n v="5"/>
    <x v="64"/>
    <n v="1"/>
    <n v="1"/>
    <n v="0.44789312867105396"/>
    <x v="65"/>
    <n v="2.4555544641980157E-4"/>
    <x v="30"/>
    <n v="0.2"/>
    <n v="20"/>
  </r>
  <r>
    <n v="735290"/>
    <x v="1"/>
    <n v="108834"/>
    <x v="3"/>
    <x v="1"/>
    <x v="5"/>
    <n v="12215"/>
    <n v="4"/>
    <x v="65"/>
    <n v="1"/>
    <n v="0"/>
    <n v="0.51248465902578799"/>
    <x v="66"/>
    <n v="3.2746623004502659E-4"/>
    <x v="1"/>
    <n v="0"/>
    <n v="25"/>
  </r>
  <r>
    <n v="735298"/>
    <x v="1"/>
    <n v="108836"/>
    <x v="3"/>
    <x v="1"/>
    <x v="4"/>
    <n v="85412"/>
    <n v="28"/>
    <x v="66"/>
    <n v="2"/>
    <n v="1"/>
    <n v="0.45239544782934482"/>
    <x v="67"/>
    <n v="3.2782278836697421E-4"/>
    <x v="31"/>
    <n v="3.5714285714285712E-2"/>
    <n v="7.1428571428571423"/>
  </r>
  <r>
    <n v="736869"/>
    <x v="1"/>
    <n v="109448"/>
    <x v="0"/>
    <x v="0"/>
    <x v="23"/>
    <n v="2338"/>
    <n v="1"/>
    <x v="67"/>
    <n v="1"/>
    <n v="0"/>
    <n v="0.10265183704020529"/>
    <x v="68"/>
    <n v="4.2771599657827201E-4"/>
    <x v="1"/>
    <n v="0"/>
    <n v="100"/>
  </r>
  <r>
    <n v="736890"/>
    <x v="1"/>
    <n v="109451"/>
    <x v="0"/>
    <x v="0"/>
    <x v="0"/>
    <n v="2522"/>
    <n v="0"/>
    <x v="2"/>
    <n v="1"/>
    <n v="0"/>
    <n v="0"/>
    <x v="2"/>
    <n v="0"/>
    <x v="1"/>
    <n v="0"/>
    <n v="0"/>
  </r>
  <r>
    <n v="736893"/>
    <x v="1"/>
    <n v="109452"/>
    <x v="0"/>
    <x v="0"/>
    <x v="1"/>
    <n v="3587"/>
    <n v="0"/>
    <x v="2"/>
    <n v="1"/>
    <n v="0"/>
    <n v="0"/>
    <x v="2"/>
    <n v="0"/>
    <x v="1"/>
    <n v="0"/>
    <n v="0"/>
  </r>
  <r>
    <n v="736977"/>
    <x v="1"/>
    <n v="109470"/>
    <x v="0"/>
    <x v="0"/>
    <x v="5"/>
    <n v="1273"/>
    <n v="0"/>
    <x v="2"/>
    <n v="1"/>
    <n v="0"/>
    <n v="0"/>
    <x v="2"/>
    <n v="0"/>
    <x v="1"/>
    <n v="0"/>
    <n v="0"/>
  </r>
  <r>
    <n v="736988"/>
    <x v="1"/>
    <n v="109472"/>
    <x v="0"/>
    <x v="0"/>
    <x v="3"/>
    <n v="3891"/>
    <n v="1"/>
    <x v="68"/>
    <n v="1"/>
    <n v="0"/>
    <n v="0.28013365021845282"/>
    <x v="69"/>
    <n v="2.5700334104343357E-4"/>
    <x v="1"/>
    <n v="0"/>
    <n v="100"/>
  </r>
  <r>
    <n v="736995"/>
    <x v="1"/>
    <n v="109473"/>
    <x v="0"/>
    <x v="0"/>
    <x v="4"/>
    <n v="1888"/>
    <n v="0"/>
    <x v="2"/>
    <n v="1"/>
    <n v="0"/>
    <n v="0"/>
    <x v="2"/>
    <n v="0"/>
    <x v="1"/>
    <n v="0"/>
    <n v="0"/>
  </r>
  <r>
    <n v="736997"/>
    <x v="1"/>
    <n v="109473"/>
    <x v="0"/>
    <x v="0"/>
    <x v="4"/>
    <n v="1895"/>
    <n v="0"/>
    <x v="2"/>
    <n v="1"/>
    <n v="0"/>
    <n v="0"/>
    <x v="2"/>
    <n v="0"/>
    <x v="1"/>
    <n v="0"/>
    <n v="0"/>
  </r>
  <r>
    <n v="737097"/>
    <x v="1"/>
    <n v="109498"/>
    <x v="1"/>
    <x v="0"/>
    <x v="7"/>
    <n v="715"/>
    <n v="0"/>
    <x v="2"/>
    <n v="1"/>
    <n v="0"/>
    <n v="0"/>
    <x v="2"/>
    <n v="0"/>
    <x v="1"/>
    <n v="0"/>
    <n v="0"/>
  </r>
  <r>
    <n v="737130"/>
    <x v="1"/>
    <n v="109507"/>
    <x v="1"/>
    <x v="0"/>
    <x v="1"/>
    <n v="11199"/>
    <n v="2"/>
    <x v="69"/>
    <n v="1"/>
    <n v="0"/>
    <n v="0.23930708697205108"/>
    <x v="70"/>
    <n v="1.7858737387266719E-4"/>
    <x v="1"/>
    <n v="0"/>
    <n v="50"/>
  </r>
  <r>
    <n v="737320"/>
    <x v="1"/>
    <n v="109553"/>
    <x v="1"/>
    <x v="0"/>
    <x v="13"/>
    <n v="5676"/>
    <n v="2"/>
    <x v="70"/>
    <n v="1"/>
    <n v="0"/>
    <n v="0.53030302854122624"/>
    <x v="71"/>
    <n v="3.5236081747709656E-4"/>
    <x v="1"/>
    <n v="0"/>
    <n v="50"/>
  </r>
  <r>
    <n v="737375"/>
    <x v="1"/>
    <n v="109565"/>
    <x v="2"/>
    <x v="0"/>
    <x v="16"/>
    <n v="1415"/>
    <n v="0"/>
    <x v="2"/>
    <n v="1"/>
    <n v="0"/>
    <n v="0"/>
    <x v="2"/>
    <n v="0"/>
    <x v="1"/>
    <n v="0"/>
    <n v="0"/>
  </r>
  <r>
    <n v="737524"/>
    <x v="1"/>
    <n v="109601"/>
    <x v="2"/>
    <x v="0"/>
    <x v="8"/>
    <n v="2148"/>
    <n v="1"/>
    <x v="71"/>
    <n v="1"/>
    <n v="1"/>
    <n v="0.73556799022346364"/>
    <x v="72"/>
    <n v="4.6554934823091247E-4"/>
    <x v="32"/>
    <n v="1"/>
    <n v="100"/>
  </r>
  <r>
    <n v="737644"/>
    <x v="1"/>
    <n v="109629"/>
    <x v="3"/>
    <x v="0"/>
    <x v="1"/>
    <n v="45401"/>
    <n v="10"/>
    <x v="72"/>
    <n v="1"/>
    <n v="0"/>
    <n v="0.30968481795555158"/>
    <x v="73"/>
    <n v="2.2025946565053632E-4"/>
    <x v="1"/>
    <n v="0"/>
    <n v="10"/>
  </r>
  <r>
    <n v="737657"/>
    <x v="1"/>
    <n v="109633"/>
    <x v="3"/>
    <x v="0"/>
    <x v="12"/>
    <n v="7478"/>
    <n v="2"/>
    <x v="73"/>
    <n v="1"/>
    <n v="1"/>
    <n v="0.38780423843273609"/>
    <x v="74"/>
    <n v="2.6745119015779618E-4"/>
    <x v="33"/>
    <n v="0.5"/>
    <n v="50"/>
  </r>
  <r>
    <n v="737658"/>
    <x v="1"/>
    <n v="109633"/>
    <x v="3"/>
    <x v="0"/>
    <x v="12"/>
    <n v="4919"/>
    <n v="1"/>
    <x v="74"/>
    <n v="1"/>
    <n v="0"/>
    <n v="0.3232364368774141"/>
    <x v="75"/>
    <n v="2.0329335230737954E-4"/>
    <x v="1"/>
    <n v="0"/>
    <n v="100"/>
  </r>
  <r>
    <n v="737674"/>
    <x v="1"/>
    <n v="109637"/>
    <x v="3"/>
    <x v="0"/>
    <x v="2"/>
    <n v="533"/>
    <n v="0"/>
    <x v="2"/>
    <n v="1"/>
    <n v="1"/>
    <n v="0"/>
    <x v="2"/>
    <n v="0"/>
    <x v="3"/>
    <n v="0"/>
    <n v="0"/>
  </r>
  <r>
    <n v="737766"/>
    <x v="1"/>
    <n v="109659"/>
    <x v="3"/>
    <x v="0"/>
    <x v="4"/>
    <n v="1447"/>
    <n v="0"/>
    <x v="2"/>
    <n v="1"/>
    <n v="1"/>
    <n v="0"/>
    <x v="2"/>
    <n v="0"/>
    <x v="3"/>
    <n v="0"/>
    <n v="0"/>
  </r>
  <r>
    <n v="737896"/>
    <x v="1"/>
    <n v="109689"/>
    <x v="0"/>
    <x v="1"/>
    <x v="1"/>
    <n v="17553"/>
    <n v="3"/>
    <x v="75"/>
    <n v="1"/>
    <n v="0"/>
    <n v="0.26149377046658689"/>
    <x v="76"/>
    <n v="1.7091095539224064E-4"/>
    <x v="1"/>
    <n v="0"/>
    <n v="33.333333333333329"/>
  </r>
  <r>
    <n v="737931"/>
    <x v="1"/>
    <n v="109698"/>
    <x v="0"/>
    <x v="1"/>
    <x v="2"/>
    <n v="3343"/>
    <n v="1"/>
    <x v="76"/>
    <n v="1"/>
    <n v="0"/>
    <n v="0.16153156476218963"/>
    <x v="77"/>
    <n v="2.9913251570445708E-4"/>
    <x v="1"/>
    <n v="0"/>
    <n v="100"/>
  </r>
  <r>
    <n v="737961"/>
    <x v="1"/>
    <n v="109706"/>
    <x v="0"/>
    <x v="1"/>
    <x v="20"/>
    <n v="523"/>
    <n v="0"/>
    <x v="2"/>
    <n v="1"/>
    <n v="0"/>
    <n v="0"/>
    <x v="2"/>
    <n v="0"/>
    <x v="1"/>
    <n v="0"/>
    <n v="0"/>
  </r>
  <r>
    <n v="737995"/>
    <x v="1"/>
    <n v="109714"/>
    <x v="0"/>
    <x v="1"/>
    <x v="18"/>
    <n v="1873"/>
    <n v="0"/>
    <x v="2"/>
    <n v="1"/>
    <n v="0"/>
    <n v="0"/>
    <x v="2"/>
    <n v="0"/>
    <x v="1"/>
    <n v="0"/>
    <n v="0"/>
  </r>
  <r>
    <n v="738006"/>
    <x v="1"/>
    <n v="109717"/>
    <x v="0"/>
    <x v="1"/>
    <x v="5"/>
    <n v="34740"/>
    <n v="7"/>
    <x v="77"/>
    <n v="1"/>
    <n v="1"/>
    <n v="0.38601036528497407"/>
    <x v="78"/>
    <n v="2.0149683362118595E-4"/>
    <x v="34"/>
    <n v="0.14285714285714285"/>
    <n v="14.285714285714285"/>
  </r>
  <r>
    <n v="738067"/>
    <x v="1"/>
    <n v="109731"/>
    <x v="0"/>
    <x v="1"/>
    <x v="11"/>
    <n v="658"/>
    <n v="0"/>
    <x v="2"/>
    <n v="1"/>
    <n v="0"/>
    <n v="0"/>
    <x v="2"/>
    <n v="0"/>
    <x v="1"/>
    <n v="0"/>
    <n v="0"/>
  </r>
  <r>
    <n v="738098"/>
    <x v="1"/>
    <n v="109738"/>
    <x v="0"/>
    <x v="1"/>
    <x v="21"/>
    <n v="1539"/>
    <n v="0"/>
    <x v="2"/>
    <n v="1"/>
    <n v="0"/>
    <n v="0"/>
    <x v="2"/>
    <n v="0"/>
    <x v="1"/>
    <n v="0"/>
    <n v="0"/>
  </r>
  <r>
    <n v="738307"/>
    <x v="1"/>
    <n v="109788"/>
    <x v="1"/>
    <x v="1"/>
    <x v="6"/>
    <n v="3010"/>
    <n v="1"/>
    <x v="78"/>
    <n v="1"/>
    <n v="1"/>
    <n v="0.28571429036544849"/>
    <x v="79"/>
    <n v="3.3222591362126248E-4"/>
    <x v="35"/>
    <n v="1"/>
    <n v="100"/>
  </r>
  <r>
    <n v="738389"/>
    <x v="1"/>
    <n v="109808"/>
    <x v="2"/>
    <x v="1"/>
    <x v="16"/>
    <n v="27081"/>
    <n v="9"/>
    <x v="79"/>
    <n v="1"/>
    <n v="1"/>
    <n v="0.39769581847051438"/>
    <x v="80"/>
    <n v="3.3233632436025255E-4"/>
    <x v="36"/>
    <n v="0.1111111111111111"/>
    <n v="11.111111111111111"/>
  </r>
  <r>
    <n v="738408"/>
    <x v="1"/>
    <n v="109813"/>
    <x v="2"/>
    <x v="1"/>
    <x v="1"/>
    <n v="20233"/>
    <n v="4"/>
    <x v="80"/>
    <n v="3"/>
    <n v="0"/>
    <n v="0.27628133015370931"/>
    <x v="81"/>
    <n v="1.9769683190826867E-4"/>
    <x v="1"/>
    <n v="0"/>
    <n v="75"/>
  </r>
  <r>
    <n v="738413"/>
    <x v="1"/>
    <n v="109813"/>
    <x v="2"/>
    <x v="1"/>
    <x v="1"/>
    <n v="147159"/>
    <n v="36"/>
    <x v="81"/>
    <n v="3"/>
    <n v="1"/>
    <n v="0.39521877995909188"/>
    <x v="82"/>
    <n v="2.4463335575805763E-4"/>
    <x v="37"/>
    <n v="2.7777777777777776E-2"/>
    <n v="8.3333333333333321"/>
  </r>
  <r>
    <n v="738423"/>
    <x v="1"/>
    <n v="109816"/>
    <x v="2"/>
    <x v="1"/>
    <x v="12"/>
    <n v="21664"/>
    <n v="7"/>
    <x v="82"/>
    <n v="1"/>
    <n v="1"/>
    <n v="0.49021416959010333"/>
    <x v="83"/>
    <n v="3.2311669128508124E-4"/>
    <x v="38"/>
    <n v="0.14285714285714285"/>
    <n v="14.285714285714285"/>
  </r>
  <r>
    <n v="738436"/>
    <x v="1"/>
    <n v="109820"/>
    <x v="2"/>
    <x v="1"/>
    <x v="17"/>
    <n v="9112"/>
    <n v="4"/>
    <x v="83"/>
    <n v="1"/>
    <n v="1"/>
    <n v="0.59920983735733102"/>
    <x v="84"/>
    <n v="4.3898156277436348E-4"/>
    <x v="39"/>
    <n v="0.25"/>
    <n v="25"/>
  </r>
  <r>
    <n v="738463"/>
    <x v="1"/>
    <n v="109826"/>
    <x v="2"/>
    <x v="1"/>
    <x v="10"/>
    <n v="542"/>
    <n v="0"/>
    <x v="2"/>
    <n v="1"/>
    <n v="0"/>
    <n v="0"/>
    <x v="2"/>
    <n v="0"/>
    <x v="1"/>
    <n v="0"/>
    <n v="0"/>
  </r>
  <r>
    <n v="738528"/>
    <x v="1"/>
    <n v="109839"/>
    <x v="2"/>
    <x v="1"/>
    <x v="8"/>
    <n v="402"/>
    <n v="0"/>
    <x v="2"/>
    <n v="1"/>
    <n v="1"/>
    <n v="0"/>
    <x v="2"/>
    <n v="0"/>
    <x v="3"/>
    <n v="0"/>
    <n v="0"/>
  </r>
  <r>
    <n v="738560"/>
    <x v="1"/>
    <n v="109844"/>
    <x v="2"/>
    <x v="1"/>
    <x v="21"/>
    <n v="1338"/>
    <n v="0"/>
    <x v="2"/>
    <n v="1"/>
    <n v="0"/>
    <n v="0"/>
    <x v="2"/>
    <n v="0"/>
    <x v="1"/>
    <n v="0"/>
    <n v="0"/>
  </r>
  <r>
    <n v="738582"/>
    <x v="1"/>
    <n v="109848"/>
    <x v="3"/>
    <x v="1"/>
    <x v="16"/>
    <n v="46150"/>
    <n v="15"/>
    <x v="84"/>
    <n v="1"/>
    <n v="1"/>
    <n v="0.43726976879739976"/>
    <x v="85"/>
    <n v="3.250270855904659E-4"/>
    <x v="40"/>
    <n v="6.6666666666666666E-2"/>
    <n v="6.666666666666667"/>
  </r>
  <r>
    <n v="738592"/>
    <x v="1"/>
    <n v="109850"/>
    <x v="3"/>
    <x v="1"/>
    <x v="1"/>
    <n v="493821"/>
    <n v="116"/>
    <x v="85"/>
    <n v="4"/>
    <n v="1"/>
    <n v="0.3571739510875398"/>
    <x v="86"/>
    <n v="2.3490293041405691E-4"/>
    <x v="41"/>
    <n v="8.6206896551724137E-3"/>
    <n v="3.4482758620689653"/>
  </r>
  <r>
    <n v="738593"/>
    <x v="1"/>
    <n v="109850"/>
    <x v="3"/>
    <x v="1"/>
    <x v="1"/>
    <n v="92011"/>
    <n v="27"/>
    <x v="86"/>
    <n v="2"/>
    <n v="1"/>
    <n v="0.37375966417058837"/>
    <x v="87"/>
    <n v="2.9344317527252176E-4"/>
    <x v="42"/>
    <n v="3.7037037037037035E-2"/>
    <n v="7.4074074074074066"/>
  </r>
  <r>
    <n v="738598"/>
    <x v="1"/>
    <n v="109851"/>
    <x v="3"/>
    <x v="1"/>
    <x v="12"/>
    <n v="12956"/>
    <n v="4"/>
    <x v="87"/>
    <n v="1"/>
    <n v="1"/>
    <n v="0.42374189641864773"/>
    <x v="88"/>
    <n v="3.0873726458783575E-4"/>
    <x v="43"/>
    <n v="0.25"/>
    <n v="25"/>
  </r>
  <r>
    <n v="738606"/>
    <x v="1"/>
    <n v="109852"/>
    <x v="3"/>
    <x v="1"/>
    <x v="17"/>
    <n v="529"/>
    <n v="0"/>
    <x v="2"/>
    <n v="1"/>
    <n v="0"/>
    <n v="0"/>
    <x v="2"/>
    <n v="0"/>
    <x v="1"/>
    <n v="0"/>
    <n v="0"/>
  </r>
  <r>
    <n v="738637"/>
    <x v="1"/>
    <n v="109857"/>
    <x v="3"/>
    <x v="1"/>
    <x v="9"/>
    <n v="944"/>
    <n v="1"/>
    <x v="88"/>
    <n v="1"/>
    <n v="0"/>
    <n v="1.5042372425847457"/>
    <x v="40"/>
    <n v="1.0593220338983051E-3"/>
    <x v="1"/>
    <n v="0"/>
    <n v="100"/>
  </r>
  <r>
    <n v="738648"/>
    <x v="1"/>
    <n v="109859"/>
    <x v="3"/>
    <x v="1"/>
    <x v="18"/>
    <n v="111090"/>
    <n v="38"/>
    <x v="89"/>
    <n v="5"/>
    <n v="1"/>
    <n v="0.46781888801872357"/>
    <x v="89"/>
    <n v="3.4206499234854621E-4"/>
    <x v="44"/>
    <n v="2.6315789473684209E-2"/>
    <n v="13.157894736842104"/>
  </r>
  <r>
    <n v="747212"/>
    <x v="1"/>
    <n v="110836"/>
    <x v="0"/>
    <x v="0"/>
    <x v="16"/>
    <n v="7208"/>
    <n v="2"/>
    <x v="90"/>
    <n v="1"/>
    <n v="0"/>
    <n v="0.44256382588790233"/>
    <x v="90"/>
    <n v="2.7746947835738069E-4"/>
    <x v="1"/>
    <n v="0"/>
    <n v="50"/>
  </r>
  <r>
    <n v="747213"/>
    <x v="1"/>
    <n v="110836"/>
    <x v="0"/>
    <x v="0"/>
    <x v="16"/>
    <n v="1746"/>
    <n v="0"/>
    <x v="2"/>
    <n v="1"/>
    <n v="0"/>
    <n v="0"/>
    <x v="2"/>
    <n v="0"/>
    <x v="1"/>
    <n v="0"/>
    <n v="0"/>
  </r>
  <r>
    <n v="747220"/>
    <x v="1"/>
    <n v="110837"/>
    <x v="0"/>
    <x v="0"/>
    <x v="0"/>
    <n v="2474"/>
    <n v="0"/>
    <x v="2"/>
    <n v="2"/>
    <n v="2"/>
    <n v="0"/>
    <x v="2"/>
    <n v="0"/>
    <x v="3"/>
    <n v="0"/>
    <n v="0"/>
  </r>
  <r>
    <n v="747222"/>
    <x v="1"/>
    <n v="110838"/>
    <x v="0"/>
    <x v="0"/>
    <x v="1"/>
    <n v="12489"/>
    <n v="2"/>
    <x v="91"/>
    <n v="1"/>
    <n v="0"/>
    <n v="0.15693810857554646"/>
    <x v="91"/>
    <n v="1.6014092401313155E-4"/>
    <x v="1"/>
    <n v="0"/>
    <n v="50"/>
  </r>
  <r>
    <n v="747223"/>
    <x v="1"/>
    <n v="110838"/>
    <x v="0"/>
    <x v="0"/>
    <x v="1"/>
    <n v="8032"/>
    <n v="1"/>
    <x v="92"/>
    <n v="2"/>
    <n v="0"/>
    <n v="7.4701198207171318E-2"/>
    <x v="92"/>
    <n v="1.2450199203187251E-4"/>
    <x v="1"/>
    <n v="0"/>
    <n v="200"/>
  </r>
  <r>
    <n v="747248"/>
    <x v="1"/>
    <n v="110842"/>
    <x v="0"/>
    <x v="0"/>
    <x v="10"/>
    <n v="472"/>
    <n v="0"/>
    <x v="2"/>
    <n v="1"/>
    <n v="1"/>
    <n v="0"/>
    <x v="2"/>
    <n v="0"/>
    <x v="3"/>
    <n v="0"/>
    <n v="0"/>
  </r>
  <r>
    <n v="747332"/>
    <x v="1"/>
    <n v="110856"/>
    <x v="0"/>
    <x v="0"/>
    <x v="21"/>
    <n v="792"/>
    <n v="0"/>
    <x v="2"/>
    <n v="1"/>
    <n v="1"/>
    <n v="0"/>
    <x v="2"/>
    <n v="0"/>
    <x v="3"/>
    <n v="0"/>
    <n v="0"/>
  </r>
  <r>
    <n v="747362"/>
    <x v="1"/>
    <n v="110861"/>
    <x v="1"/>
    <x v="0"/>
    <x v="0"/>
    <n v="4607"/>
    <n v="1"/>
    <x v="93"/>
    <n v="1"/>
    <n v="1"/>
    <n v="0.24962013805079225"/>
    <x v="93"/>
    <n v="2.1706099413935315E-4"/>
    <x v="45"/>
    <n v="1"/>
    <n v="100"/>
  </r>
  <r>
    <n v="747369"/>
    <x v="1"/>
    <n v="110862"/>
    <x v="1"/>
    <x v="0"/>
    <x v="1"/>
    <n v="13355"/>
    <n v="2"/>
    <x v="94"/>
    <n v="1"/>
    <n v="1"/>
    <n v="0.23811307128416323"/>
    <x v="94"/>
    <n v="1.4975664545114188E-4"/>
    <x v="46"/>
    <n v="0.5"/>
    <n v="50"/>
  </r>
  <r>
    <n v="747370"/>
    <x v="1"/>
    <n v="110862"/>
    <x v="1"/>
    <x v="0"/>
    <x v="1"/>
    <n v="2936"/>
    <n v="0"/>
    <x v="2"/>
    <n v="1"/>
    <n v="0"/>
    <n v="0"/>
    <x v="2"/>
    <n v="0"/>
    <x v="1"/>
    <n v="0"/>
    <n v="0"/>
  </r>
  <r>
    <n v="747401"/>
    <x v="1"/>
    <n v="110867"/>
    <x v="1"/>
    <x v="0"/>
    <x v="22"/>
    <n v="2793"/>
    <n v="1"/>
    <x v="95"/>
    <n v="1"/>
    <n v="1"/>
    <n v="0.35087719978517723"/>
    <x v="91"/>
    <n v="3.5803795202291446E-4"/>
    <x v="47"/>
    <n v="1"/>
    <n v="100"/>
  </r>
  <r>
    <n v="747435"/>
    <x v="1"/>
    <n v="110873"/>
    <x v="1"/>
    <x v="0"/>
    <x v="3"/>
    <n v="1032"/>
    <n v="0"/>
    <x v="2"/>
    <n v="1"/>
    <n v="0"/>
    <n v="0"/>
    <x v="2"/>
    <n v="0"/>
    <x v="1"/>
    <n v="0"/>
    <n v="0"/>
  </r>
  <r>
    <n v="747439"/>
    <x v="1"/>
    <n v="110874"/>
    <x v="1"/>
    <x v="0"/>
    <x v="4"/>
    <n v="1662"/>
    <n v="0"/>
    <x v="2"/>
    <n v="1"/>
    <n v="1"/>
    <n v="0"/>
    <x v="2"/>
    <n v="0"/>
    <x v="3"/>
    <n v="0"/>
    <n v="0"/>
  </r>
  <r>
    <n v="747489"/>
    <x v="1"/>
    <n v="110882"/>
    <x v="2"/>
    <x v="0"/>
    <x v="23"/>
    <n v="4016"/>
    <n v="2"/>
    <x v="96"/>
    <n v="1"/>
    <n v="1"/>
    <n v="0.36852590861553786"/>
    <x v="95"/>
    <n v="4.9800796812749003E-4"/>
    <x v="48"/>
    <n v="0.5"/>
    <n v="50"/>
  </r>
  <r>
    <n v="747514"/>
    <x v="1"/>
    <n v="110886"/>
    <x v="2"/>
    <x v="0"/>
    <x v="1"/>
    <n v="14843"/>
    <n v="3"/>
    <x v="97"/>
    <n v="1"/>
    <n v="1"/>
    <n v="0.19807316162500843"/>
    <x v="96"/>
    <n v="2.021154753082261E-4"/>
    <x v="49"/>
    <n v="0.33333333333333331"/>
    <n v="33.333333333333329"/>
  </r>
  <r>
    <n v="747645"/>
    <x v="1"/>
    <n v="110908"/>
    <x v="3"/>
    <x v="0"/>
    <x v="16"/>
    <n v="9674"/>
    <n v="3"/>
    <x v="98"/>
    <n v="1"/>
    <n v="1"/>
    <n v="0.47550134628902213"/>
    <x v="97"/>
    <n v="3.1010957204879059E-4"/>
    <x v="50"/>
    <n v="0.33333333333333331"/>
    <n v="33.333333333333329"/>
  </r>
  <r>
    <n v="747659"/>
    <x v="1"/>
    <n v="110910"/>
    <x v="3"/>
    <x v="0"/>
    <x v="1"/>
    <n v="12186"/>
    <n v="2"/>
    <x v="99"/>
    <n v="1"/>
    <n v="0"/>
    <n v="0.21910388618086329"/>
    <x v="98"/>
    <n v="1.6412276382734285E-4"/>
    <x v="1"/>
    <n v="0"/>
    <n v="50"/>
  </r>
  <r>
    <n v="747675"/>
    <x v="1"/>
    <n v="110913"/>
    <x v="3"/>
    <x v="0"/>
    <x v="2"/>
    <n v="673"/>
    <n v="0"/>
    <x v="2"/>
    <n v="1"/>
    <n v="0"/>
    <n v="0"/>
    <x v="2"/>
    <n v="0"/>
    <x v="1"/>
    <n v="0"/>
    <n v="0"/>
  </r>
  <r>
    <n v="747678"/>
    <x v="1"/>
    <n v="110914"/>
    <x v="3"/>
    <x v="0"/>
    <x v="10"/>
    <n v="370"/>
    <n v="0"/>
    <x v="2"/>
    <n v="1"/>
    <n v="1"/>
    <n v="0"/>
    <x v="2"/>
    <n v="0"/>
    <x v="3"/>
    <n v="0"/>
    <n v="0"/>
  </r>
  <r>
    <n v="747712"/>
    <x v="1"/>
    <n v="110919"/>
    <x v="3"/>
    <x v="0"/>
    <x v="18"/>
    <n v="450"/>
    <n v="0"/>
    <x v="2"/>
    <n v="1"/>
    <n v="1"/>
    <n v="0"/>
    <x v="2"/>
    <n v="0"/>
    <x v="3"/>
    <n v="0"/>
    <n v="0"/>
  </r>
  <r>
    <n v="747790"/>
    <x v="1"/>
    <n v="110932"/>
    <x v="0"/>
    <x v="1"/>
    <x v="16"/>
    <n v="2077"/>
    <n v="0"/>
    <x v="2"/>
    <n v="1"/>
    <n v="1"/>
    <n v="0"/>
    <x v="2"/>
    <n v="0"/>
    <x v="3"/>
    <n v="0"/>
    <n v="0"/>
  </r>
  <r>
    <n v="747791"/>
    <x v="1"/>
    <n v="110932"/>
    <x v="0"/>
    <x v="1"/>
    <x v="16"/>
    <n v="31393"/>
    <n v="8"/>
    <x v="100"/>
    <n v="1"/>
    <n v="1"/>
    <n v="0.34912243207084381"/>
    <x v="99"/>
    <n v="2.5483388016436787E-4"/>
    <x v="51"/>
    <n v="0.125"/>
    <n v="12.5"/>
  </r>
  <r>
    <n v="747795"/>
    <x v="1"/>
    <n v="110933"/>
    <x v="0"/>
    <x v="1"/>
    <x v="0"/>
    <n v="8410"/>
    <n v="2"/>
    <x v="101"/>
    <n v="1"/>
    <n v="1"/>
    <n v="0.28061829904875146"/>
    <x v="100"/>
    <n v="2.3781212841854935E-4"/>
    <x v="52"/>
    <n v="0.5"/>
    <n v="50"/>
  </r>
  <r>
    <n v="747798"/>
    <x v="1"/>
    <n v="110934"/>
    <x v="0"/>
    <x v="1"/>
    <x v="1"/>
    <n v="25884"/>
    <n v="5"/>
    <x v="102"/>
    <n v="1"/>
    <n v="0"/>
    <n v="0.28395920812084685"/>
    <x v="101"/>
    <n v="1.9316952557564519E-4"/>
    <x v="1"/>
    <n v="0"/>
    <n v="20"/>
  </r>
  <r>
    <n v="747824"/>
    <x v="1"/>
    <n v="110938"/>
    <x v="0"/>
    <x v="1"/>
    <x v="10"/>
    <n v="608"/>
    <n v="0"/>
    <x v="2"/>
    <n v="1"/>
    <n v="1"/>
    <n v="0"/>
    <x v="2"/>
    <n v="0"/>
    <x v="3"/>
    <n v="0"/>
    <n v="0"/>
  </r>
  <r>
    <n v="747828"/>
    <x v="1"/>
    <n v="110939"/>
    <x v="0"/>
    <x v="1"/>
    <x v="22"/>
    <n v="28488"/>
    <n v="10"/>
    <x v="103"/>
    <n v="1"/>
    <n v="0"/>
    <n v="0.32785734460123567"/>
    <x v="102"/>
    <n v="3.5102499297950013E-4"/>
    <x v="1"/>
    <n v="0"/>
    <n v="10"/>
  </r>
  <r>
    <n v="747852"/>
    <x v="1"/>
    <n v="110943"/>
    <x v="0"/>
    <x v="1"/>
    <x v="18"/>
    <n v="10126"/>
    <n v="3"/>
    <x v="104"/>
    <n v="1"/>
    <n v="0"/>
    <n v="0.45625122318783334"/>
    <x v="103"/>
    <n v="2.962670353545329E-4"/>
    <x v="1"/>
    <n v="0"/>
    <n v="33.333333333333329"/>
  </r>
  <r>
    <n v="747859"/>
    <x v="1"/>
    <n v="110944"/>
    <x v="0"/>
    <x v="1"/>
    <x v="5"/>
    <n v="22572"/>
    <n v="5"/>
    <x v="105"/>
    <n v="1"/>
    <n v="0"/>
    <n v="0.37657274499379767"/>
    <x v="104"/>
    <n v="2.2151337940811626E-4"/>
    <x v="1"/>
    <n v="0"/>
    <n v="20"/>
  </r>
  <r>
    <n v="747863"/>
    <x v="1"/>
    <n v="110944"/>
    <x v="0"/>
    <x v="1"/>
    <x v="5"/>
    <n v="1955"/>
    <n v="0"/>
    <x v="2"/>
    <n v="1"/>
    <n v="1"/>
    <n v="0"/>
    <x v="2"/>
    <n v="0"/>
    <x v="3"/>
    <n v="0"/>
    <n v="0"/>
  </r>
  <r>
    <n v="747879"/>
    <x v="1"/>
    <n v="110947"/>
    <x v="0"/>
    <x v="1"/>
    <x v="8"/>
    <n v="493"/>
    <n v="0"/>
    <x v="2"/>
    <n v="1"/>
    <n v="0"/>
    <n v="0"/>
    <x v="2"/>
    <n v="0"/>
    <x v="1"/>
    <n v="0"/>
    <n v="0"/>
  </r>
  <r>
    <n v="747903"/>
    <x v="1"/>
    <n v="110951"/>
    <x v="0"/>
    <x v="1"/>
    <x v="13"/>
    <n v="1491"/>
    <n v="0"/>
    <x v="2"/>
    <n v="1"/>
    <n v="1"/>
    <n v="0"/>
    <x v="2"/>
    <n v="0"/>
    <x v="3"/>
    <n v="0"/>
    <n v="0"/>
  </r>
  <r>
    <n v="747911"/>
    <x v="1"/>
    <n v="110952"/>
    <x v="0"/>
    <x v="1"/>
    <x v="21"/>
    <n v="1495"/>
    <n v="0"/>
    <x v="2"/>
    <n v="1"/>
    <n v="1"/>
    <n v="0"/>
    <x v="2"/>
    <n v="0"/>
    <x v="3"/>
    <n v="0"/>
    <n v="0"/>
  </r>
  <r>
    <n v="747968"/>
    <x v="1"/>
    <n v="110962"/>
    <x v="1"/>
    <x v="1"/>
    <x v="10"/>
    <n v="512"/>
    <n v="0"/>
    <x v="2"/>
    <n v="0"/>
    <n v="0"/>
    <n v="0"/>
    <x v="2"/>
    <n v="0"/>
    <x v="1"/>
    <n v="0"/>
    <n v="0"/>
  </r>
  <r>
    <n v="747991"/>
    <x v="1"/>
    <n v="110966"/>
    <x v="1"/>
    <x v="1"/>
    <x v="15"/>
    <n v="4868"/>
    <n v="2"/>
    <x v="106"/>
    <n v="1"/>
    <n v="0"/>
    <n v="0.49712409120788831"/>
    <x v="105"/>
    <n v="4.1084634346754312E-4"/>
    <x v="1"/>
    <n v="0"/>
    <n v="50"/>
  </r>
  <r>
    <n v="748000"/>
    <x v="1"/>
    <n v="110967"/>
    <x v="1"/>
    <x v="1"/>
    <x v="18"/>
    <n v="6585"/>
    <n v="2"/>
    <x v="107"/>
    <n v="1"/>
    <n v="0"/>
    <n v="0.44798785846621109"/>
    <x v="106"/>
    <n v="3.0372057706909645E-4"/>
    <x v="1"/>
    <n v="0"/>
    <n v="50"/>
  </r>
  <r>
    <n v="748007"/>
    <x v="1"/>
    <n v="110968"/>
    <x v="1"/>
    <x v="1"/>
    <x v="5"/>
    <n v="10164"/>
    <n v="2"/>
    <x v="108"/>
    <n v="1"/>
    <n v="1"/>
    <n v="0.36599764157811882"/>
    <x v="107"/>
    <n v="1.9677292404565131E-4"/>
    <x v="53"/>
    <n v="0.5"/>
    <n v="50"/>
  </r>
  <r>
    <n v="748014"/>
    <x v="1"/>
    <n v="110970"/>
    <x v="1"/>
    <x v="1"/>
    <x v="4"/>
    <n v="11182"/>
    <n v="4"/>
    <x v="109"/>
    <n v="1"/>
    <n v="0"/>
    <n v="0.39796099168306209"/>
    <x v="108"/>
    <n v="3.5771776068681808E-4"/>
    <x v="1"/>
    <n v="0"/>
    <n v="25"/>
  </r>
  <r>
    <n v="748045"/>
    <x v="1"/>
    <n v="110975"/>
    <x v="1"/>
    <x v="1"/>
    <x v="13"/>
    <n v="1238"/>
    <n v="0"/>
    <x v="2"/>
    <n v="1"/>
    <n v="0"/>
    <n v="0"/>
    <x v="2"/>
    <n v="0"/>
    <x v="1"/>
    <n v="0"/>
    <n v="0"/>
  </r>
  <r>
    <n v="748086"/>
    <x v="1"/>
    <n v="110982"/>
    <x v="2"/>
    <x v="1"/>
    <x v="1"/>
    <n v="34127"/>
    <n v="8"/>
    <x v="110"/>
    <n v="1"/>
    <n v="0"/>
    <n v="0.38298122219943154"/>
    <x v="109"/>
    <n v="2.3441849561930435E-4"/>
    <x v="1"/>
    <n v="0"/>
    <n v="12.5"/>
  </r>
  <r>
    <n v="748087"/>
    <x v="1"/>
    <n v="110982"/>
    <x v="2"/>
    <x v="1"/>
    <x v="1"/>
    <n v="29466"/>
    <n v="7"/>
    <x v="111"/>
    <n v="2"/>
    <n v="0"/>
    <n v="0.36822098927577551"/>
    <x v="110"/>
    <n v="2.3756193579040251E-4"/>
    <x v="1"/>
    <n v="0"/>
    <n v="28.571428571428569"/>
  </r>
  <r>
    <n v="748089"/>
    <x v="1"/>
    <n v="110982"/>
    <x v="2"/>
    <x v="1"/>
    <x v="1"/>
    <n v="38759"/>
    <n v="9"/>
    <x v="111"/>
    <n v="1"/>
    <n v="0"/>
    <n v="0.27993497432854303"/>
    <x v="111"/>
    <n v="2.3220413323357157E-4"/>
    <x v="1"/>
    <n v="0"/>
    <n v="11.111111111111111"/>
  </r>
  <r>
    <n v="748091"/>
    <x v="1"/>
    <n v="110982"/>
    <x v="2"/>
    <x v="1"/>
    <x v="1"/>
    <n v="41720"/>
    <n v="10"/>
    <x v="112"/>
    <n v="1"/>
    <n v="1"/>
    <n v="0.28906999185043147"/>
    <x v="112"/>
    <n v="2.3969319271332693E-4"/>
    <x v="54"/>
    <n v="0.1"/>
    <n v="10"/>
  </r>
  <r>
    <n v="748225"/>
    <x v="1"/>
    <n v="111005"/>
    <x v="3"/>
    <x v="1"/>
    <x v="0"/>
    <n v="18602"/>
    <n v="5"/>
    <x v="113"/>
    <n v="1"/>
    <n v="0"/>
    <n v="0.47629287893774863"/>
    <x v="113"/>
    <n v="2.6878830233308245E-4"/>
    <x v="1"/>
    <n v="0"/>
    <n v="20"/>
  </r>
  <r>
    <n v="748230"/>
    <x v="1"/>
    <n v="111006"/>
    <x v="3"/>
    <x v="1"/>
    <x v="1"/>
    <n v="83929"/>
    <n v="21"/>
    <x v="114"/>
    <n v="4"/>
    <n v="1"/>
    <n v="0.33039830737885595"/>
    <x v="114"/>
    <n v="2.5021148828176194E-4"/>
    <x v="55"/>
    <n v="4.7619047619047616E-2"/>
    <n v="19.047619047619047"/>
  </r>
  <r>
    <n v="748231"/>
    <x v="1"/>
    <n v="111006"/>
    <x v="3"/>
    <x v="1"/>
    <x v="1"/>
    <n v="25194"/>
    <n v="6"/>
    <x v="115"/>
    <n v="1"/>
    <n v="0"/>
    <n v="0.29173612387870124"/>
    <x v="115"/>
    <n v="2.3815194093831864E-4"/>
    <x v="1"/>
    <n v="0"/>
    <n v="16.666666666666664"/>
  </r>
  <r>
    <n v="748233"/>
    <x v="1"/>
    <n v="111006"/>
    <x v="3"/>
    <x v="1"/>
    <x v="1"/>
    <n v="78627"/>
    <n v="19"/>
    <x v="116"/>
    <n v="1"/>
    <n v="0"/>
    <n v="0.33741590611367595"/>
    <x v="116"/>
    <n v="2.4164727129357601E-4"/>
    <x v="1"/>
    <n v="0"/>
    <n v="5.2631578947368416"/>
  </r>
  <r>
    <n v="748235"/>
    <x v="1"/>
    <n v="111006"/>
    <x v="3"/>
    <x v="1"/>
    <x v="1"/>
    <n v="102695"/>
    <n v="25"/>
    <x v="117"/>
    <n v="3"/>
    <n v="0"/>
    <n v="0.38395247899118751"/>
    <x v="117"/>
    <n v="2.4343931057987245E-4"/>
    <x v="1"/>
    <n v="0"/>
    <n v="12"/>
  </r>
  <r>
    <n v="748294"/>
    <x v="1"/>
    <n v="111016"/>
    <x v="3"/>
    <x v="1"/>
    <x v="5"/>
    <n v="82827"/>
    <n v="24"/>
    <x v="118"/>
    <n v="3"/>
    <n v="0"/>
    <n v="0.57867603933499945"/>
    <x v="118"/>
    <n v="2.8976058531638235E-4"/>
    <x v="1"/>
    <n v="0"/>
    <n v="12.5"/>
  </r>
  <r>
    <n v="748295"/>
    <x v="1"/>
    <n v="111016"/>
    <x v="3"/>
    <x v="1"/>
    <x v="5"/>
    <n v="9240"/>
    <n v="3"/>
    <x v="119"/>
    <n v="1"/>
    <n v="0"/>
    <n v="0.65367964956709956"/>
    <x v="119"/>
    <n v="3.2467532467532468E-4"/>
    <x v="1"/>
    <n v="0"/>
    <n v="33.333333333333329"/>
  </r>
  <r>
    <n v="748303"/>
    <x v="1"/>
    <n v="111018"/>
    <x v="3"/>
    <x v="1"/>
    <x v="4"/>
    <n v="7706"/>
    <n v="2"/>
    <x v="120"/>
    <n v="1"/>
    <n v="0"/>
    <n v="0.30755254165585261"/>
    <x v="120"/>
    <n v="2.5953802232026989E-4"/>
    <x v="1"/>
    <n v="0"/>
    <n v="50"/>
  </r>
  <r>
    <n v="748314"/>
    <x v="1"/>
    <n v="111020"/>
    <x v="3"/>
    <x v="1"/>
    <x v="6"/>
    <n v="7821"/>
    <n v="4"/>
    <x v="121"/>
    <n v="1"/>
    <n v="1"/>
    <n v="0.81063804539061501"/>
    <x v="121"/>
    <n v="5.1144354941823301E-4"/>
    <x v="56"/>
    <n v="0.25"/>
    <n v="25"/>
  </r>
  <r>
    <n v="748341"/>
    <x v="1"/>
    <n v="111024"/>
    <x v="3"/>
    <x v="1"/>
    <x v="21"/>
    <n v="1363"/>
    <n v="0"/>
    <x v="2"/>
    <n v="1"/>
    <n v="1"/>
    <n v="0"/>
    <x v="2"/>
    <n v="0"/>
    <x v="3"/>
    <n v="0"/>
    <n v="0"/>
  </r>
  <r>
    <n v="776318"/>
    <x v="1"/>
    <n v="115484"/>
    <x v="3"/>
    <x v="1"/>
    <x v="0"/>
    <n v="3569"/>
    <n v="0"/>
    <x v="2"/>
    <n v="1"/>
    <n v="1"/>
    <n v="0"/>
    <x v="2"/>
    <n v="0"/>
    <x v="3"/>
    <n v="0"/>
    <n v="0"/>
  </r>
  <r>
    <n v="776322"/>
    <x v="1"/>
    <n v="115485"/>
    <x v="3"/>
    <x v="1"/>
    <x v="1"/>
    <n v="119063"/>
    <n v="34"/>
    <x v="122"/>
    <n v="1"/>
    <n v="0"/>
    <n v="0.44699024457640074"/>
    <x v="122"/>
    <n v="2.8556310524680212E-4"/>
    <x v="1"/>
    <n v="0"/>
    <n v="2.9411764705882351"/>
  </r>
  <r>
    <n v="776323"/>
    <x v="1"/>
    <n v="115485"/>
    <x v="3"/>
    <x v="1"/>
    <x v="1"/>
    <n v="99078"/>
    <n v="23"/>
    <x v="123"/>
    <n v="2"/>
    <n v="0"/>
    <n v="0.36133147096227214"/>
    <x v="123"/>
    <n v="2.3214033387835846E-4"/>
    <x v="1"/>
    <n v="0"/>
    <n v="8.695652173913043"/>
  </r>
  <r>
    <n v="776325"/>
    <x v="1"/>
    <n v="115485"/>
    <x v="3"/>
    <x v="1"/>
    <x v="1"/>
    <n v="452398"/>
    <n v="114"/>
    <x v="124"/>
    <n v="1"/>
    <n v="0"/>
    <n v="0.39836604317437302"/>
    <x v="124"/>
    <n v="2.5199050393679903E-4"/>
    <x v="1"/>
    <n v="0"/>
    <n v="0.8771929824561403"/>
  </r>
  <r>
    <n v="776334"/>
    <x v="1"/>
    <n v="115487"/>
    <x v="3"/>
    <x v="1"/>
    <x v="16"/>
    <n v="191223"/>
    <n v="48"/>
    <x v="125"/>
    <n v="1"/>
    <n v="0"/>
    <n v="0.39958582680953653"/>
    <x v="125"/>
    <n v="2.5101582968575954E-4"/>
    <x v="1"/>
    <n v="0"/>
    <n v="2.083333333333333"/>
  </r>
  <r>
    <n v="776336"/>
    <x v="1"/>
    <n v="115487"/>
    <x v="3"/>
    <x v="1"/>
    <x v="16"/>
    <n v="22216"/>
    <n v="6"/>
    <x v="126"/>
    <n v="1"/>
    <n v="0"/>
    <n v="0.42987036154123159"/>
    <x v="126"/>
    <n v="2.7007562117392869E-4"/>
    <x v="1"/>
    <n v="0"/>
    <n v="16.666666666666664"/>
  </r>
  <r>
    <n v="776338"/>
    <x v="1"/>
    <n v="115487"/>
    <x v="3"/>
    <x v="1"/>
    <x v="16"/>
    <n v="48291"/>
    <n v="11"/>
    <x v="127"/>
    <n v="1"/>
    <n v="0"/>
    <n v="0.37315441759334039"/>
    <x v="127"/>
    <n v="2.2778571576484232E-4"/>
    <x v="1"/>
    <n v="0"/>
    <n v="9.0909090909090917"/>
  </r>
  <r>
    <n v="776353"/>
    <x v="1"/>
    <n v="115490"/>
    <x v="2"/>
    <x v="1"/>
    <x v="13"/>
    <n v="27559"/>
    <n v="8"/>
    <x v="128"/>
    <n v="1"/>
    <n v="0"/>
    <n v="0.48514097028194053"/>
    <x v="128"/>
    <n v="2.9028629485830401E-4"/>
    <x v="1"/>
    <n v="0"/>
    <n v="12.5"/>
  </r>
  <r>
    <n v="776373"/>
    <x v="1"/>
    <n v="115493"/>
    <x v="3"/>
    <x v="1"/>
    <x v="15"/>
    <n v="10194"/>
    <n v="4"/>
    <x v="129"/>
    <n v="2"/>
    <n v="1"/>
    <n v="0.45026486492054146"/>
    <x v="129"/>
    <n v="3.9238767902687857E-4"/>
    <x v="57"/>
    <n v="0.25"/>
    <n v="50"/>
  </r>
  <r>
    <n v="776383"/>
    <x v="1"/>
    <n v="115495"/>
    <x v="3"/>
    <x v="1"/>
    <x v="20"/>
    <n v="1168"/>
    <n v="0"/>
    <x v="2"/>
    <n v="1"/>
    <n v="1"/>
    <n v="0"/>
    <x v="2"/>
    <n v="0"/>
    <x v="3"/>
    <n v="0"/>
    <n v="0"/>
  </r>
  <r>
    <n v="776405"/>
    <x v="1"/>
    <n v="115498"/>
    <x v="3"/>
    <x v="1"/>
    <x v="10"/>
    <n v="40126"/>
    <n v="16"/>
    <x v="130"/>
    <n v="1"/>
    <n v="0"/>
    <n v="0.64446992000199366"/>
    <x v="130"/>
    <n v="3.9874395653690872E-4"/>
    <x v="1"/>
    <n v="0"/>
    <n v="6.25"/>
  </r>
  <r>
    <n v="776416"/>
    <x v="1"/>
    <n v="115500"/>
    <x v="3"/>
    <x v="1"/>
    <x v="17"/>
    <n v="3659"/>
    <n v="1"/>
    <x v="131"/>
    <n v="1"/>
    <n v="1"/>
    <n v="0.13391637332604536"/>
    <x v="131"/>
    <n v="2.7329871549603714E-4"/>
    <x v="58"/>
    <n v="1"/>
    <n v="100"/>
  </r>
  <r>
    <n v="776430"/>
    <x v="1"/>
    <n v="115503"/>
    <x v="0"/>
    <x v="0"/>
    <x v="16"/>
    <n v="3200"/>
    <n v="0"/>
    <x v="2"/>
    <n v="1"/>
    <n v="0"/>
    <n v="0"/>
    <x v="2"/>
    <n v="0"/>
    <x v="1"/>
    <n v="0"/>
    <n v="0"/>
  </r>
  <r>
    <n v="776464"/>
    <x v="1"/>
    <n v="115508"/>
    <x v="3"/>
    <x v="1"/>
    <x v="4"/>
    <n v="7550"/>
    <n v="1"/>
    <x v="132"/>
    <n v="1"/>
    <n v="1"/>
    <n v="0.2225165494039735"/>
    <x v="132"/>
    <n v="1.3245033112582781E-4"/>
    <x v="59"/>
    <n v="1"/>
    <n v="100"/>
  </r>
  <r>
    <n v="776469"/>
    <x v="1"/>
    <n v="115509"/>
    <x v="3"/>
    <x v="1"/>
    <x v="3"/>
    <n v="45397"/>
    <n v="15"/>
    <x v="133"/>
    <n v="1"/>
    <n v="1"/>
    <n v="0.55994888120360364"/>
    <x v="133"/>
    <n v="3.3041830957992817E-4"/>
    <x v="60"/>
    <n v="6.6666666666666666E-2"/>
    <n v="6.666666666666667"/>
  </r>
  <r>
    <n v="776473"/>
    <x v="1"/>
    <n v="115510"/>
    <x v="0"/>
    <x v="0"/>
    <x v="1"/>
    <n v="23086"/>
    <n v="2"/>
    <x v="134"/>
    <n v="1"/>
    <n v="1"/>
    <n v="0.14337694108983801"/>
    <x v="134"/>
    <n v="8.6632591180802222E-5"/>
    <x v="61"/>
    <n v="0.5"/>
    <n v="50"/>
  </r>
  <r>
    <n v="776475"/>
    <x v="1"/>
    <n v="115510"/>
    <x v="0"/>
    <x v="0"/>
    <x v="1"/>
    <n v="16425"/>
    <n v="1"/>
    <x v="135"/>
    <n v="1"/>
    <n v="0"/>
    <n v="9.4368338021308978E-2"/>
    <x v="135"/>
    <n v="6.0882800608828003E-5"/>
    <x v="1"/>
    <n v="0"/>
    <n v="100"/>
  </r>
  <r>
    <n v="776476"/>
    <x v="1"/>
    <n v="115510"/>
    <x v="0"/>
    <x v="0"/>
    <x v="1"/>
    <n v="43756"/>
    <n v="5"/>
    <x v="136"/>
    <n v="0"/>
    <n v="0"/>
    <n v="0.12432580532955481"/>
    <x v="136"/>
    <n v="1.1427004296553616E-4"/>
    <x v="1"/>
    <n v="0"/>
    <n v="0"/>
  </r>
  <r>
    <n v="776477"/>
    <x v="1"/>
    <n v="115510"/>
    <x v="0"/>
    <x v="0"/>
    <x v="1"/>
    <n v="9982"/>
    <n v="0"/>
    <x v="2"/>
    <n v="1"/>
    <n v="0"/>
    <n v="0"/>
    <x v="2"/>
    <n v="0"/>
    <x v="1"/>
    <n v="0"/>
    <n v="0"/>
  </r>
  <r>
    <n v="776489"/>
    <x v="1"/>
    <n v="115512"/>
    <x v="3"/>
    <x v="1"/>
    <x v="18"/>
    <n v="175389"/>
    <n v="55"/>
    <x v="137"/>
    <n v="1"/>
    <n v="0"/>
    <n v="0.46530853058059513"/>
    <x v="137"/>
    <n v="3.1358865151178236E-4"/>
    <x v="1"/>
    <n v="0"/>
    <n v="1.8181818181818181"/>
  </r>
  <r>
    <n v="776494"/>
    <x v="1"/>
    <n v="115513"/>
    <x v="0"/>
    <x v="0"/>
    <x v="0"/>
    <n v="7015"/>
    <n v="0"/>
    <x v="2"/>
    <n v="1"/>
    <n v="0"/>
    <n v="0"/>
    <x v="2"/>
    <n v="0"/>
    <x v="1"/>
    <n v="0"/>
    <n v="0"/>
  </r>
  <r>
    <n v="776515"/>
    <x v="1"/>
    <n v="115517"/>
    <x v="3"/>
    <x v="1"/>
    <x v="14"/>
    <n v="12706"/>
    <n v="3"/>
    <x v="138"/>
    <n v="1"/>
    <n v="1"/>
    <n v="0.39272783645521803"/>
    <x v="138"/>
    <n v="2.3610892491736187E-4"/>
    <x v="62"/>
    <n v="0.33333333333333331"/>
    <n v="33.333333333333329"/>
  </r>
  <r>
    <n v="776519"/>
    <x v="1"/>
    <n v="115517"/>
    <x v="3"/>
    <x v="1"/>
    <x v="14"/>
    <n v="70702"/>
    <n v="20"/>
    <x v="139"/>
    <n v="1"/>
    <n v="0"/>
    <n v="0.44850216118355918"/>
    <x v="139"/>
    <n v="2.8287742920992336E-4"/>
    <x v="1"/>
    <n v="0"/>
    <n v="5"/>
  </r>
  <r>
    <n v="776533"/>
    <x v="1"/>
    <n v="115520"/>
    <x v="3"/>
    <x v="1"/>
    <x v="13"/>
    <n v="63927"/>
    <n v="16"/>
    <x v="140"/>
    <n v="2"/>
    <n v="0"/>
    <n v="0.39920535079074565"/>
    <x v="140"/>
    <n v="2.5028548187776685E-4"/>
    <x v="1"/>
    <n v="0"/>
    <n v="12.5"/>
  </r>
  <r>
    <n v="776534"/>
    <x v="1"/>
    <n v="115520"/>
    <x v="3"/>
    <x v="1"/>
    <x v="13"/>
    <n v="15105"/>
    <n v="3"/>
    <x v="141"/>
    <n v="1"/>
    <n v="0"/>
    <n v="0.28202581860311154"/>
    <x v="141"/>
    <n v="1.9860973187686197E-4"/>
    <x v="1"/>
    <n v="0"/>
    <n v="33.333333333333329"/>
  </r>
  <r>
    <n v="776538"/>
    <x v="1"/>
    <n v="115521"/>
    <x v="0"/>
    <x v="1"/>
    <x v="0"/>
    <n v="8774"/>
    <n v="1"/>
    <x v="142"/>
    <n v="1"/>
    <n v="0"/>
    <n v="0.20857078219740144"/>
    <x v="142"/>
    <n v="1.1397310234784591E-4"/>
    <x v="1"/>
    <n v="0"/>
    <n v="100"/>
  </r>
  <r>
    <n v="776551"/>
    <x v="1"/>
    <n v="115523"/>
    <x v="0"/>
    <x v="1"/>
    <x v="1"/>
    <n v="14459"/>
    <n v="1"/>
    <x v="49"/>
    <n v="1"/>
    <n v="0"/>
    <n v="9.6133894875164272E-2"/>
    <x v="50"/>
    <n v="6.9161076146344842E-5"/>
    <x v="1"/>
    <n v="0"/>
    <n v="100"/>
  </r>
  <r>
    <n v="776552"/>
    <x v="1"/>
    <n v="115523"/>
    <x v="0"/>
    <x v="1"/>
    <x v="1"/>
    <n v="21596"/>
    <n v="2"/>
    <x v="143"/>
    <n v="1"/>
    <n v="0"/>
    <n v="0.13011668563622894"/>
    <x v="143"/>
    <n v="9.2609742544915726E-5"/>
    <x v="1"/>
    <n v="0"/>
    <n v="50"/>
  </r>
  <r>
    <n v="776553"/>
    <x v="1"/>
    <n v="115523"/>
    <x v="0"/>
    <x v="1"/>
    <x v="1"/>
    <n v="66765"/>
    <n v="8"/>
    <x v="144"/>
    <n v="1"/>
    <n v="0"/>
    <n v="0.16550587448513443"/>
    <x v="144"/>
    <n v="1.1982326069048154E-4"/>
    <x v="1"/>
    <n v="0"/>
    <n v="12.5"/>
  </r>
  <r>
    <n v="776563"/>
    <x v="1"/>
    <n v="115525"/>
    <x v="0"/>
    <x v="1"/>
    <x v="7"/>
    <n v="1369"/>
    <n v="0"/>
    <x v="2"/>
    <n v="1"/>
    <n v="1"/>
    <n v="0"/>
    <x v="2"/>
    <n v="0"/>
    <x v="3"/>
    <n v="0"/>
    <n v="0"/>
  </r>
  <r>
    <n v="776579"/>
    <x v="1"/>
    <n v="115527"/>
    <x v="0"/>
    <x v="1"/>
    <x v="16"/>
    <n v="26910"/>
    <n v="5"/>
    <x v="145"/>
    <n v="1"/>
    <n v="0"/>
    <n v="0.26867334749163879"/>
    <x v="145"/>
    <n v="1.8580453363062059E-4"/>
    <x v="1"/>
    <n v="0"/>
    <n v="20"/>
  </r>
  <r>
    <n v="776603"/>
    <x v="1"/>
    <n v="115531"/>
    <x v="0"/>
    <x v="1"/>
    <x v="23"/>
    <n v="506"/>
    <n v="0"/>
    <x v="2"/>
    <n v="1"/>
    <n v="0"/>
    <n v="0"/>
    <x v="2"/>
    <n v="0"/>
    <x v="1"/>
    <n v="0"/>
    <n v="0"/>
  </r>
  <r>
    <n v="776615"/>
    <x v="1"/>
    <n v="115533"/>
    <x v="3"/>
    <x v="0"/>
    <x v="13"/>
    <n v="11988"/>
    <n v="3"/>
    <x v="146"/>
    <n v="1"/>
    <n v="0"/>
    <n v="0.35618951134467802"/>
    <x v="146"/>
    <n v="2.5025025025025025E-4"/>
    <x v="1"/>
    <n v="0"/>
    <n v="33.333333333333329"/>
  </r>
  <r>
    <n v="776623"/>
    <x v="1"/>
    <n v="115535"/>
    <x v="3"/>
    <x v="0"/>
    <x v="21"/>
    <n v="19353"/>
    <n v="6"/>
    <x v="147"/>
    <n v="1"/>
    <n v="1"/>
    <n v="0.48984653025370745"/>
    <x v="147"/>
    <n v="3.1002945279801579E-4"/>
    <x v="63"/>
    <n v="0.16666666666666666"/>
    <n v="16.666666666666664"/>
  </r>
  <r>
    <n v="776631"/>
    <x v="1"/>
    <n v="115536"/>
    <x v="2"/>
    <x v="0"/>
    <x v="4"/>
    <n v="10960"/>
    <n v="2"/>
    <x v="148"/>
    <n v="1"/>
    <n v="0"/>
    <n v="0.26368614096715326"/>
    <x v="148"/>
    <n v="1.8248175182481751E-4"/>
    <x v="1"/>
    <n v="0"/>
    <n v="50"/>
  </r>
  <r>
    <n v="776643"/>
    <x v="1"/>
    <n v="115538"/>
    <x v="0"/>
    <x v="0"/>
    <x v="0"/>
    <n v="33491"/>
    <n v="6"/>
    <x v="149"/>
    <n v="2"/>
    <n v="1"/>
    <n v="0.31560716879161566"/>
    <x v="149"/>
    <n v="1.7915260816338719E-4"/>
    <x v="64"/>
    <n v="0.16666666666666666"/>
    <n v="33.333333333333329"/>
  </r>
  <r>
    <n v="776644"/>
    <x v="1"/>
    <n v="115538"/>
    <x v="0"/>
    <x v="0"/>
    <x v="0"/>
    <n v="20083"/>
    <n v="2"/>
    <x v="150"/>
    <n v="2"/>
    <n v="1"/>
    <n v="0.15933874660160335"/>
    <x v="32"/>
    <n v="9.9586715132201359E-5"/>
    <x v="65"/>
    <n v="0.5"/>
    <n v="100"/>
  </r>
  <r>
    <n v="776659"/>
    <x v="1"/>
    <n v="115541"/>
    <x v="0"/>
    <x v="0"/>
    <x v="1"/>
    <n v="8817"/>
    <n v="0"/>
    <x v="2"/>
    <n v="1"/>
    <n v="1"/>
    <n v="0"/>
    <x v="2"/>
    <n v="0"/>
    <x v="3"/>
    <n v="0"/>
    <n v="0"/>
  </r>
  <r>
    <n v="776661"/>
    <x v="1"/>
    <n v="115541"/>
    <x v="0"/>
    <x v="0"/>
    <x v="1"/>
    <n v="15466"/>
    <n v="1"/>
    <x v="151"/>
    <n v="1"/>
    <n v="0"/>
    <n v="6.271822248803828E-2"/>
    <x v="150"/>
    <n v="6.4657959394801506E-5"/>
    <x v="1"/>
    <n v="0"/>
    <n v="100"/>
  </r>
  <r>
    <n v="776662"/>
    <x v="1"/>
    <n v="115541"/>
    <x v="0"/>
    <x v="0"/>
    <x v="1"/>
    <n v="27072"/>
    <n v="3"/>
    <x v="152"/>
    <n v="1"/>
    <n v="0"/>
    <n v="0.16142139498374705"/>
    <x v="151"/>
    <n v="1.1081560283687943E-4"/>
    <x v="1"/>
    <n v="0"/>
    <n v="33.333333333333329"/>
  </r>
  <r>
    <n v="776663"/>
    <x v="1"/>
    <n v="115541"/>
    <x v="0"/>
    <x v="0"/>
    <x v="1"/>
    <n v="15753"/>
    <n v="1"/>
    <x v="10"/>
    <n v="1"/>
    <n v="1"/>
    <n v="3.6183583634863202E-2"/>
    <x v="10"/>
    <n v="6.3479972068812291E-5"/>
    <x v="66"/>
    <n v="1"/>
    <n v="100"/>
  </r>
  <r>
    <n v="776668"/>
    <x v="1"/>
    <n v="115542"/>
    <x v="2"/>
    <x v="0"/>
    <x v="17"/>
    <n v="3523"/>
    <n v="1"/>
    <x v="153"/>
    <n v="1"/>
    <n v="1"/>
    <n v="0.51376665994890713"/>
    <x v="152"/>
    <n v="2.838489923360772E-4"/>
    <x v="67"/>
    <n v="1"/>
    <n v="100"/>
  </r>
  <r>
    <n v="776685"/>
    <x v="1"/>
    <n v="115545"/>
    <x v="2"/>
    <x v="0"/>
    <x v="1"/>
    <n v="7745"/>
    <n v="0"/>
    <x v="2"/>
    <n v="1"/>
    <n v="0"/>
    <n v="0"/>
    <x v="2"/>
    <n v="0"/>
    <x v="1"/>
    <n v="0"/>
    <n v="0"/>
  </r>
  <r>
    <n v="776686"/>
    <x v="1"/>
    <n v="115545"/>
    <x v="2"/>
    <x v="0"/>
    <x v="1"/>
    <n v="18709"/>
    <n v="2"/>
    <x v="154"/>
    <n v="1"/>
    <n v="0"/>
    <n v="0.1774546973649046"/>
    <x v="153"/>
    <n v="1.0690042225666791E-4"/>
    <x v="1"/>
    <n v="0"/>
    <n v="50"/>
  </r>
  <r>
    <n v="776687"/>
    <x v="1"/>
    <n v="115545"/>
    <x v="2"/>
    <x v="0"/>
    <x v="1"/>
    <n v="8022"/>
    <n v="0"/>
    <x v="2"/>
    <n v="2"/>
    <n v="1"/>
    <n v="0"/>
    <x v="2"/>
    <n v="0"/>
    <x v="3"/>
    <n v="0"/>
    <n v="0"/>
  </r>
  <r>
    <n v="776696"/>
    <x v="1"/>
    <n v="115547"/>
    <x v="0"/>
    <x v="0"/>
    <x v="16"/>
    <n v="7966"/>
    <n v="1"/>
    <x v="155"/>
    <n v="1"/>
    <n v="1"/>
    <n v="0.14812954406226464"/>
    <x v="154"/>
    <n v="1.2553351744915893E-4"/>
    <x v="68"/>
    <n v="1"/>
    <n v="100"/>
  </r>
  <r>
    <n v="776697"/>
    <x v="1"/>
    <n v="115547"/>
    <x v="0"/>
    <x v="0"/>
    <x v="16"/>
    <n v="4132"/>
    <n v="0"/>
    <x v="2"/>
    <n v="1"/>
    <n v="1"/>
    <n v="0"/>
    <x v="2"/>
    <n v="0"/>
    <x v="3"/>
    <n v="0"/>
    <n v="0"/>
  </r>
  <r>
    <n v="776698"/>
    <x v="1"/>
    <n v="115547"/>
    <x v="0"/>
    <x v="0"/>
    <x v="16"/>
    <n v="12785"/>
    <n v="3"/>
    <x v="156"/>
    <n v="2"/>
    <n v="1"/>
    <n v="0.36996480398904968"/>
    <x v="155"/>
    <n v="2.3464998044583498E-4"/>
    <x v="69"/>
    <n v="0.33333333333333331"/>
    <n v="66.666666666666657"/>
  </r>
  <r>
    <n v="776699"/>
    <x v="1"/>
    <n v="115547"/>
    <x v="0"/>
    <x v="0"/>
    <x v="16"/>
    <n v="8213"/>
    <n v="1"/>
    <x v="157"/>
    <n v="1"/>
    <n v="1"/>
    <n v="0.1680262991598685"/>
    <x v="156"/>
    <n v="1.2175818823815901E-4"/>
    <x v="70"/>
    <n v="1"/>
    <n v="100"/>
  </r>
  <r>
    <n v="776722"/>
    <x v="1"/>
    <n v="115551"/>
    <x v="0"/>
    <x v="0"/>
    <x v="23"/>
    <n v="545"/>
    <n v="0"/>
    <x v="2"/>
    <n v="1"/>
    <n v="1"/>
    <n v="0"/>
    <x v="2"/>
    <n v="0"/>
    <x v="3"/>
    <n v="0"/>
    <n v="0"/>
  </r>
  <r>
    <n v="776725"/>
    <x v="1"/>
    <n v="115552"/>
    <x v="2"/>
    <x v="0"/>
    <x v="20"/>
    <n v="2479"/>
    <n v="1"/>
    <x v="158"/>
    <n v="1"/>
    <n v="0"/>
    <n v="0.50826945945945956"/>
    <x v="157"/>
    <n v="4.0338846308995562E-4"/>
    <x v="1"/>
    <n v="0"/>
    <n v="100"/>
  </r>
  <r>
    <n v="776780"/>
    <x v="1"/>
    <n v="115561"/>
    <x v="2"/>
    <x v="0"/>
    <x v="23"/>
    <n v="3812"/>
    <n v="2"/>
    <x v="14"/>
    <n v="1"/>
    <n v="0"/>
    <n v="0.80010491920251825"/>
    <x v="14"/>
    <n v="5.2465897166841555E-4"/>
    <x v="1"/>
    <n v="0"/>
    <n v="50"/>
  </r>
  <r>
    <n v="776793"/>
    <x v="1"/>
    <n v="115563"/>
    <x v="3"/>
    <x v="0"/>
    <x v="10"/>
    <n v="1609"/>
    <n v="0"/>
    <x v="2"/>
    <n v="1"/>
    <n v="0"/>
    <n v="0"/>
    <x v="2"/>
    <n v="0"/>
    <x v="1"/>
    <n v="0"/>
    <n v="0"/>
  </r>
  <r>
    <n v="776799"/>
    <x v="1"/>
    <n v="115564"/>
    <x v="3"/>
    <x v="0"/>
    <x v="2"/>
    <n v="10257"/>
    <n v="3"/>
    <x v="159"/>
    <n v="1"/>
    <n v="1"/>
    <n v="0.34902992336940625"/>
    <x v="158"/>
    <n v="2.9248318221702252E-4"/>
    <x v="71"/>
    <n v="0.33333333333333331"/>
    <n v="33.333333333333329"/>
  </r>
  <r>
    <n v="776817"/>
    <x v="1"/>
    <n v="115567"/>
    <x v="2"/>
    <x v="0"/>
    <x v="16"/>
    <n v="12356"/>
    <n v="4"/>
    <x v="160"/>
    <n v="1"/>
    <n v="0"/>
    <n v="0.50825509639041755"/>
    <x v="159"/>
    <n v="3.2372936225315638E-4"/>
    <x v="1"/>
    <n v="0"/>
    <n v="25"/>
  </r>
  <r>
    <n v="776825"/>
    <x v="1"/>
    <n v="115568"/>
    <x v="3"/>
    <x v="0"/>
    <x v="12"/>
    <n v="7410"/>
    <n v="1"/>
    <x v="161"/>
    <n v="1"/>
    <n v="0"/>
    <n v="0.16329285263157894"/>
    <x v="105"/>
    <n v="1.3495276653171389E-4"/>
    <x v="1"/>
    <n v="0"/>
    <n v="100"/>
  </r>
  <r>
    <n v="776829"/>
    <x v="1"/>
    <n v="115569"/>
    <x v="3"/>
    <x v="0"/>
    <x v="1"/>
    <n v="140098"/>
    <n v="28"/>
    <x v="162"/>
    <n v="1"/>
    <n v="0"/>
    <n v="0.33283844244742961"/>
    <x v="160"/>
    <n v="1.99860097931448E-4"/>
    <x v="1"/>
    <n v="0"/>
    <n v="3.5714285714285712"/>
  </r>
  <r>
    <n v="776831"/>
    <x v="1"/>
    <n v="115569"/>
    <x v="3"/>
    <x v="0"/>
    <x v="1"/>
    <n v="107021"/>
    <n v="20"/>
    <x v="163"/>
    <n v="1"/>
    <n v="0"/>
    <n v="0.32180600181272834"/>
    <x v="161"/>
    <n v="1.8687921062221434E-4"/>
    <x v="1"/>
    <n v="0"/>
    <n v="5"/>
  </r>
  <r>
    <n v="776840"/>
    <x v="1"/>
    <n v="115571"/>
    <x v="1"/>
    <x v="0"/>
    <x v="19"/>
    <n v="2797"/>
    <n v="1"/>
    <x v="4"/>
    <n v="1"/>
    <n v="0"/>
    <n v="0.46120842402574186"/>
    <x v="4"/>
    <n v="3.5752592062924561E-4"/>
    <x v="1"/>
    <n v="0"/>
    <n v="100"/>
  </r>
  <r>
    <n v="776861"/>
    <x v="1"/>
    <n v="115574"/>
    <x v="3"/>
    <x v="0"/>
    <x v="7"/>
    <n v="16461"/>
    <n v="6"/>
    <x v="164"/>
    <n v="1"/>
    <n v="0"/>
    <n v="0.56011176659984208"/>
    <x v="162"/>
    <n v="3.6449790413705123E-4"/>
    <x v="1"/>
    <n v="0"/>
    <n v="16.666666666666664"/>
  </r>
  <r>
    <n v="776892"/>
    <x v="1"/>
    <n v="115580"/>
    <x v="2"/>
    <x v="0"/>
    <x v="13"/>
    <n v="17488"/>
    <n v="5"/>
    <x v="165"/>
    <n v="1"/>
    <n v="0"/>
    <n v="0.44144555746797803"/>
    <x v="163"/>
    <n v="2.8591033851784083E-4"/>
    <x v="1"/>
    <n v="0"/>
    <n v="20"/>
  </r>
  <r>
    <n v="776928"/>
    <x v="1"/>
    <n v="115586"/>
    <x v="1"/>
    <x v="0"/>
    <x v="16"/>
    <n v="9750"/>
    <n v="2"/>
    <x v="7"/>
    <n v="1"/>
    <n v="1"/>
    <n v="0.15384615384615385"/>
    <x v="164"/>
    <n v="2.0512820512820512E-4"/>
    <x v="72"/>
    <n v="0.5"/>
    <n v="50"/>
  </r>
  <r>
    <n v="776935"/>
    <x v="1"/>
    <n v="115587"/>
    <x v="3"/>
    <x v="0"/>
    <x v="19"/>
    <n v="1136"/>
    <n v="0"/>
    <x v="2"/>
    <n v="1"/>
    <n v="1"/>
    <n v="0"/>
    <x v="2"/>
    <n v="0"/>
    <x v="3"/>
    <n v="0"/>
    <n v="0"/>
  </r>
  <r>
    <n v="777105"/>
    <x v="1"/>
    <n v="115615"/>
    <x v="3"/>
    <x v="0"/>
    <x v="13"/>
    <n v="4333"/>
    <n v="1"/>
    <x v="166"/>
    <n v="1"/>
    <n v="1"/>
    <n v="4.154165866605123E-2"/>
    <x v="165"/>
    <n v="2.3078698361412417E-4"/>
    <x v="73"/>
    <n v="1"/>
    <n v="100"/>
  </r>
  <r>
    <n v="777130"/>
    <x v="1"/>
    <n v="115619"/>
    <x v="1"/>
    <x v="0"/>
    <x v="1"/>
    <n v="6260"/>
    <n v="0"/>
    <x v="2"/>
    <n v="1"/>
    <n v="0"/>
    <n v="0"/>
    <x v="2"/>
    <n v="0"/>
    <x v="1"/>
    <n v="0"/>
    <n v="0"/>
  </r>
  <r>
    <n v="777131"/>
    <x v="1"/>
    <n v="115619"/>
    <x v="1"/>
    <x v="0"/>
    <x v="1"/>
    <n v="6359"/>
    <n v="0"/>
    <x v="2"/>
    <n v="1"/>
    <n v="0"/>
    <n v="0"/>
    <x v="2"/>
    <n v="0"/>
    <x v="1"/>
    <n v="0"/>
    <n v="0"/>
  </r>
  <r>
    <n v="777166"/>
    <x v="1"/>
    <n v="115625"/>
    <x v="0"/>
    <x v="0"/>
    <x v="13"/>
    <n v="2383"/>
    <n v="0"/>
    <x v="2"/>
    <n v="1"/>
    <n v="1"/>
    <n v="0"/>
    <x v="2"/>
    <n v="0"/>
    <x v="3"/>
    <n v="0"/>
    <n v="0"/>
  </r>
  <r>
    <n v="777187"/>
    <x v="1"/>
    <n v="115629"/>
    <x v="2"/>
    <x v="0"/>
    <x v="5"/>
    <n v="11292"/>
    <n v="3"/>
    <x v="167"/>
    <n v="1"/>
    <n v="1"/>
    <n v="0.47732907066950053"/>
    <x v="166"/>
    <n v="2.6567481402763017E-4"/>
    <x v="74"/>
    <n v="0.33333333333333331"/>
    <n v="33.333333333333329"/>
  </r>
  <r>
    <n v="777198"/>
    <x v="1"/>
    <n v="115631"/>
    <x v="0"/>
    <x v="0"/>
    <x v="21"/>
    <n v="12729"/>
    <n v="4"/>
    <x v="168"/>
    <n v="1"/>
    <n v="0"/>
    <n v="0.45408122020582919"/>
    <x v="167"/>
    <n v="3.1424306701233402E-4"/>
    <x v="1"/>
    <n v="0"/>
    <n v="25"/>
  </r>
  <r>
    <n v="777200"/>
    <x v="1"/>
    <n v="115631"/>
    <x v="0"/>
    <x v="0"/>
    <x v="21"/>
    <n v="1898"/>
    <n v="0"/>
    <x v="2"/>
    <n v="1"/>
    <n v="1"/>
    <n v="0"/>
    <x v="2"/>
    <n v="0"/>
    <x v="3"/>
    <n v="0"/>
    <n v="0"/>
  </r>
  <r>
    <n v="777201"/>
    <x v="1"/>
    <n v="115631"/>
    <x v="0"/>
    <x v="0"/>
    <x v="21"/>
    <n v="1882"/>
    <n v="0"/>
    <x v="2"/>
    <n v="1"/>
    <n v="1"/>
    <n v="0"/>
    <x v="2"/>
    <n v="0"/>
    <x v="3"/>
    <n v="0"/>
    <n v="0"/>
  </r>
  <r>
    <n v="777235"/>
    <x v="1"/>
    <n v="115637"/>
    <x v="0"/>
    <x v="0"/>
    <x v="14"/>
    <n v="2883"/>
    <n v="1"/>
    <x v="169"/>
    <n v="1"/>
    <n v="1"/>
    <n v="0.34339230315643426"/>
    <x v="168"/>
    <n v="3.4686090877558099E-4"/>
    <x v="75"/>
    <n v="1"/>
    <n v="100"/>
  </r>
  <r>
    <n v="777248"/>
    <x v="1"/>
    <n v="115639"/>
    <x v="0"/>
    <x v="1"/>
    <x v="7"/>
    <n v="3989"/>
    <n v="1"/>
    <x v="170"/>
    <n v="1"/>
    <n v="0"/>
    <n v="0.32088241940335926"/>
    <x v="169"/>
    <n v="2.5068939583855601E-4"/>
    <x v="1"/>
    <n v="0"/>
    <n v="100"/>
  </r>
  <r>
    <n v="777261"/>
    <x v="1"/>
    <n v="115641"/>
    <x v="2"/>
    <x v="0"/>
    <x v="4"/>
    <n v="19603"/>
    <n v="4"/>
    <x v="171"/>
    <n v="1"/>
    <n v="1"/>
    <n v="0.26934652711319695"/>
    <x v="170"/>
    <n v="2.0405040044891087E-4"/>
    <x v="76"/>
    <n v="0.25"/>
    <n v="25"/>
  </r>
  <r>
    <n v="777382"/>
    <x v="1"/>
    <n v="115675"/>
    <x v="2"/>
    <x v="0"/>
    <x v="9"/>
    <n v="3047"/>
    <n v="1"/>
    <x v="157"/>
    <n v="1"/>
    <n v="0"/>
    <n v="0.4529044945848375"/>
    <x v="156"/>
    <n v="3.2819166393173612E-4"/>
    <x v="1"/>
    <n v="0"/>
    <n v="100"/>
  </r>
  <r>
    <n v="777398"/>
    <x v="1"/>
    <n v="115677"/>
    <x v="1"/>
    <x v="0"/>
    <x v="9"/>
    <n v="3029"/>
    <n v="1"/>
    <x v="172"/>
    <n v="1"/>
    <n v="1"/>
    <n v="0.34664904324859691"/>
    <x v="171"/>
    <n v="3.3014196104324861E-4"/>
    <x v="77"/>
    <n v="1"/>
    <n v="100"/>
  </r>
  <r>
    <n v="777410"/>
    <x v="1"/>
    <n v="115679"/>
    <x v="3"/>
    <x v="0"/>
    <x v="18"/>
    <n v="3490"/>
    <n v="1"/>
    <x v="173"/>
    <n v="1"/>
    <n v="1"/>
    <n v="0.38395416418338107"/>
    <x v="172"/>
    <n v="2.8653295128939826E-4"/>
    <x v="78"/>
    <n v="1"/>
    <n v="100"/>
  </r>
  <r>
    <n v="777482"/>
    <x v="1"/>
    <n v="115691"/>
    <x v="3"/>
    <x v="0"/>
    <x v="3"/>
    <n v="2479"/>
    <n v="0"/>
    <x v="2"/>
    <n v="1"/>
    <n v="0"/>
    <n v="0"/>
    <x v="2"/>
    <n v="0"/>
    <x v="1"/>
    <n v="0"/>
    <n v="0"/>
  </r>
  <r>
    <n v="777495"/>
    <x v="1"/>
    <n v="115693"/>
    <x v="2"/>
    <x v="0"/>
    <x v="17"/>
    <n v="19581"/>
    <n v="7"/>
    <x v="174"/>
    <n v="2"/>
    <n v="0"/>
    <n v="0.53265920177723303"/>
    <x v="173"/>
    <n v="3.57489402992697E-4"/>
    <x v="1"/>
    <n v="0"/>
    <n v="28.571428571428569"/>
  </r>
  <r>
    <n v="777519"/>
    <x v="1"/>
    <n v="115697"/>
    <x v="3"/>
    <x v="0"/>
    <x v="4"/>
    <n v="19537"/>
    <n v="5"/>
    <x v="175"/>
    <n v="1"/>
    <n v="0"/>
    <n v="0.31222807519066387"/>
    <x v="174"/>
    <n v="2.5592465578133796E-4"/>
    <x v="1"/>
    <n v="0"/>
    <n v="20"/>
  </r>
  <r>
    <n v="777625"/>
    <x v="1"/>
    <n v="115715"/>
    <x v="3"/>
    <x v="0"/>
    <x v="1"/>
    <n v="59433"/>
    <n v="12"/>
    <x v="176"/>
    <n v="3"/>
    <n v="0"/>
    <n v="0.33079264869685193"/>
    <x v="175"/>
    <n v="2.0190803089192874E-4"/>
    <x v="1"/>
    <n v="0"/>
    <n v="25"/>
  </r>
  <r>
    <n v="777627"/>
    <x v="1"/>
    <n v="115715"/>
    <x v="3"/>
    <x v="0"/>
    <x v="1"/>
    <n v="157534"/>
    <n v="33"/>
    <x v="177"/>
    <n v="2"/>
    <n v="0"/>
    <n v="0.35668491100333899"/>
    <x v="176"/>
    <n v="2.0947858874909543E-4"/>
    <x v="1"/>
    <n v="0"/>
    <n v="6.0606060606060606"/>
  </r>
  <r>
    <n v="777638"/>
    <x v="1"/>
    <n v="115717"/>
    <x v="2"/>
    <x v="0"/>
    <x v="7"/>
    <n v="1781"/>
    <n v="0"/>
    <x v="2"/>
    <n v="1"/>
    <n v="1"/>
    <n v="0"/>
    <x v="2"/>
    <n v="0"/>
    <x v="3"/>
    <n v="0"/>
    <n v="0"/>
  </r>
  <r>
    <n v="777670"/>
    <x v="1"/>
    <n v="115723"/>
    <x v="2"/>
    <x v="0"/>
    <x v="1"/>
    <n v="23769"/>
    <n v="4"/>
    <x v="178"/>
    <n v="1"/>
    <n v="0"/>
    <n v="0.25369177718877534"/>
    <x v="177"/>
    <n v="1.6828642349278473E-4"/>
    <x v="1"/>
    <n v="0"/>
    <n v="25"/>
  </r>
  <r>
    <n v="777673"/>
    <x v="1"/>
    <n v="115723"/>
    <x v="2"/>
    <x v="0"/>
    <x v="1"/>
    <n v="7101"/>
    <n v="0"/>
    <x v="2"/>
    <n v="1"/>
    <n v="0"/>
    <n v="0"/>
    <x v="2"/>
    <n v="0"/>
    <x v="1"/>
    <n v="0"/>
    <n v="0"/>
  </r>
  <r>
    <n v="777742"/>
    <x v="1"/>
    <n v="115735"/>
    <x v="1"/>
    <x v="0"/>
    <x v="21"/>
    <n v="4726"/>
    <n v="1"/>
    <x v="142"/>
    <n v="1"/>
    <n v="1"/>
    <n v="0.38721964515446466"/>
    <x v="142"/>
    <n v="2.1159542953872197E-4"/>
    <x v="79"/>
    <n v="1"/>
    <n v="100"/>
  </r>
  <r>
    <n v="777758"/>
    <x v="1"/>
    <n v="115737"/>
    <x v="0"/>
    <x v="0"/>
    <x v="17"/>
    <n v="5209"/>
    <n v="1"/>
    <x v="179"/>
    <n v="2"/>
    <n v="0"/>
    <n v="0.18429640602802841"/>
    <x v="178"/>
    <n v="1.9197542714532539E-4"/>
    <x v="1"/>
    <n v="0"/>
    <n v="200"/>
  </r>
  <r>
    <n v="777794"/>
    <x v="1"/>
    <n v="115743"/>
    <x v="0"/>
    <x v="0"/>
    <x v="12"/>
    <n v="13473"/>
    <n v="3"/>
    <x v="180"/>
    <n v="3"/>
    <n v="0"/>
    <n v="0.19446299599198397"/>
    <x v="179"/>
    <n v="2.2266755733689602E-4"/>
    <x v="1"/>
    <n v="0"/>
    <n v="100"/>
  </r>
  <r>
    <n v="777816"/>
    <x v="1"/>
    <n v="115747"/>
    <x v="2"/>
    <x v="0"/>
    <x v="23"/>
    <n v="500"/>
    <n v="0"/>
    <x v="2"/>
    <n v="1"/>
    <n v="1"/>
    <n v="0"/>
    <x v="2"/>
    <n v="0"/>
    <x v="3"/>
    <n v="0"/>
    <n v="0"/>
  </r>
  <r>
    <n v="777871"/>
    <x v="1"/>
    <n v="115756"/>
    <x v="0"/>
    <x v="0"/>
    <x v="2"/>
    <n v="4616"/>
    <n v="1"/>
    <x v="181"/>
    <n v="1"/>
    <n v="0"/>
    <n v="0.29462738604852684"/>
    <x v="180"/>
    <n v="2.1663778162911611E-4"/>
    <x v="1"/>
    <n v="0"/>
    <n v="100"/>
  </r>
  <r>
    <n v="777904"/>
    <x v="1"/>
    <n v="115762"/>
    <x v="0"/>
    <x v="0"/>
    <x v="6"/>
    <n v="3279"/>
    <n v="0"/>
    <x v="2"/>
    <n v="1"/>
    <n v="0"/>
    <n v="0"/>
    <x v="2"/>
    <n v="0"/>
    <x v="1"/>
    <n v="0"/>
    <n v="0"/>
  </r>
  <r>
    <n v="777905"/>
    <x v="1"/>
    <n v="115762"/>
    <x v="0"/>
    <x v="0"/>
    <x v="6"/>
    <n v="3288"/>
    <n v="0"/>
    <x v="2"/>
    <n v="1"/>
    <n v="0"/>
    <n v="0"/>
    <x v="2"/>
    <n v="0"/>
    <x v="1"/>
    <n v="0"/>
    <n v="0"/>
  </r>
  <r>
    <n v="778037"/>
    <x v="1"/>
    <n v="115784"/>
    <x v="1"/>
    <x v="0"/>
    <x v="5"/>
    <n v="14615"/>
    <n v="4"/>
    <x v="182"/>
    <n v="1"/>
    <n v="0"/>
    <n v="0.41395827512829286"/>
    <x v="181"/>
    <n v="2.7369141293191924E-4"/>
    <x v="1"/>
    <n v="0"/>
    <n v="25"/>
  </r>
  <r>
    <n v="778048"/>
    <x v="1"/>
    <n v="115786"/>
    <x v="0"/>
    <x v="0"/>
    <x v="5"/>
    <n v="56615"/>
    <n v="12"/>
    <x v="183"/>
    <n v="2"/>
    <n v="0"/>
    <n v="0.35114369601695661"/>
    <x v="182"/>
    <n v="2.1195796167093527E-4"/>
    <x v="1"/>
    <n v="0"/>
    <n v="16.666666666666664"/>
  </r>
  <r>
    <n v="778085"/>
    <x v="1"/>
    <n v="115792"/>
    <x v="0"/>
    <x v="0"/>
    <x v="18"/>
    <n v="11735"/>
    <n v="3"/>
    <x v="184"/>
    <n v="1"/>
    <n v="1"/>
    <n v="0.3860247099275671"/>
    <x v="183"/>
    <n v="2.5564550489987217E-4"/>
    <x v="80"/>
    <n v="0.33333333333333331"/>
    <n v="33.333333333333329"/>
  </r>
  <r>
    <n v="778087"/>
    <x v="1"/>
    <n v="115792"/>
    <x v="0"/>
    <x v="0"/>
    <x v="18"/>
    <n v="15910"/>
    <n v="5"/>
    <x v="185"/>
    <n v="1"/>
    <n v="0"/>
    <n v="0.42614706800754243"/>
    <x v="184"/>
    <n v="3.1426775612822125E-4"/>
    <x v="1"/>
    <n v="0"/>
    <n v="20"/>
  </r>
  <r>
    <n v="778112"/>
    <x v="1"/>
    <n v="115796"/>
    <x v="1"/>
    <x v="0"/>
    <x v="4"/>
    <n v="11446"/>
    <n v="2"/>
    <x v="186"/>
    <n v="1"/>
    <n v="1"/>
    <n v="0.26996330884151665"/>
    <x v="185"/>
    <n v="1.7473353136466887E-4"/>
    <x v="81"/>
    <n v="0.5"/>
    <n v="50"/>
  </r>
  <r>
    <n v="778113"/>
    <x v="1"/>
    <n v="115796"/>
    <x v="1"/>
    <x v="0"/>
    <x v="4"/>
    <n v="4595"/>
    <n v="0"/>
    <x v="2"/>
    <n v="1"/>
    <n v="0"/>
    <n v="0"/>
    <x v="2"/>
    <n v="0"/>
    <x v="1"/>
    <n v="0"/>
    <n v="0"/>
  </r>
  <r>
    <n v="778124"/>
    <x v="1"/>
    <n v="115798"/>
    <x v="0"/>
    <x v="0"/>
    <x v="4"/>
    <n v="4871"/>
    <n v="0"/>
    <x v="2"/>
    <n v="1"/>
    <n v="0"/>
    <n v="0"/>
    <x v="2"/>
    <n v="0"/>
    <x v="1"/>
    <n v="0"/>
    <n v="0"/>
  </r>
  <r>
    <n v="778148"/>
    <x v="1"/>
    <n v="115802"/>
    <x v="1"/>
    <x v="0"/>
    <x v="3"/>
    <n v="3199"/>
    <n v="0"/>
    <x v="2"/>
    <n v="1"/>
    <n v="0"/>
    <n v="0"/>
    <x v="2"/>
    <n v="0"/>
    <x v="1"/>
    <n v="0"/>
    <n v="0"/>
  </r>
  <r>
    <n v="778156"/>
    <x v="1"/>
    <n v="115804"/>
    <x v="0"/>
    <x v="0"/>
    <x v="3"/>
    <n v="9388"/>
    <n v="2"/>
    <x v="187"/>
    <n v="1"/>
    <n v="0"/>
    <n v="0.33446954676182361"/>
    <x v="186"/>
    <n v="2.1303792074989347E-4"/>
    <x v="1"/>
    <n v="0"/>
    <n v="50"/>
  </r>
  <r>
    <n v="778161"/>
    <x v="1"/>
    <n v="115804"/>
    <x v="0"/>
    <x v="0"/>
    <x v="3"/>
    <n v="17954"/>
    <n v="6"/>
    <x v="188"/>
    <n v="2"/>
    <n v="1"/>
    <n v="0.41996213657123754"/>
    <x v="187"/>
    <n v="3.3418736771750028E-4"/>
    <x v="82"/>
    <n v="0.16666666666666666"/>
    <n v="33.333333333333329"/>
  </r>
  <r>
    <n v="778208"/>
    <x v="1"/>
    <n v="115812"/>
    <x v="2"/>
    <x v="1"/>
    <x v="4"/>
    <n v="2755"/>
    <n v="0"/>
    <x v="2"/>
    <n v="1"/>
    <n v="0"/>
    <n v="0"/>
    <x v="2"/>
    <n v="0"/>
    <x v="1"/>
    <n v="0"/>
    <n v="0"/>
  </r>
  <r>
    <n v="778264"/>
    <x v="1"/>
    <n v="115822"/>
    <x v="2"/>
    <x v="1"/>
    <x v="5"/>
    <n v="8152"/>
    <n v="1"/>
    <x v="169"/>
    <n v="1"/>
    <n v="0"/>
    <n v="0.12144259200196272"/>
    <x v="168"/>
    <n v="1.226692836113837E-4"/>
    <x v="1"/>
    <n v="0"/>
    <n v="100"/>
  </r>
  <r>
    <n v="778266"/>
    <x v="1"/>
    <n v="115822"/>
    <x v="2"/>
    <x v="1"/>
    <x v="5"/>
    <n v="74542"/>
    <n v="19"/>
    <x v="189"/>
    <n v="1"/>
    <n v="0"/>
    <n v="0.45813098789943923"/>
    <x v="188"/>
    <n v="2.5488986074964447E-4"/>
    <x v="1"/>
    <n v="0"/>
    <n v="5.2631578947368416"/>
  </r>
  <r>
    <n v="778421"/>
    <x v="1"/>
    <n v="115848"/>
    <x v="2"/>
    <x v="1"/>
    <x v="2"/>
    <n v="6699"/>
    <n v="2"/>
    <x v="186"/>
    <n v="1"/>
    <n v="0"/>
    <n v="0.46126287998208687"/>
    <x v="185"/>
    <n v="2.985520226899537E-4"/>
    <x v="1"/>
    <n v="0"/>
    <n v="50"/>
  </r>
  <r>
    <n v="778422"/>
    <x v="1"/>
    <n v="115848"/>
    <x v="2"/>
    <x v="1"/>
    <x v="2"/>
    <n v="11911"/>
    <n v="4"/>
    <x v="190"/>
    <n v="1"/>
    <n v="0"/>
    <n v="0.33246578112668956"/>
    <x v="189"/>
    <n v="3.3582402820921836E-4"/>
    <x v="1"/>
    <n v="0"/>
    <n v="25"/>
  </r>
  <r>
    <n v="778461"/>
    <x v="1"/>
    <n v="115854"/>
    <x v="2"/>
    <x v="0"/>
    <x v="4"/>
    <n v="10090"/>
    <n v="2"/>
    <x v="191"/>
    <n v="1"/>
    <n v="1"/>
    <n v="0.26263628295341923"/>
    <x v="190"/>
    <n v="1.9821605550049553E-4"/>
    <x v="83"/>
    <n v="0.5"/>
    <n v="50"/>
  </r>
  <r>
    <n v="778471"/>
    <x v="1"/>
    <n v="115856"/>
    <x v="0"/>
    <x v="0"/>
    <x v="11"/>
    <n v="1273"/>
    <n v="0"/>
    <x v="2"/>
    <n v="1"/>
    <n v="1"/>
    <n v="0"/>
    <x v="2"/>
    <n v="0"/>
    <x v="3"/>
    <n v="0"/>
    <n v="0"/>
  </r>
  <r>
    <n v="778483"/>
    <x v="1"/>
    <n v="115858"/>
    <x v="2"/>
    <x v="1"/>
    <x v="12"/>
    <n v="24188"/>
    <n v="5"/>
    <x v="192"/>
    <n v="1"/>
    <n v="0"/>
    <n v="0.33818421647097729"/>
    <x v="191"/>
    <n v="2.0671407309409625E-4"/>
    <x v="1"/>
    <n v="0"/>
    <n v="20"/>
  </r>
  <r>
    <n v="778529"/>
    <x v="1"/>
    <n v="115866"/>
    <x v="0"/>
    <x v="0"/>
    <x v="6"/>
    <n v="2214"/>
    <n v="0"/>
    <x v="2"/>
    <n v="1"/>
    <n v="0"/>
    <n v="0"/>
    <x v="2"/>
    <n v="0"/>
    <x v="1"/>
    <n v="0"/>
    <n v="0"/>
  </r>
  <r>
    <n v="778556"/>
    <x v="1"/>
    <n v="115870"/>
    <x v="2"/>
    <x v="0"/>
    <x v="11"/>
    <n v="9735"/>
    <n v="4"/>
    <x v="193"/>
    <n v="1"/>
    <n v="1"/>
    <n v="0.4242424359527478"/>
    <x v="192"/>
    <n v="4.1088854648176684E-4"/>
    <x v="84"/>
    <n v="0.25"/>
    <n v="25"/>
  </r>
  <r>
    <n v="778590"/>
    <x v="1"/>
    <n v="115876"/>
    <x v="0"/>
    <x v="0"/>
    <x v="8"/>
    <n v="1371"/>
    <n v="0"/>
    <x v="2"/>
    <n v="1"/>
    <n v="1"/>
    <n v="0"/>
    <x v="2"/>
    <n v="0"/>
    <x v="3"/>
    <n v="0"/>
    <n v="0"/>
  </r>
  <r>
    <n v="778600"/>
    <x v="1"/>
    <n v="115878"/>
    <x v="2"/>
    <x v="1"/>
    <x v="22"/>
    <n v="10750"/>
    <n v="4"/>
    <x v="167"/>
    <n v="1"/>
    <n v="0"/>
    <n v="0.50139533637209299"/>
    <x v="193"/>
    <n v="3.7209302325581393E-4"/>
    <x v="1"/>
    <n v="0"/>
    <n v="25"/>
  </r>
  <r>
    <n v="778626"/>
    <x v="1"/>
    <n v="115882"/>
    <x v="0"/>
    <x v="0"/>
    <x v="4"/>
    <n v="7629"/>
    <n v="1"/>
    <x v="194"/>
    <n v="1"/>
    <n v="1"/>
    <n v="9.4376724210250368E-2"/>
    <x v="194"/>
    <n v="1.3107877834578582E-4"/>
    <x v="85"/>
    <n v="1"/>
    <n v="100"/>
  </r>
  <r>
    <n v="778628"/>
    <x v="1"/>
    <n v="115882"/>
    <x v="0"/>
    <x v="0"/>
    <x v="4"/>
    <n v="4608"/>
    <n v="0"/>
    <x v="2"/>
    <n v="1"/>
    <n v="0"/>
    <n v="0"/>
    <x v="2"/>
    <n v="0"/>
    <x v="1"/>
    <n v="0"/>
    <n v="0"/>
  </r>
  <r>
    <n v="778674"/>
    <x v="1"/>
    <n v="115890"/>
    <x v="1"/>
    <x v="0"/>
    <x v="4"/>
    <n v="3732"/>
    <n v="0"/>
    <x v="2"/>
    <n v="1"/>
    <n v="0"/>
    <n v="0"/>
    <x v="2"/>
    <n v="0"/>
    <x v="1"/>
    <n v="0"/>
    <n v="0"/>
  </r>
  <r>
    <n v="778689"/>
    <x v="1"/>
    <n v="115892"/>
    <x v="0"/>
    <x v="0"/>
    <x v="3"/>
    <n v="7453"/>
    <n v="1"/>
    <x v="132"/>
    <n v="1"/>
    <n v="1"/>
    <n v="0.22541257855896957"/>
    <x v="132"/>
    <n v="1.3417415805715819E-4"/>
    <x v="59"/>
    <n v="1"/>
    <n v="100"/>
  </r>
  <r>
    <n v="778722"/>
    <x v="1"/>
    <n v="115898"/>
    <x v="1"/>
    <x v="1"/>
    <x v="21"/>
    <n v="41785"/>
    <n v="14"/>
    <x v="195"/>
    <n v="1"/>
    <n v="0"/>
    <n v="0.45710183989469905"/>
    <x v="195"/>
    <n v="3.3504846236687808E-4"/>
    <x v="1"/>
    <n v="0"/>
    <n v="7.1428571428571423"/>
  </r>
  <r>
    <n v="778737"/>
    <x v="1"/>
    <n v="115900"/>
    <x v="1"/>
    <x v="0"/>
    <x v="5"/>
    <n v="8077"/>
    <n v="2"/>
    <x v="159"/>
    <n v="1"/>
    <n v="1"/>
    <n v="0.44323386455367092"/>
    <x v="196"/>
    <n v="2.4761668936486319E-4"/>
    <x v="71"/>
    <n v="0.5"/>
    <n v="50"/>
  </r>
  <r>
    <n v="778756"/>
    <x v="1"/>
    <n v="115904"/>
    <x v="1"/>
    <x v="1"/>
    <x v="13"/>
    <n v="5602"/>
    <n v="1"/>
    <x v="71"/>
    <n v="1"/>
    <n v="0"/>
    <n v="0.28204213548732598"/>
    <x v="72"/>
    <n v="1.785076758300607E-4"/>
    <x v="1"/>
    <n v="0"/>
    <n v="100"/>
  </r>
  <r>
    <n v="778804"/>
    <x v="1"/>
    <n v="115912"/>
    <x v="0"/>
    <x v="0"/>
    <x v="18"/>
    <n v="6184"/>
    <n v="2"/>
    <x v="196"/>
    <n v="1"/>
    <n v="1"/>
    <n v="0.44469598965071155"/>
    <x v="197"/>
    <n v="3.2341526520051749E-4"/>
    <x v="86"/>
    <n v="0.5"/>
    <n v="50"/>
  </r>
  <r>
    <n v="778808"/>
    <x v="1"/>
    <n v="115912"/>
    <x v="0"/>
    <x v="0"/>
    <x v="18"/>
    <n v="1738"/>
    <n v="0"/>
    <x v="2"/>
    <n v="1"/>
    <n v="0"/>
    <n v="0"/>
    <x v="2"/>
    <n v="0"/>
    <x v="1"/>
    <n v="0"/>
    <n v="0"/>
  </r>
  <r>
    <n v="778964"/>
    <x v="1"/>
    <n v="115938"/>
    <x v="1"/>
    <x v="1"/>
    <x v="5"/>
    <n v="112460"/>
    <n v="25"/>
    <x v="197"/>
    <n v="1"/>
    <n v="0"/>
    <n v="0.36715277147430198"/>
    <x v="198"/>
    <n v="2.2230126267117198E-4"/>
    <x v="1"/>
    <n v="0"/>
    <n v="4"/>
  </r>
  <r>
    <n v="779057"/>
    <x v="1"/>
    <n v="115954"/>
    <x v="2"/>
    <x v="0"/>
    <x v="0"/>
    <n v="4414"/>
    <n v="0"/>
    <x v="2"/>
    <n v="1"/>
    <n v="0"/>
    <n v="0"/>
    <x v="2"/>
    <n v="0"/>
    <x v="1"/>
    <n v="0"/>
    <n v="0"/>
  </r>
  <r>
    <n v="779106"/>
    <x v="1"/>
    <n v="115962"/>
    <x v="1"/>
    <x v="1"/>
    <x v="8"/>
    <n v="14670"/>
    <n v="7"/>
    <x v="198"/>
    <n v="1"/>
    <n v="0"/>
    <n v="0.64144514819359244"/>
    <x v="199"/>
    <n v="4.7716428084526244E-4"/>
    <x v="1"/>
    <n v="0"/>
    <n v="14.285714285714285"/>
  </r>
  <r>
    <n v="779438"/>
    <x v="1"/>
    <n v="116031"/>
    <x v="0"/>
    <x v="1"/>
    <x v="21"/>
    <n v="33144"/>
    <n v="9"/>
    <x v="199"/>
    <n v="1"/>
    <n v="0"/>
    <n v="0.40459811278059377"/>
    <x v="200"/>
    <n v="2.715423606082549E-4"/>
    <x v="1"/>
    <n v="0"/>
    <n v="11.111111111111111"/>
  </r>
  <r>
    <n v="779453"/>
    <x v="1"/>
    <n v="116033"/>
    <x v="3"/>
    <x v="0"/>
    <x v="21"/>
    <n v="4397"/>
    <n v="1"/>
    <x v="200"/>
    <n v="1"/>
    <n v="0"/>
    <n v="0.21605639936320217"/>
    <x v="201"/>
    <n v="2.2742779167614282E-4"/>
    <x v="1"/>
    <n v="0"/>
    <n v="100"/>
  </r>
  <r>
    <n v="779488"/>
    <x v="1"/>
    <n v="116039"/>
    <x v="3"/>
    <x v="0"/>
    <x v="14"/>
    <n v="1006"/>
    <n v="0"/>
    <x v="2"/>
    <n v="1"/>
    <n v="0"/>
    <n v="0"/>
    <x v="2"/>
    <n v="0"/>
    <x v="1"/>
    <n v="0"/>
    <n v="0"/>
  </r>
  <r>
    <n v="779573"/>
    <x v="1"/>
    <n v="116053"/>
    <x v="1"/>
    <x v="1"/>
    <x v="16"/>
    <n v="89527"/>
    <n v="24"/>
    <x v="201"/>
    <n v="1"/>
    <n v="0"/>
    <n v="0.36067331598288788"/>
    <x v="202"/>
    <n v="2.6807555262658192E-4"/>
    <x v="1"/>
    <n v="0"/>
    <n v="4.1666666666666661"/>
  </r>
  <r>
    <n v="779608"/>
    <x v="1"/>
    <n v="116059"/>
    <x v="1"/>
    <x v="1"/>
    <x v="0"/>
    <n v="2459"/>
    <n v="0"/>
    <x v="2"/>
    <n v="1"/>
    <n v="0"/>
    <n v="0"/>
    <x v="2"/>
    <n v="0"/>
    <x v="1"/>
    <n v="0"/>
    <n v="0"/>
  </r>
  <r>
    <n v="779609"/>
    <x v="1"/>
    <n v="116059"/>
    <x v="1"/>
    <x v="1"/>
    <x v="0"/>
    <n v="7116"/>
    <n v="2"/>
    <x v="202"/>
    <n v="1"/>
    <n v="1"/>
    <n v="0.24311411172006744"/>
    <x v="203"/>
    <n v="2.8105677346824059E-4"/>
    <x v="87"/>
    <n v="0.5"/>
    <n v="50"/>
  </r>
  <r>
    <n v="779622"/>
    <x v="1"/>
    <n v="116061"/>
    <x v="0"/>
    <x v="1"/>
    <x v="0"/>
    <n v="8613"/>
    <n v="1"/>
    <x v="203"/>
    <n v="2"/>
    <n v="0"/>
    <n v="0.10333217067223964"/>
    <x v="204"/>
    <n v="1.1610356437942645E-4"/>
    <x v="1"/>
    <n v="0"/>
    <n v="200"/>
  </r>
  <r>
    <n v="779631"/>
    <x v="1"/>
    <n v="116063"/>
    <x v="1"/>
    <x v="1"/>
    <x v="1"/>
    <n v="9730"/>
    <n v="1"/>
    <x v="157"/>
    <n v="1"/>
    <n v="0"/>
    <n v="0.14182939311408016"/>
    <x v="156"/>
    <n v="1.0277492291880781E-4"/>
    <x v="1"/>
    <n v="0"/>
    <n v="100"/>
  </r>
  <r>
    <n v="779644"/>
    <x v="1"/>
    <n v="116065"/>
    <x v="0"/>
    <x v="1"/>
    <x v="1"/>
    <n v="51816"/>
    <n v="8"/>
    <x v="204"/>
    <n v="2"/>
    <n v="1"/>
    <n v="0.19742936351706036"/>
    <x v="205"/>
    <n v="1.5439246564767639E-4"/>
    <x v="88"/>
    <n v="0.125"/>
    <n v="25"/>
  </r>
  <r>
    <n v="779645"/>
    <x v="1"/>
    <n v="116065"/>
    <x v="0"/>
    <x v="1"/>
    <x v="1"/>
    <n v="27289"/>
    <n v="3"/>
    <x v="205"/>
    <n v="1"/>
    <n v="0"/>
    <n v="0.16233646626845979"/>
    <x v="206"/>
    <n v="1.0993440580453663E-4"/>
    <x v="1"/>
    <n v="0"/>
    <n v="33.333333333333329"/>
  </r>
  <r>
    <n v="779715"/>
    <x v="1"/>
    <n v="116077"/>
    <x v="0"/>
    <x v="1"/>
    <x v="4"/>
    <n v="20409"/>
    <n v="4"/>
    <x v="206"/>
    <n v="1"/>
    <n v="0"/>
    <n v="0.18766230212161303"/>
    <x v="207"/>
    <n v="1.9599196432946249E-4"/>
    <x v="1"/>
    <n v="0"/>
    <n v="25"/>
  </r>
  <r>
    <n v="779716"/>
    <x v="1"/>
    <n v="116077"/>
    <x v="0"/>
    <x v="1"/>
    <x v="4"/>
    <n v="8044"/>
    <n v="1"/>
    <x v="207"/>
    <n v="1"/>
    <n v="0"/>
    <n v="0.13799105096966682"/>
    <x v="208"/>
    <n v="1.2431626056688214E-4"/>
    <x v="1"/>
    <n v="0"/>
    <n v="100"/>
  </r>
  <r>
    <n v="779738"/>
    <x v="1"/>
    <n v="116081"/>
    <x v="0"/>
    <x v="1"/>
    <x v="3"/>
    <n v="15645"/>
    <n v="4"/>
    <x v="208"/>
    <n v="1"/>
    <n v="0"/>
    <n v="0.34196228219878549"/>
    <x v="209"/>
    <n v="2.5567273889421543E-4"/>
    <x v="1"/>
    <n v="0"/>
    <n v="25"/>
  </r>
  <r>
    <n v="779778"/>
    <x v="1"/>
    <n v="116087"/>
    <x v="0"/>
    <x v="1"/>
    <x v="6"/>
    <n v="2466"/>
    <n v="0"/>
    <x v="2"/>
    <n v="2"/>
    <n v="2"/>
    <n v="0"/>
    <x v="2"/>
    <n v="0"/>
    <x v="3"/>
    <n v="0"/>
    <n v="0"/>
  </r>
  <r>
    <n v="779789"/>
    <x v="1"/>
    <n v="116089"/>
    <x v="3"/>
    <x v="0"/>
    <x v="16"/>
    <n v="11611"/>
    <n v="3"/>
    <x v="209"/>
    <n v="1"/>
    <n v="1"/>
    <n v="0.34019464714494879"/>
    <x v="210"/>
    <n v="2.5837567823615537E-4"/>
    <x v="89"/>
    <n v="0.33333333333333331"/>
    <n v="33.333333333333329"/>
  </r>
  <r>
    <n v="779824"/>
    <x v="1"/>
    <n v="116095"/>
    <x v="3"/>
    <x v="0"/>
    <x v="7"/>
    <n v="9375"/>
    <n v="3"/>
    <x v="210"/>
    <n v="1"/>
    <n v="0"/>
    <n v="0.42879999797333329"/>
    <x v="211"/>
    <n v="3.2000000000000003E-4"/>
    <x v="1"/>
    <n v="0"/>
    <n v="33.333333333333329"/>
  </r>
  <r>
    <n v="779871"/>
    <x v="1"/>
    <n v="116103"/>
    <x v="0"/>
    <x v="1"/>
    <x v="11"/>
    <n v="4402"/>
    <n v="1"/>
    <x v="211"/>
    <n v="1"/>
    <n v="1"/>
    <n v="0.3021354027714675"/>
    <x v="212"/>
    <n v="2.2716946842344388E-4"/>
    <x v="90"/>
    <n v="1"/>
    <n v="100"/>
  </r>
  <r>
    <n v="779918"/>
    <x v="1"/>
    <n v="116111"/>
    <x v="0"/>
    <x v="1"/>
    <x v="12"/>
    <n v="8469"/>
    <n v="2"/>
    <x v="212"/>
    <n v="1"/>
    <n v="0"/>
    <n v="0.36486006777659702"/>
    <x v="213"/>
    <n v="2.3615539024678239E-4"/>
    <x v="1"/>
    <n v="0"/>
    <n v="50"/>
  </r>
  <r>
    <n v="779922"/>
    <x v="1"/>
    <n v="116111"/>
    <x v="0"/>
    <x v="1"/>
    <x v="12"/>
    <n v="5823"/>
    <n v="1"/>
    <x v="88"/>
    <n v="1"/>
    <n v="1"/>
    <n v="0.2438605455950541"/>
    <x v="40"/>
    <n v="1.7173278378842521E-4"/>
    <x v="91"/>
    <n v="1"/>
    <n v="100"/>
  </r>
  <r>
    <n v="779944"/>
    <x v="1"/>
    <n v="116115"/>
    <x v="1"/>
    <x v="0"/>
    <x v="16"/>
    <n v="2549"/>
    <n v="0"/>
    <x v="2"/>
    <n v="1"/>
    <n v="0"/>
    <n v="0"/>
    <x v="2"/>
    <n v="0"/>
    <x v="1"/>
    <n v="0"/>
    <n v="0"/>
  </r>
  <r>
    <n v="779979"/>
    <x v="1"/>
    <n v="116121"/>
    <x v="1"/>
    <x v="0"/>
    <x v="1"/>
    <n v="25817"/>
    <n v="4"/>
    <x v="213"/>
    <n v="1"/>
    <n v="0"/>
    <n v="0.23317968706666148"/>
    <x v="214"/>
    <n v="1.5493666963628617E-4"/>
    <x v="1"/>
    <n v="0"/>
    <n v="25"/>
  </r>
  <r>
    <n v="779995"/>
    <x v="1"/>
    <n v="116123"/>
    <x v="0"/>
    <x v="1"/>
    <x v="2"/>
    <n v="1961"/>
    <n v="0"/>
    <x v="2"/>
    <n v="1"/>
    <n v="0"/>
    <n v="0"/>
    <x v="2"/>
    <n v="0"/>
    <x v="1"/>
    <n v="0"/>
    <n v="0"/>
  </r>
  <r>
    <n v="780064"/>
    <x v="1"/>
    <n v="116135"/>
    <x v="0"/>
    <x v="1"/>
    <x v="22"/>
    <n v="2554"/>
    <n v="0"/>
    <x v="2"/>
    <n v="1"/>
    <n v="0"/>
    <n v="0"/>
    <x v="2"/>
    <n v="0"/>
    <x v="1"/>
    <n v="0"/>
    <n v="0"/>
  </r>
  <r>
    <n v="780104"/>
    <x v="1"/>
    <n v="116147"/>
    <x v="0"/>
    <x v="1"/>
    <x v="15"/>
    <n v="4971"/>
    <n v="1"/>
    <x v="214"/>
    <n v="1"/>
    <n v="1"/>
    <n v="0.2474351275397304"/>
    <x v="215"/>
    <n v="2.011667672500503E-4"/>
    <x v="92"/>
    <n v="1"/>
    <n v="100"/>
  </r>
  <r>
    <n v="780199"/>
    <x v="1"/>
    <n v="116163"/>
    <x v="1"/>
    <x v="1"/>
    <x v="20"/>
    <n v="1030"/>
    <n v="0"/>
    <x v="2"/>
    <n v="1"/>
    <n v="1"/>
    <n v="0"/>
    <x v="2"/>
    <n v="0"/>
    <x v="3"/>
    <n v="0"/>
    <n v="0"/>
  </r>
  <r>
    <n v="780318"/>
    <x v="1"/>
    <n v="116183"/>
    <x v="3"/>
    <x v="1"/>
    <x v="4"/>
    <n v="162341"/>
    <n v="56"/>
    <x v="215"/>
    <n v="3"/>
    <n v="0"/>
    <n v="0.47480303613997693"/>
    <x v="216"/>
    <n v="3.4495290776821627E-4"/>
    <x v="1"/>
    <n v="0"/>
    <n v="5.3571428571428568"/>
  </r>
  <r>
    <n v="780323"/>
    <x v="1"/>
    <n v="116183"/>
    <x v="3"/>
    <x v="1"/>
    <x v="4"/>
    <n v="24542"/>
    <n v="7"/>
    <x v="216"/>
    <n v="1"/>
    <n v="0"/>
    <n v="0.38016461266400453"/>
    <x v="217"/>
    <n v="2.8522532800912719E-4"/>
    <x v="1"/>
    <n v="0"/>
    <n v="14.285714285714285"/>
  </r>
  <r>
    <n v="780486"/>
    <x v="1"/>
    <n v="116216"/>
    <x v="0"/>
    <x v="1"/>
    <x v="14"/>
    <n v="2879"/>
    <n v="0"/>
    <x v="2"/>
    <n v="1"/>
    <n v="1"/>
    <n v="0"/>
    <x v="2"/>
    <n v="0"/>
    <x v="3"/>
    <n v="0"/>
    <n v="0"/>
  </r>
  <r>
    <n v="780498"/>
    <x v="1"/>
    <n v="116218"/>
    <x v="0"/>
    <x v="1"/>
    <x v="21"/>
    <n v="13621"/>
    <n v="3"/>
    <x v="45"/>
    <n v="1"/>
    <n v="0"/>
    <n v="0.30027164180309812"/>
    <x v="46"/>
    <n v="2.202481462447691E-4"/>
    <x v="1"/>
    <n v="0"/>
    <n v="33.333333333333329"/>
  </r>
  <r>
    <n v="780511"/>
    <x v="1"/>
    <n v="116220"/>
    <x v="0"/>
    <x v="1"/>
    <x v="13"/>
    <n v="6175"/>
    <n v="1"/>
    <x v="217"/>
    <n v="2"/>
    <n v="1"/>
    <n v="0.22186234898785426"/>
    <x v="218"/>
    <n v="1.6194331983805668E-4"/>
    <x v="93"/>
    <n v="1"/>
    <n v="200"/>
  </r>
  <r>
    <n v="780629"/>
    <x v="1"/>
    <n v="116240"/>
    <x v="0"/>
    <x v="1"/>
    <x v="3"/>
    <n v="2963"/>
    <n v="0"/>
    <x v="2"/>
    <n v="1"/>
    <n v="0"/>
    <n v="0"/>
    <x v="2"/>
    <n v="0"/>
    <x v="1"/>
    <n v="0"/>
    <n v="0"/>
  </r>
  <r>
    <n v="780653"/>
    <x v="1"/>
    <n v="116244"/>
    <x v="0"/>
    <x v="1"/>
    <x v="4"/>
    <n v="9076"/>
    <n v="1"/>
    <x v="157"/>
    <n v="1"/>
    <n v="1"/>
    <n v="0.15204936040105774"/>
    <x v="156"/>
    <n v="1.1018069634200089E-4"/>
    <x v="70"/>
    <n v="1"/>
    <n v="100"/>
  </r>
  <r>
    <n v="780655"/>
    <x v="1"/>
    <n v="116244"/>
    <x v="0"/>
    <x v="1"/>
    <x v="4"/>
    <n v="20941"/>
    <n v="4"/>
    <x v="218"/>
    <n v="1"/>
    <n v="1"/>
    <n v="0.28222147781863333"/>
    <x v="219"/>
    <n v="1.9101284561386754E-4"/>
    <x v="94"/>
    <n v="0.25"/>
    <n v="25"/>
  </r>
  <r>
    <n v="780666"/>
    <x v="1"/>
    <n v="116246"/>
    <x v="3"/>
    <x v="1"/>
    <x v="16"/>
    <n v="3462"/>
    <n v="0"/>
    <x v="2"/>
    <n v="1"/>
    <n v="0"/>
    <n v="0"/>
    <x v="2"/>
    <n v="0"/>
    <x v="1"/>
    <n v="0"/>
    <n v="0"/>
  </r>
  <r>
    <n v="780681"/>
    <x v="1"/>
    <n v="116248"/>
    <x v="0"/>
    <x v="1"/>
    <x v="18"/>
    <n v="4073"/>
    <n v="0"/>
    <x v="2"/>
    <n v="1"/>
    <n v="1"/>
    <n v="0"/>
    <x v="2"/>
    <n v="0"/>
    <x v="3"/>
    <n v="0"/>
    <n v="0"/>
  </r>
  <r>
    <n v="780700"/>
    <x v="1"/>
    <n v="116252"/>
    <x v="0"/>
    <x v="1"/>
    <x v="5"/>
    <n v="3745"/>
    <n v="0"/>
    <x v="2"/>
    <n v="1"/>
    <n v="0"/>
    <n v="0"/>
    <x v="2"/>
    <n v="0"/>
    <x v="1"/>
    <n v="0"/>
    <n v="0"/>
  </r>
  <r>
    <n v="780748"/>
    <x v="1"/>
    <n v="116265"/>
    <x v="0"/>
    <x v="1"/>
    <x v="9"/>
    <n v="830"/>
    <n v="0"/>
    <x v="2"/>
    <n v="1"/>
    <n v="0"/>
    <n v="0"/>
    <x v="2"/>
    <n v="0"/>
    <x v="1"/>
    <n v="0"/>
    <n v="0"/>
  </r>
  <r>
    <n v="780759"/>
    <x v="1"/>
    <n v="116267"/>
    <x v="3"/>
    <x v="1"/>
    <x v="12"/>
    <n v="2912"/>
    <n v="0"/>
    <x v="2"/>
    <n v="1"/>
    <n v="0"/>
    <n v="0"/>
    <x v="2"/>
    <n v="0"/>
    <x v="1"/>
    <n v="0"/>
    <n v="0"/>
  </r>
  <r>
    <n v="780760"/>
    <x v="1"/>
    <n v="116267"/>
    <x v="3"/>
    <x v="1"/>
    <x v="12"/>
    <n v="17167"/>
    <n v="5"/>
    <x v="219"/>
    <n v="1"/>
    <n v="0"/>
    <n v="0.40251646100075728"/>
    <x v="220"/>
    <n v="2.9125648045669016E-4"/>
    <x v="1"/>
    <n v="0"/>
    <n v="20"/>
  </r>
  <r>
    <n v="780797"/>
    <x v="1"/>
    <n v="116273"/>
    <x v="0"/>
    <x v="1"/>
    <x v="22"/>
    <n v="24491"/>
    <n v="7"/>
    <x v="220"/>
    <n v="1"/>
    <n v="0"/>
    <n v="0.38953084651504633"/>
    <x v="221"/>
    <n v="2.8581928055203954E-4"/>
    <x v="1"/>
    <n v="0"/>
    <n v="14.285714285714285"/>
  </r>
  <r>
    <n v="780799"/>
    <x v="1"/>
    <n v="116273"/>
    <x v="0"/>
    <x v="1"/>
    <x v="22"/>
    <n v="44699"/>
    <n v="13"/>
    <x v="221"/>
    <n v="2"/>
    <n v="0"/>
    <n v="0.38703327524105685"/>
    <x v="222"/>
    <n v="2.9083424685115997E-4"/>
    <x v="1"/>
    <n v="0"/>
    <n v="15.384615384615385"/>
  </r>
  <r>
    <n v="780821"/>
    <x v="1"/>
    <n v="116277"/>
    <x v="0"/>
    <x v="1"/>
    <x v="20"/>
    <n v="6469"/>
    <n v="2"/>
    <x v="222"/>
    <n v="1"/>
    <n v="0"/>
    <n v="0.20250424223218427"/>
    <x v="223"/>
    <n v="3.0916679548616477E-4"/>
    <x v="1"/>
    <n v="0"/>
    <n v="50"/>
  </r>
  <r>
    <n v="780830"/>
    <x v="1"/>
    <n v="116279"/>
    <x v="3"/>
    <x v="1"/>
    <x v="1"/>
    <n v="16053"/>
    <n v="3"/>
    <x v="223"/>
    <n v="1"/>
    <n v="1"/>
    <n v="0.25415809655516103"/>
    <x v="224"/>
    <n v="1.8688095683049897E-4"/>
    <x v="95"/>
    <n v="0.33333333333333331"/>
    <n v="33.333333333333329"/>
  </r>
  <r>
    <n v="780835"/>
    <x v="1"/>
    <n v="116279"/>
    <x v="3"/>
    <x v="1"/>
    <x v="1"/>
    <n v="54724"/>
    <n v="12"/>
    <x v="224"/>
    <n v="1"/>
    <n v="1"/>
    <n v="0.32764417714348365"/>
    <x v="225"/>
    <n v="2.1928221621226519E-4"/>
    <x v="96"/>
    <n v="8.3333333333333329E-2"/>
    <n v="8.3333333333333321"/>
  </r>
  <r>
    <n v="780867"/>
    <x v="1"/>
    <n v="116285"/>
    <x v="0"/>
    <x v="1"/>
    <x v="10"/>
    <n v="4706"/>
    <n v="1"/>
    <x v="29"/>
    <n v="1"/>
    <n v="0"/>
    <n v="0.25924352507437315"/>
    <x v="30"/>
    <n v="2.1249468763280918E-4"/>
    <x v="1"/>
    <n v="0"/>
    <n v="100"/>
  </r>
  <r>
    <n v="780974"/>
    <x v="1"/>
    <n v="116303"/>
    <x v="2"/>
    <x v="1"/>
    <x v="11"/>
    <n v="8316"/>
    <n v="3"/>
    <x v="225"/>
    <n v="1"/>
    <n v="1"/>
    <n v="0.54954304148629152"/>
    <x v="226"/>
    <n v="3.6075036075036075E-4"/>
    <x v="97"/>
    <n v="0.33333333333333331"/>
    <n v="33.333333333333329"/>
  </r>
  <r>
    <n v="781066"/>
    <x v="1"/>
    <n v="116323"/>
    <x v="2"/>
    <x v="1"/>
    <x v="22"/>
    <n v="5794"/>
    <n v="2"/>
    <x v="226"/>
    <n v="1"/>
    <n v="0"/>
    <n v="0.39178460148429406"/>
    <x v="227"/>
    <n v="3.4518467380048324E-4"/>
    <x v="1"/>
    <n v="0"/>
    <n v="50"/>
  </r>
  <r>
    <n v="781114"/>
    <x v="1"/>
    <n v="116331"/>
    <x v="2"/>
    <x v="1"/>
    <x v="12"/>
    <n v="4813"/>
    <n v="1"/>
    <x v="227"/>
    <n v="1"/>
    <n v="0"/>
    <n v="0.21400373384583421"/>
    <x v="228"/>
    <n v="2.0777062123415748E-4"/>
    <x v="1"/>
    <n v="0"/>
    <n v="100"/>
  </r>
  <r>
    <n v="781159"/>
    <x v="1"/>
    <n v="116339"/>
    <x v="2"/>
    <x v="1"/>
    <x v="16"/>
    <n v="85285"/>
    <n v="26"/>
    <x v="228"/>
    <n v="1"/>
    <n v="0"/>
    <n v="0.42363839303511758"/>
    <x v="229"/>
    <n v="3.0486017470833087E-4"/>
    <x v="1"/>
    <n v="0"/>
    <n v="3.8461538461538463"/>
  </r>
  <r>
    <n v="781162"/>
    <x v="1"/>
    <n v="116339"/>
    <x v="2"/>
    <x v="1"/>
    <x v="16"/>
    <n v="5839"/>
    <n v="1"/>
    <x v="217"/>
    <n v="1"/>
    <n v="0"/>
    <n v="0.23462921818804591"/>
    <x v="218"/>
    <n v="1.7126220243192326E-4"/>
    <x v="1"/>
    <n v="0"/>
    <n v="100"/>
  </r>
  <r>
    <n v="781175"/>
    <x v="1"/>
    <n v="116341"/>
    <x v="2"/>
    <x v="1"/>
    <x v="0"/>
    <n v="5859"/>
    <n v="1"/>
    <x v="229"/>
    <n v="1"/>
    <n v="0"/>
    <n v="0.26284348216419184"/>
    <x v="230"/>
    <n v="1.7067759003242875E-4"/>
    <x v="1"/>
    <n v="0"/>
    <n v="100"/>
  </r>
  <r>
    <n v="781187"/>
    <x v="1"/>
    <n v="116343"/>
    <x v="2"/>
    <x v="1"/>
    <x v="1"/>
    <n v="164118"/>
    <n v="41"/>
    <x v="230"/>
    <n v="1"/>
    <n v="0"/>
    <n v="0.35992395672625793"/>
    <x v="231"/>
    <n v="2.4982025128261374E-4"/>
    <x v="1"/>
    <n v="0"/>
    <n v="2.4390243902439024"/>
  </r>
  <r>
    <n v="781195"/>
    <x v="1"/>
    <n v="116345"/>
    <x v="1"/>
    <x v="1"/>
    <x v="13"/>
    <n v="18234"/>
    <n v="6"/>
    <x v="231"/>
    <n v="1"/>
    <n v="0"/>
    <n v="0.42832072293517609"/>
    <x v="232"/>
    <n v="3.2905561039815728E-4"/>
    <x v="1"/>
    <n v="0"/>
    <n v="16.666666666666664"/>
  </r>
  <r>
    <n v="781207"/>
    <x v="1"/>
    <n v="116347"/>
    <x v="1"/>
    <x v="1"/>
    <x v="21"/>
    <n v="2755"/>
    <n v="0"/>
    <x v="2"/>
    <n v="1"/>
    <n v="0"/>
    <n v="0"/>
    <x v="2"/>
    <n v="0"/>
    <x v="1"/>
    <n v="0"/>
    <n v="0"/>
  </r>
  <r>
    <n v="781303"/>
    <x v="1"/>
    <n v="116363"/>
    <x v="1"/>
    <x v="1"/>
    <x v="5"/>
    <n v="73676"/>
    <n v="20"/>
    <x v="232"/>
    <n v="1"/>
    <n v="0"/>
    <n v="0.38682881806829905"/>
    <x v="233"/>
    <n v="2.7145881969705196E-4"/>
    <x v="1"/>
    <n v="0"/>
    <n v="5"/>
  </r>
  <r>
    <n v="781305"/>
    <x v="1"/>
    <n v="116363"/>
    <x v="1"/>
    <x v="1"/>
    <x v="5"/>
    <n v="18421"/>
    <n v="7"/>
    <x v="233"/>
    <n v="1"/>
    <n v="0"/>
    <n v="0.54720155909016888"/>
    <x v="234"/>
    <n v="3.8000108571738776E-4"/>
    <x v="1"/>
    <n v="0"/>
    <n v="14.285714285714285"/>
  </r>
  <r>
    <n v="781327"/>
    <x v="1"/>
    <n v="116367"/>
    <x v="1"/>
    <x v="1"/>
    <x v="4"/>
    <n v="164754"/>
    <n v="49"/>
    <x v="234"/>
    <n v="2"/>
    <n v="1"/>
    <n v="0.4126151703752261"/>
    <x v="235"/>
    <n v="2.9741311288345048E-4"/>
    <x v="98"/>
    <n v="2.0408163265306121E-2"/>
    <n v="4.0816326530612246"/>
  </r>
  <r>
    <n v="781353"/>
    <x v="1"/>
    <n v="116371"/>
    <x v="1"/>
    <x v="1"/>
    <x v="16"/>
    <n v="7449"/>
    <n v="1"/>
    <x v="235"/>
    <n v="1"/>
    <n v="1"/>
    <n v="0.22016377849375754"/>
    <x v="236"/>
    <n v="1.3424620754463686E-4"/>
    <x v="99"/>
    <n v="1"/>
    <n v="100"/>
  </r>
  <r>
    <n v="781354"/>
    <x v="1"/>
    <n v="116371"/>
    <x v="1"/>
    <x v="1"/>
    <x v="16"/>
    <n v="6424"/>
    <n v="1"/>
    <x v="236"/>
    <n v="1"/>
    <n v="0"/>
    <n v="8.2503108810709838E-2"/>
    <x v="237"/>
    <n v="1.5566625155666251E-4"/>
    <x v="1"/>
    <n v="0"/>
    <n v="100"/>
  </r>
  <r>
    <n v="781438"/>
    <x v="1"/>
    <n v="116385"/>
    <x v="0"/>
    <x v="0"/>
    <x v="13"/>
    <n v="2086"/>
    <n v="0"/>
    <x v="2"/>
    <n v="1"/>
    <n v="0"/>
    <n v="0"/>
    <x v="2"/>
    <n v="0"/>
    <x v="1"/>
    <n v="0"/>
    <n v="0"/>
  </r>
  <r>
    <n v="781470"/>
    <x v="1"/>
    <n v="116391"/>
    <x v="1"/>
    <x v="0"/>
    <x v="1"/>
    <n v="6016"/>
    <n v="0"/>
    <x v="2"/>
    <n v="1"/>
    <n v="0"/>
    <n v="0"/>
    <x v="2"/>
    <n v="0"/>
    <x v="1"/>
    <n v="0"/>
    <n v="0"/>
  </r>
  <r>
    <n v="781499"/>
    <x v="1"/>
    <n v="116395"/>
    <x v="1"/>
    <x v="0"/>
    <x v="0"/>
    <n v="6412"/>
    <n v="1"/>
    <x v="217"/>
    <n v="1"/>
    <n v="0"/>
    <n v="0.21366188474734873"/>
    <x v="218"/>
    <n v="1.5595757953836556E-4"/>
    <x v="1"/>
    <n v="0"/>
    <n v="100"/>
  </r>
  <r>
    <n v="781508"/>
    <x v="1"/>
    <n v="116397"/>
    <x v="0"/>
    <x v="1"/>
    <x v="13"/>
    <n v="5040"/>
    <n v="1"/>
    <x v="237"/>
    <n v="1"/>
    <n v="0"/>
    <n v="0.28571429702380952"/>
    <x v="238"/>
    <n v="1.9841269841269841E-4"/>
    <x v="1"/>
    <n v="0"/>
    <n v="100"/>
  </r>
  <r>
    <n v="781556"/>
    <x v="1"/>
    <n v="116405"/>
    <x v="0"/>
    <x v="1"/>
    <x v="11"/>
    <n v="1772"/>
    <n v="0"/>
    <x v="2"/>
    <n v="1"/>
    <n v="0"/>
    <n v="0"/>
    <x v="2"/>
    <n v="0"/>
    <x v="1"/>
    <n v="0"/>
    <n v="0"/>
  </r>
  <r>
    <n v="781559"/>
    <x v="1"/>
    <n v="116405"/>
    <x v="0"/>
    <x v="1"/>
    <x v="11"/>
    <n v="1783"/>
    <n v="0"/>
    <x v="2"/>
    <n v="1"/>
    <n v="0"/>
    <n v="0"/>
    <x v="2"/>
    <n v="0"/>
    <x v="1"/>
    <n v="0"/>
    <n v="0"/>
  </r>
  <r>
    <n v="781606"/>
    <x v="1"/>
    <n v="116413"/>
    <x v="1"/>
    <x v="0"/>
    <x v="2"/>
    <n v="8200"/>
    <n v="3"/>
    <x v="238"/>
    <n v="1"/>
    <n v="0"/>
    <n v="0.47804877524390244"/>
    <x v="239"/>
    <n v="3.6585365853658537E-4"/>
    <x v="1"/>
    <n v="0"/>
    <n v="33.333333333333329"/>
  </r>
  <r>
    <n v="781690"/>
    <x v="1"/>
    <n v="116427"/>
    <x v="3"/>
    <x v="1"/>
    <x v="18"/>
    <n v="115896"/>
    <n v="38"/>
    <x v="239"/>
    <n v="1"/>
    <n v="0"/>
    <n v="0.42658935649202734"/>
    <x v="240"/>
    <n v="3.2788016842686546E-4"/>
    <x v="1"/>
    <n v="0"/>
    <n v="2.6315789473684208"/>
  </r>
  <r>
    <n v="781811"/>
    <x v="1"/>
    <n v="116447"/>
    <x v="1"/>
    <x v="1"/>
    <x v="1"/>
    <n v="10186"/>
    <n v="1"/>
    <x v="214"/>
    <n v="1"/>
    <n v="1"/>
    <n v="0.12075397791085804"/>
    <x v="215"/>
    <n v="9.8173964264677014E-5"/>
    <x v="92"/>
    <n v="1"/>
    <n v="100"/>
  </r>
  <r>
    <n v="781857"/>
    <x v="1"/>
    <n v="116455"/>
    <x v="0"/>
    <x v="0"/>
    <x v="2"/>
    <n v="9134"/>
    <n v="3"/>
    <x v="240"/>
    <n v="2"/>
    <n v="0"/>
    <n v="0.45763083720166409"/>
    <x v="241"/>
    <n v="3.2844317932997593E-4"/>
    <x v="1"/>
    <n v="0"/>
    <n v="66.666666666666657"/>
  </r>
  <r>
    <n v="781858"/>
    <x v="1"/>
    <n v="116455"/>
    <x v="0"/>
    <x v="0"/>
    <x v="2"/>
    <n v="3385"/>
    <n v="1"/>
    <x v="237"/>
    <n v="1"/>
    <n v="1"/>
    <n v="0.42540622067946826"/>
    <x v="238"/>
    <n v="2.9542097488921711E-4"/>
    <x v="100"/>
    <n v="1"/>
    <n v="100"/>
  </r>
  <r>
    <n v="781907"/>
    <x v="1"/>
    <n v="116463"/>
    <x v="3"/>
    <x v="1"/>
    <x v="10"/>
    <n v="1314"/>
    <n v="0"/>
    <x v="2"/>
    <n v="1"/>
    <n v="0"/>
    <n v="0"/>
    <x v="2"/>
    <n v="0"/>
    <x v="1"/>
    <n v="0"/>
    <n v="0"/>
  </r>
  <r>
    <n v="781928"/>
    <x v="1"/>
    <n v="116467"/>
    <x v="0"/>
    <x v="0"/>
    <x v="12"/>
    <n v="2916"/>
    <n v="0"/>
    <x v="2"/>
    <n v="1"/>
    <n v="1"/>
    <n v="0"/>
    <x v="2"/>
    <n v="0"/>
    <x v="3"/>
    <n v="0"/>
    <n v="0"/>
  </r>
  <r>
    <n v="781929"/>
    <x v="1"/>
    <n v="116467"/>
    <x v="0"/>
    <x v="0"/>
    <x v="12"/>
    <n v="6142"/>
    <n v="1"/>
    <x v="211"/>
    <n v="1"/>
    <n v="0"/>
    <n v="0.21654185004884402"/>
    <x v="212"/>
    <n v="1.6281341582546403E-4"/>
    <x v="1"/>
    <n v="0"/>
    <n v="100"/>
  </r>
  <r>
    <n v="781950"/>
    <x v="1"/>
    <n v="116471"/>
    <x v="0"/>
    <x v="1"/>
    <x v="2"/>
    <n v="1984"/>
    <n v="0"/>
    <x v="2"/>
    <n v="1"/>
    <n v="0"/>
    <n v="0"/>
    <x v="2"/>
    <n v="0"/>
    <x v="1"/>
    <n v="0"/>
    <n v="0"/>
  </r>
  <r>
    <n v="781999"/>
    <x v="1"/>
    <n v="116479"/>
    <x v="0"/>
    <x v="0"/>
    <x v="9"/>
    <n v="9142"/>
    <n v="3"/>
    <x v="241"/>
    <n v="1"/>
    <n v="0"/>
    <n v="0.41019469273681908"/>
    <x v="242"/>
    <n v="3.2815576460293154E-4"/>
    <x v="1"/>
    <n v="0"/>
    <n v="33.333333333333329"/>
  </r>
  <r>
    <n v="782001"/>
    <x v="1"/>
    <n v="116479"/>
    <x v="0"/>
    <x v="0"/>
    <x v="9"/>
    <n v="5475"/>
    <n v="2"/>
    <x v="242"/>
    <n v="1"/>
    <n v="1"/>
    <n v="0.49863014045662107"/>
    <x v="84"/>
    <n v="3.6529680365296805E-4"/>
    <x v="101"/>
    <n v="0.5"/>
    <n v="50"/>
  </r>
  <r>
    <n v="782022"/>
    <x v="1"/>
    <n v="116483"/>
    <x v="0"/>
    <x v="1"/>
    <x v="12"/>
    <n v="8254"/>
    <n v="2"/>
    <x v="243"/>
    <n v="1"/>
    <n v="1"/>
    <n v="0.28107584831596805"/>
    <x v="243"/>
    <n v="2.4230676035861401E-4"/>
    <x v="102"/>
    <n v="0.5"/>
    <n v="50"/>
  </r>
  <r>
    <n v="782026"/>
    <x v="1"/>
    <n v="116483"/>
    <x v="0"/>
    <x v="1"/>
    <x v="12"/>
    <n v="5704"/>
    <n v="1"/>
    <x v="44"/>
    <n v="1"/>
    <n v="0"/>
    <n v="0.23141655890603086"/>
    <x v="244"/>
    <n v="1.7531556802244039E-4"/>
    <x v="1"/>
    <n v="0"/>
    <n v="100"/>
  </r>
  <r>
    <n v="782130"/>
    <x v="1"/>
    <n v="116501"/>
    <x v="0"/>
    <x v="1"/>
    <x v="1"/>
    <n v="7301"/>
    <n v="0"/>
    <x v="2"/>
    <n v="1"/>
    <n v="0"/>
    <n v="0"/>
    <x v="2"/>
    <n v="0"/>
    <x v="1"/>
    <n v="0"/>
    <n v="0"/>
  </r>
  <r>
    <n v="782134"/>
    <x v="1"/>
    <n v="116501"/>
    <x v="0"/>
    <x v="1"/>
    <x v="1"/>
    <n v="37873"/>
    <n v="5"/>
    <x v="244"/>
    <n v="1"/>
    <n v="1"/>
    <n v="0.16291289195469066"/>
    <x v="245"/>
    <n v="1.3202017268238586E-4"/>
    <x v="103"/>
    <n v="0.2"/>
    <n v="20"/>
  </r>
  <r>
    <n v="782135"/>
    <x v="1"/>
    <n v="116501"/>
    <x v="0"/>
    <x v="1"/>
    <x v="1"/>
    <n v="25267"/>
    <n v="4"/>
    <x v="245"/>
    <n v="2"/>
    <n v="1"/>
    <n v="0.19551193481616336"/>
    <x v="246"/>
    <n v="1.5830925713381091E-4"/>
    <x v="104"/>
    <n v="0.25"/>
    <n v="50"/>
  </r>
  <r>
    <n v="782171"/>
    <x v="1"/>
    <n v="116507"/>
    <x v="0"/>
    <x v="1"/>
    <x v="8"/>
    <n v="535"/>
    <n v="0"/>
    <x v="2"/>
    <n v="1"/>
    <n v="0"/>
    <n v="0"/>
    <x v="2"/>
    <n v="0"/>
    <x v="1"/>
    <n v="0"/>
    <n v="0"/>
  </r>
  <r>
    <n v="782180"/>
    <x v="1"/>
    <n v="116509"/>
    <x v="0"/>
    <x v="0"/>
    <x v="4"/>
    <n v="3396"/>
    <n v="0"/>
    <x v="2"/>
    <n v="1"/>
    <n v="0"/>
    <n v="0"/>
    <x v="2"/>
    <n v="0"/>
    <x v="1"/>
    <n v="0"/>
    <n v="0"/>
  </r>
  <r>
    <n v="782219"/>
    <x v="1"/>
    <n v="116515"/>
    <x v="0"/>
    <x v="0"/>
    <x v="18"/>
    <n v="977"/>
    <n v="0"/>
    <x v="2"/>
    <n v="1"/>
    <n v="0"/>
    <n v="0"/>
    <x v="2"/>
    <n v="0"/>
    <x v="1"/>
    <n v="0"/>
    <n v="0"/>
  </r>
  <r>
    <n v="782228"/>
    <x v="1"/>
    <n v="116517"/>
    <x v="2"/>
    <x v="1"/>
    <x v="13"/>
    <n v="12318"/>
    <n v="5"/>
    <x v="121"/>
    <n v="1"/>
    <n v="1"/>
    <n v="0.5146939562428966"/>
    <x v="247"/>
    <n v="4.0591005033284623E-4"/>
    <x v="56"/>
    <n v="0.2"/>
    <n v="20"/>
  </r>
  <r>
    <n v="782242"/>
    <x v="1"/>
    <n v="116519"/>
    <x v="0"/>
    <x v="1"/>
    <x v="3"/>
    <n v="4783"/>
    <n v="1"/>
    <x v="78"/>
    <n v="1"/>
    <n v="0"/>
    <n v="0.17980347355216392"/>
    <x v="79"/>
    <n v="2.0907380305247751E-4"/>
    <x v="1"/>
    <n v="0"/>
    <n v="100"/>
  </r>
  <r>
    <n v="782275"/>
    <x v="1"/>
    <n v="116525"/>
    <x v="0"/>
    <x v="1"/>
    <x v="4"/>
    <n v="6475"/>
    <n v="1"/>
    <x v="40"/>
    <n v="1"/>
    <n v="0"/>
    <n v="0.20849421220077222"/>
    <x v="41"/>
    <n v="1.5444015444015445E-4"/>
    <x v="1"/>
    <n v="0"/>
    <n v="100"/>
  </r>
  <r>
    <n v="782337"/>
    <x v="1"/>
    <n v="116535"/>
    <x v="3"/>
    <x v="1"/>
    <x v="1"/>
    <n v="104578"/>
    <n v="29"/>
    <x v="246"/>
    <n v="1"/>
    <n v="1"/>
    <n v="0.37531795358488401"/>
    <x v="248"/>
    <n v="2.7730497810246895E-4"/>
    <x v="105"/>
    <n v="3.4482758620689655E-2"/>
    <n v="3.4482758620689653"/>
  </r>
  <r>
    <n v="782407"/>
    <x v="1"/>
    <n v="116547"/>
    <x v="3"/>
    <x v="1"/>
    <x v="16"/>
    <n v="33664"/>
    <n v="11"/>
    <x v="247"/>
    <n v="1"/>
    <n v="0"/>
    <n v="0.37161360355275669"/>
    <x v="249"/>
    <n v="3.2675855513307982E-4"/>
    <x v="1"/>
    <n v="0"/>
    <n v="9.0909090909090917"/>
  </r>
  <r>
    <n v="782443"/>
    <x v="1"/>
    <n v="116553"/>
    <x v="2"/>
    <x v="1"/>
    <x v="2"/>
    <n v="979"/>
    <n v="0"/>
    <x v="2"/>
    <n v="1"/>
    <n v="0"/>
    <n v="0"/>
    <x v="2"/>
    <n v="0"/>
    <x v="1"/>
    <n v="0"/>
    <n v="0"/>
  </r>
  <r>
    <n v="782541"/>
    <x v="1"/>
    <n v="116569"/>
    <x v="2"/>
    <x v="1"/>
    <x v="3"/>
    <n v="7337"/>
    <n v="3"/>
    <x v="223"/>
    <n v="1"/>
    <n v="0"/>
    <n v="0.55608558320839585"/>
    <x v="224"/>
    <n v="4.0888646585798008E-4"/>
    <x v="1"/>
    <n v="0"/>
    <n v="33.333333333333329"/>
  </r>
  <r>
    <n v="782587"/>
    <x v="1"/>
    <n v="116577"/>
    <x v="0"/>
    <x v="0"/>
    <x v="16"/>
    <n v="2499"/>
    <n v="0"/>
    <x v="2"/>
    <n v="1"/>
    <n v="0"/>
    <n v="0"/>
    <x v="2"/>
    <n v="0"/>
    <x v="1"/>
    <n v="0"/>
    <n v="0"/>
  </r>
  <r>
    <n v="782647"/>
    <x v="1"/>
    <n v="116587"/>
    <x v="2"/>
    <x v="1"/>
    <x v="5"/>
    <n v="11244"/>
    <n v="3"/>
    <x v="248"/>
    <n v="1"/>
    <n v="0"/>
    <n v="0.40466028023834932"/>
    <x v="250"/>
    <n v="2.6680896478121667E-4"/>
    <x v="1"/>
    <n v="0"/>
    <n v="33.333333333333329"/>
  </r>
  <r>
    <n v="782658"/>
    <x v="1"/>
    <n v="116589"/>
    <x v="0"/>
    <x v="0"/>
    <x v="0"/>
    <n v="4827"/>
    <n v="0"/>
    <x v="2"/>
    <n v="1"/>
    <n v="0"/>
    <n v="0"/>
    <x v="2"/>
    <n v="0"/>
    <x v="1"/>
    <n v="0"/>
    <n v="0"/>
  </r>
  <r>
    <n v="782694"/>
    <x v="1"/>
    <n v="116595"/>
    <x v="1"/>
    <x v="1"/>
    <x v="4"/>
    <n v="29035"/>
    <n v="7"/>
    <x v="249"/>
    <n v="2"/>
    <n v="2"/>
    <n v="0.30687102069915623"/>
    <x v="251"/>
    <n v="2.4108834165662132E-4"/>
    <x v="106"/>
    <n v="0.2857142857142857"/>
    <n v="28.571428571428569"/>
  </r>
  <r>
    <n v="782706"/>
    <x v="1"/>
    <n v="116597"/>
    <x v="1"/>
    <x v="1"/>
    <x v="8"/>
    <n v="761"/>
    <n v="0"/>
    <x v="2"/>
    <n v="1"/>
    <n v="0"/>
    <n v="0"/>
    <x v="2"/>
    <n v="0"/>
    <x v="1"/>
    <n v="0"/>
    <n v="0"/>
  </r>
  <r>
    <n v="782754"/>
    <x v="1"/>
    <n v="116605"/>
    <x v="1"/>
    <x v="1"/>
    <x v="18"/>
    <n v="6532"/>
    <n v="1"/>
    <x v="23"/>
    <n v="1"/>
    <n v="0"/>
    <n v="0.24647887538273117"/>
    <x v="24"/>
    <n v="1.5309246785058175E-4"/>
    <x v="1"/>
    <n v="0"/>
    <n v="100"/>
  </r>
  <r>
    <n v="782815"/>
    <x v="1"/>
    <n v="116615"/>
    <x v="2"/>
    <x v="1"/>
    <x v="16"/>
    <n v="11537"/>
    <n v="3"/>
    <x v="250"/>
    <n v="1"/>
    <n v="0"/>
    <n v="0.37271389364652852"/>
    <x v="252"/>
    <n v="2.6003293750541737E-4"/>
    <x v="1"/>
    <n v="0"/>
    <n v="33.333333333333329"/>
  </r>
  <r>
    <n v="782816"/>
    <x v="1"/>
    <n v="116615"/>
    <x v="2"/>
    <x v="1"/>
    <x v="16"/>
    <n v="12183"/>
    <n v="3"/>
    <x v="251"/>
    <n v="1"/>
    <n v="0"/>
    <n v="0.23557415620126407"/>
    <x v="253"/>
    <n v="2.4624476729869491E-4"/>
    <x v="1"/>
    <n v="0"/>
    <n v="33.333333333333329"/>
  </r>
  <r>
    <n v="782862"/>
    <x v="1"/>
    <n v="116623"/>
    <x v="1"/>
    <x v="1"/>
    <x v="21"/>
    <n v="5912"/>
    <n v="1"/>
    <x v="252"/>
    <n v="1"/>
    <n v="1"/>
    <n v="0.26387008508119081"/>
    <x v="254"/>
    <n v="1.6914749661705008E-4"/>
    <x v="107"/>
    <n v="1"/>
    <n v="100"/>
  </r>
  <r>
    <n v="950068"/>
    <x v="1"/>
    <n v="123438"/>
    <x v="0"/>
    <x v="0"/>
    <x v="16"/>
    <n v="4012"/>
    <n v="1"/>
    <x v="51"/>
    <n v="1"/>
    <n v="0"/>
    <n v="0.39132603489531403"/>
    <x v="52"/>
    <n v="2.4925224327018941E-4"/>
    <x v="1"/>
    <n v="0"/>
    <n v="100"/>
  </r>
  <r>
    <n v="950078"/>
    <x v="1"/>
    <n v="123440"/>
    <x v="0"/>
    <x v="0"/>
    <x v="1"/>
    <n v="12396"/>
    <n v="2"/>
    <x v="253"/>
    <n v="2"/>
    <n v="1"/>
    <n v="0.25895450451758634"/>
    <x v="255"/>
    <n v="1.6134236850596966E-4"/>
    <x v="108"/>
    <n v="0.5"/>
    <n v="100"/>
  </r>
  <r>
    <n v="950079"/>
    <x v="1"/>
    <n v="123440"/>
    <x v="0"/>
    <x v="0"/>
    <x v="1"/>
    <n v="3142"/>
    <n v="0"/>
    <x v="2"/>
    <n v="2"/>
    <n v="2"/>
    <n v="0"/>
    <x v="2"/>
    <n v="0"/>
    <x v="3"/>
    <n v="0"/>
    <n v="0"/>
  </r>
  <r>
    <n v="950099"/>
    <x v="1"/>
    <n v="123443"/>
    <x v="0"/>
    <x v="0"/>
    <x v="12"/>
    <n v="1120"/>
    <n v="0"/>
    <x v="2"/>
    <n v="1"/>
    <n v="0"/>
    <n v="0"/>
    <x v="2"/>
    <n v="0"/>
    <x v="1"/>
    <n v="0"/>
    <n v="0"/>
  </r>
  <r>
    <n v="950109"/>
    <x v="1"/>
    <n v="123445"/>
    <x v="0"/>
    <x v="0"/>
    <x v="2"/>
    <n v="343"/>
    <n v="0"/>
    <x v="2"/>
    <n v="1"/>
    <n v="1"/>
    <n v="0"/>
    <x v="2"/>
    <n v="0"/>
    <x v="3"/>
    <n v="0"/>
    <n v="0"/>
  </r>
  <r>
    <n v="950170"/>
    <x v="1"/>
    <n v="123455"/>
    <x v="0"/>
    <x v="0"/>
    <x v="0"/>
    <n v="1720"/>
    <n v="0"/>
    <x v="2"/>
    <n v="1"/>
    <n v="1"/>
    <n v="0"/>
    <x v="2"/>
    <n v="0"/>
    <x v="3"/>
    <n v="0"/>
    <n v="0"/>
  </r>
  <r>
    <n v="950179"/>
    <x v="1"/>
    <n v="123457"/>
    <x v="0"/>
    <x v="0"/>
    <x v="1"/>
    <n v="3423"/>
    <n v="0"/>
    <x v="2"/>
    <n v="1"/>
    <n v="1"/>
    <n v="0"/>
    <x v="2"/>
    <n v="0"/>
    <x v="3"/>
    <n v="0"/>
    <n v="0"/>
  </r>
  <r>
    <n v="950182"/>
    <x v="1"/>
    <n v="123457"/>
    <x v="0"/>
    <x v="0"/>
    <x v="1"/>
    <n v="3242"/>
    <n v="0"/>
    <x v="2"/>
    <n v="1"/>
    <n v="0"/>
    <n v="0"/>
    <x v="2"/>
    <n v="0"/>
    <x v="1"/>
    <n v="0"/>
    <n v="0"/>
  </r>
  <r>
    <n v="950183"/>
    <x v="1"/>
    <n v="123457"/>
    <x v="0"/>
    <x v="0"/>
    <x v="1"/>
    <n v="15720"/>
    <n v="1"/>
    <x v="157"/>
    <n v="1"/>
    <n v="0"/>
    <n v="8.778625922391857E-2"/>
    <x v="156"/>
    <n v="6.3613231552162849E-5"/>
    <x v="1"/>
    <n v="0"/>
    <n v="100"/>
  </r>
  <r>
    <n v="950200"/>
    <x v="1"/>
    <n v="123460"/>
    <x v="0"/>
    <x v="0"/>
    <x v="16"/>
    <n v="1217"/>
    <n v="0"/>
    <x v="2"/>
    <n v="1"/>
    <n v="1"/>
    <n v="0"/>
    <x v="2"/>
    <n v="0"/>
    <x v="3"/>
    <n v="0"/>
    <n v="0"/>
  </r>
  <r>
    <n v="950224"/>
    <x v="1"/>
    <n v="123464"/>
    <x v="2"/>
    <x v="0"/>
    <x v="2"/>
    <n v="2367"/>
    <n v="2"/>
    <x v="39"/>
    <n v="1"/>
    <n v="1"/>
    <n v="1.1998309733840302"/>
    <x v="40"/>
    <n v="8.449514152936206E-4"/>
    <x v="20"/>
    <n v="0.5"/>
    <n v="50"/>
  </r>
  <r>
    <n v="950326"/>
    <x v="1"/>
    <n v="123481"/>
    <x v="1"/>
    <x v="0"/>
    <x v="1"/>
    <n v="6607"/>
    <n v="1"/>
    <x v="44"/>
    <n v="2"/>
    <n v="0"/>
    <n v="0.19978811139700317"/>
    <x v="244"/>
    <n v="1.5135462388375965E-4"/>
    <x v="1"/>
    <n v="0"/>
    <n v="200"/>
  </r>
  <r>
    <n v="950345"/>
    <x v="1"/>
    <n v="123484"/>
    <x v="0"/>
    <x v="0"/>
    <x v="21"/>
    <n v="616"/>
    <n v="0"/>
    <x v="2"/>
    <n v="1"/>
    <n v="0"/>
    <n v="0"/>
    <x v="2"/>
    <n v="0"/>
    <x v="1"/>
    <n v="0"/>
    <n v="0"/>
  </r>
  <r>
    <n v="950452"/>
    <x v="1"/>
    <n v="123502"/>
    <x v="3"/>
    <x v="0"/>
    <x v="1"/>
    <n v="5537"/>
    <n v="1"/>
    <x v="254"/>
    <n v="1"/>
    <n v="0"/>
    <n v="0.27451688296911686"/>
    <x v="256"/>
    <n v="1.8060321473722233E-4"/>
    <x v="1"/>
    <n v="0"/>
    <n v="100"/>
  </r>
  <r>
    <n v="950463"/>
    <x v="1"/>
    <n v="123504"/>
    <x v="3"/>
    <x v="0"/>
    <x v="0"/>
    <n v="818"/>
    <n v="0"/>
    <x v="2"/>
    <n v="1"/>
    <n v="0"/>
    <n v="0"/>
    <x v="2"/>
    <n v="0"/>
    <x v="1"/>
    <n v="0"/>
    <n v="0"/>
  </r>
  <r>
    <n v="950495"/>
    <x v="1"/>
    <n v="123509"/>
    <x v="3"/>
    <x v="0"/>
    <x v="10"/>
    <n v="1909"/>
    <n v="1"/>
    <x v="95"/>
    <n v="1"/>
    <n v="0"/>
    <n v="0.51335778889470929"/>
    <x v="91"/>
    <n v="5.2383446830801469E-4"/>
    <x v="1"/>
    <n v="0"/>
    <n v="100"/>
  </r>
  <r>
    <n v="950521"/>
    <x v="1"/>
    <n v="123514"/>
    <x v="0"/>
    <x v="0"/>
    <x v="10"/>
    <n v="351"/>
    <n v="0"/>
    <x v="2"/>
    <n v="1"/>
    <n v="0"/>
    <n v="0"/>
    <x v="2"/>
    <n v="0"/>
    <x v="1"/>
    <n v="0"/>
    <n v="0"/>
  </r>
  <r>
    <n v="950531"/>
    <x v="1"/>
    <n v="123515"/>
    <x v="3"/>
    <x v="0"/>
    <x v="22"/>
    <n v="572"/>
    <n v="0"/>
    <x v="2"/>
    <n v="1"/>
    <n v="0"/>
    <n v="0"/>
    <x v="2"/>
    <n v="0"/>
    <x v="1"/>
    <n v="0"/>
    <n v="0"/>
  </r>
  <r>
    <n v="950537"/>
    <x v="1"/>
    <n v="123516"/>
    <x v="2"/>
    <x v="0"/>
    <x v="19"/>
    <n v="1884"/>
    <n v="1"/>
    <x v="52"/>
    <n v="1"/>
    <n v="0"/>
    <n v="0.74840762579617837"/>
    <x v="53"/>
    <n v="5.3078556263269638E-4"/>
    <x v="1"/>
    <n v="0"/>
    <n v="100"/>
  </r>
  <r>
    <n v="950550"/>
    <x v="1"/>
    <n v="123519"/>
    <x v="0"/>
    <x v="0"/>
    <x v="8"/>
    <n v="219"/>
    <n v="0"/>
    <x v="2"/>
    <n v="1"/>
    <n v="0"/>
    <n v="0"/>
    <x v="2"/>
    <n v="0"/>
    <x v="1"/>
    <n v="0"/>
    <n v="0"/>
  </r>
  <r>
    <n v="950577"/>
    <x v="1"/>
    <n v="123523"/>
    <x v="0"/>
    <x v="0"/>
    <x v="11"/>
    <n v="540"/>
    <n v="0"/>
    <x v="2"/>
    <n v="1"/>
    <n v="1"/>
    <n v="0"/>
    <x v="2"/>
    <n v="0"/>
    <x v="3"/>
    <n v="0"/>
    <n v="0"/>
  </r>
  <r>
    <n v="950578"/>
    <x v="1"/>
    <n v="123523"/>
    <x v="0"/>
    <x v="0"/>
    <x v="11"/>
    <n v="550"/>
    <n v="0"/>
    <x v="2"/>
    <n v="1"/>
    <n v="0"/>
    <n v="0"/>
    <x v="2"/>
    <n v="0"/>
    <x v="1"/>
    <n v="0"/>
    <n v="0"/>
  </r>
  <r>
    <n v="950595"/>
    <x v="1"/>
    <n v="123526"/>
    <x v="0"/>
    <x v="0"/>
    <x v="18"/>
    <n v="465"/>
    <n v="0"/>
    <x v="2"/>
    <n v="1"/>
    <n v="0"/>
    <n v="0"/>
    <x v="2"/>
    <n v="0"/>
    <x v="1"/>
    <n v="0"/>
    <n v="0"/>
  </r>
  <r>
    <n v="950609"/>
    <x v="1"/>
    <n v="123528"/>
    <x v="0"/>
    <x v="0"/>
    <x v="4"/>
    <n v="1761"/>
    <n v="0"/>
    <x v="2"/>
    <n v="1"/>
    <n v="1"/>
    <n v="0"/>
    <x v="2"/>
    <n v="0"/>
    <x v="3"/>
    <n v="0"/>
    <n v="0"/>
  </r>
  <r>
    <n v="950629"/>
    <x v="1"/>
    <n v="123532"/>
    <x v="0"/>
    <x v="0"/>
    <x v="14"/>
    <n v="152"/>
    <n v="0"/>
    <x v="2"/>
    <n v="1"/>
    <n v="1"/>
    <n v="0"/>
    <x v="2"/>
    <n v="0"/>
    <x v="3"/>
    <n v="0"/>
    <n v="0"/>
  </r>
  <r>
    <n v="950631"/>
    <x v="1"/>
    <n v="123532"/>
    <x v="0"/>
    <x v="0"/>
    <x v="14"/>
    <n v="152"/>
    <n v="0"/>
    <x v="2"/>
    <n v="1"/>
    <n v="1"/>
    <n v="0"/>
    <x v="2"/>
    <n v="0"/>
    <x v="3"/>
    <n v="0"/>
    <n v="0"/>
  </r>
  <r>
    <n v="950649"/>
    <x v="1"/>
    <n v="123535"/>
    <x v="0"/>
    <x v="0"/>
    <x v="21"/>
    <n v="429"/>
    <n v="0"/>
    <x v="2"/>
    <n v="1"/>
    <n v="0"/>
    <n v="0"/>
    <x v="2"/>
    <n v="0"/>
    <x v="1"/>
    <n v="0"/>
    <n v="0"/>
  </r>
  <r>
    <n v="950745"/>
    <x v="1"/>
    <n v="123551"/>
    <x v="0"/>
    <x v="0"/>
    <x v="4"/>
    <n v="1514"/>
    <n v="0"/>
    <x v="2"/>
    <n v="2"/>
    <n v="2"/>
    <n v="0"/>
    <x v="2"/>
    <n v="0"/>
    <x v="3"/>
    <n v="0"/>
    <n v="0"/>
  </r>
  <r>
    <n v="950770"/>
    <x v="1"/>
    <n v="123555"/>
    <x v="0"/>
    <x v="0"/>
    <x v="3"/>
    <n v="7780"/>
    <n v="3"/>
    <x v="255"/>
    <n v="2"/>
    <n v="2"/>
    <n v="0.55655526015424162"/>
    <x v="257"/>
    <n v="3.8560411311053987E-4"/>
    <x v="109"/>
    <n v="0.66666666666666663"/>
    <n v="66.666666666666657"/>
  </r>
  <r>
    <n v="950772"/>
    <x v="1"/>
    <n v="123556"/>
    <x v="1"/>
    <x v="0"/>
    <x v="3"/>
    <n v="460"/>
    <n v="0"/>
    <x v="2"/>
    <n v="1"/>
    <n v="0"/>
    <n v="0"/>
    <x v="2"/>
    <n v="0"/>
    <x v="1"/>
    <n v="0"/>
    <n v="0"/>
  </r>
  <r>
    <n v="950773"/>
    <x v="1"/>
    <n v="123556"/>
    <x v="1"/>
    <x v="0"/>
    <x v="3"/>
    <n v="471"/>
    <n v="0"/>
    <x v="2"/>
    <n v="1"/>
    <n v="0"/>
    <n v="0"/>
    <x v="2"/>
    <n v="0"/>
    <x v="1"/>
    <n v="0"/>
    <n v="0"/>
  </r>
  <r>
    <n v="950776"/>
    <x v="1"/>
    <n v="123556"/>
    <x v="1"/>
    <x v="0"/>
    <x v="3"/>
    <n v="2633"/>
    <n v="1"/>
    <x v="256"/>
    <n v="1"/>
    <n v="0"/>
    <n v="0.40638057424990504"/>
    <x v="258"/>
    <n v="3.7979491074819596E-4"/>
    <x v="1"/>
    <n v="0"/>
    <n v="100"/>
  </r>
  <r>
    <n v="950787"/>
    <x v="1"/>
    <n v="123558"/>
    <x v="0"/>
    <x v="0"/>
    <x v="5"/>
    <n v="199"/>
    <n v="0"/>
    <x v="2"/>
    <n v="1"/>
    <n v="0"/>
    <n v="0"/>
    <x v="2"/>
    <n v="0"/>
    <x v="1"/>
    <n v="0"/>
    <n v="0"/>
  </r>
  <r>
    <n v="950808"/>
    <x v="1"/>
    <n v="123562"/>
    <x v="1"/>
    <x v="0"/>
    <x v="11"/>
    <n v="398"/>
    <n v="0"/>
    <x v="2"/>
    <n v="1"/>
    <n v="0"/>
    <n v="0"/>
    <x v="2"/>
    <n v="0"/>
    <x v="1"/>
    <n v="0"/>
    <n v="0"/>
  </r>
  <r>
    <n v="950839"/>
    <x v="1"/>
    <n v="123567"/>
    <x v="0"/>
    <x v="0"/>
    <x v="9"/>
    <n v="246"/>
    <n v="0"/>
    <x v="2"/>
    <n v="2"/>
    <n v="2"/>
    <n v="0"/>
    <x v="2"/>
    <n v="0"/>
    <x v="3"/>
    <n v="0"/>
    <n v="0"/>
  </r>
  <r>
    <n v="950878"/>
    <x v="1"/>
    <n v="123573"/>
    <x v="2"/>
    <x v="0"/>
    <x v="16"/>
    <n v="2967"/>
    <n v="1"/>
    <x v="7"/>
    <n v="1"/>
    <n v="1"/>
    <n v="0.50556117290192115"/>
    <x v="7"/>
    <n v="3.370407819346141E-4"/>
    <x v="72"/>
    <n v="1"/>
    <n v="100"/>
  </r>
  <r>
    <n v="950969"/>
    <x v="1"/>
    <n v="123588"/>
    <x v="3"/>
    <x v="0"/>
    <x v="19"/>
    <n v="255"/>
    <n v="0"/>
    <x v="2"/>
    <n v="1"/>
    <n v="0"/>
    <n v="0"/>
    <x v="2"/>
    <n v="0"/>
    <x v="1"/>
    <n v="0"/>
    <n v="0"/>
  </r>
  <r>
    <n v="951021"/>
    <x v="1"/>
    <n v="123597"/>
    <x v="0"/>
    <x v="1"/>
    <x v="7"/>
    <n v="457"/>
    <n v="0"/>
    <x v="2"/>
    <n v="1"/>
    <n v="1"/>
    <n v="0"/>
    <x v="2"/>
    <n v="0"/>
    <x v="3"/>
    <n v="0"/>
    <n v="0"/>
  </r>
  <r>
    <n v="951033"/>
    <x v="1"/>
    <n v="123599"/>
    <x v="0"/>
    <x v="1"/>
    <x v="16"/>
    <n v="5517"/>
    <n v="1"/>
    <x v="214"/>
    <n v="1"/>
    <n v="0"/>
    <n v="0.22294725738626064"/>
    <x v="215"/>
    <n v="1.8125793003443902E-4"/>
    <x v="1"/>
    <n v="0"/>
    <n v="100"/>
  </r>
  <r>
    <n v="951035"/>
    <x v="1"/>
    <n v="123599"/>
    <x v="0"/>
    <x v="1"/>
    <x v="16"/>
    <n v="1539"/>
    <n v="0"/>
    <x v="2"/>
    <n v="1"/>
    <n v="1"/>
    <n v="0"/>
    <x v="2"/>
    <n v="0"/>
    <x v="3"/>
    <n v="0"/>
    <n v="0"/>
  </r>
  <r>
    <n v="951043"/>
    <x v="1"/>
    <n v="123601"/>
    <x v="0"/>
    <x v="1"/>
    <x v="1"/>
    <n v="3189"/>
    <n v="0"/>
    <x v="2"/>
    <n v="1"/>
    <n v="0"/>
    <n v="0"/>
    <x v="2"/>
    <n v="0"/>
    <x v="1"/>
    <n v="0"/>
    <n v="0"/>
  </r>
  <r>
    <n v="951045"/>
    <x v="1"/>
    <n v="123601"/>
    <x v="0"/>
    <x v="1"/>
    <x v="1"/>
    <n v="3348"/>
    <n v="0"/>
    <x v="2"/>
    <n v="1"/>
    <n v="0"/>
    <n v="0"/>
    <x v="2"/>
    <n v="0"/>
    <x v="1"/>
    <n v="0"/>
    <n v="0"/>
  </r>
  <r>
    <n v="951046"/>
    <x v="1"/>
    <n v="123601"/>
    <x v="0"/>
    <x v="1"/>
    <x v="1"/>
    <n v="20050"/>
    <n v="4"/>
    <x v="257"/>
    <n v="4"/>
    <n v="1"/>
    <n v="0.23241894498753118"/>
    <x v="259"/>
    <n v="1.9950124688279303E-4"/>
    <x v="110"/>
    <n v="0.25"/>
    <n v="100"/>
  </r>
  <r>
    <n v="951102"/>
    <x v="1"/>
    <n v="123611"/>
    <x v="3"/>
    <x v="0"/>
    <x v="1"/>
    <n v="2254"/>
    <n v="0"/>
    <x v="2"/>
    <n v="1"/>
    <n v="0"/>
    <n v="0"/>
    <x v="2"/>
    <n v="0"/>
    <x v="1"/>
    <n v="0"/>
    <n v="0"/>
  </r>
  <r>
    <n v="951105"/>
    <x v="1"/>
    <n v="123611"/>
    <x v="3"/>
    <x v="0"/>
    <x v="1"/>
    <n v="5894"/>
    <n v="1"/>
    <x v="229"/>
    <n v="1"/>
    <n v="1"/>
    <n v="0.26128265388530714"/>
    <x v="230"/>
    <n v="1.6966406515100103E-4"/>
    <x v="111"/>
    <n v="1"/>
    <n v="100"/>
  </r>
  <r>
    <n v="951133"/>
    <x v="1"/>
    <n v="123616"/>
    <x v="1"/>
    <x v="0"/>
    <x v="1"/>
    <n v="9948"/>
    <n v="2"/>
    <x v="258"/>
    <n v="2"/>
    <n v="0"/>
    <n v="0.27342179624045032"/>
    <x v="260"/>
    <n v="2.010454362685967E-4"/>
    <x v="1"/>
    <n v="0"/>
    <n v="100"/>
  </r>
  <r>
    <n v="951202"/>
    <x v="1"/>
    <n v="123627"/>
    <x v="3"/>
    <x v="1"/>
    <x v="18"/>
    <n v="5307"/>
    <n v="3"/>
    <x v="259"/>
    <n v="2"/>
    <n v="1"/>
    <n v="0.80836630148859989"/>
    <x v="261"/>
    <n v="5.6529112492933857E-4"/>
    <x v="112"/>
    <n v="0.33333333333333331"/>
    <n v="66.666666666666657"/>
  </r>
  <r>
    <n v="951225"/>
    <x v="1"/>
    <n v="123631"/>
    <x v="1"/>
    <x v="1"/>
    <x v="22"/>
    <n v="4621"/>
    <n v="2"/>
    <x v="260"/>
    <n v="1"/>
    <n v="1"/>
    <n v="0.70331097165115775"/>
    <x v="262"/>
    <n v="4.3280675178532783E-4"/>
    <x v="113"/>
    <n v="0.5"/>
    <n v="50"/>
  </r>
  <r>
    <n v="951270"/>
    <x v="1"/>
    <n v="123639"/>
    <x v="1"/>
    <x v="1"/>
    <x v="12"/>
    <n v="784"/>
    <n v="0"/>
    <x v="2"/>
    <n v="1"/>
    <n v="1"/>
    <n v="0"/>
    <x v="2"/>
    <n v="0"/>
    <x v="3"/>
    <n v="0"/>
    <n v="0"/>
  </r>
  <r>
    <n v="951282"/>
    <x v="1"/>
    <n v="123641"/>
    <x v="1"/>
    <x v="1"/>
    <x v="1"/>
    <n v="5775"/>
    <n v="1"/>
    <x v="71"/>
    <n v="1"/>
    <n v="1"/>
    <n v="0.27359308103896107"/>
    <x v="72"/>
    <n v="1.7316017316017316E-4"/>
    <x v="32"/>
    <n v="1"/>
    <n v="100"/>
  </r>
  <r>
    <n v="951285"/>
    <x v="1"/>
    <n v="123641"/>
    <x v="1"/>
    <x v="1"/>
    <x v="1"/>
    <n v="9297"/>
    <n v="2"/>
    <x v="261"/>
    <n v="2"/>
    <n v="1"/>
    <n v="0.28181132472840703"/>
    <x v="263"/>
    <n v="2.1512315800795956E-4"/>
    <x v="114"/>
    <n v="0.5"/>
    <n v="100"/>
  </r>
  <r>
    <n v="951294"/>
    <x v="1"/>
    <n v="123643"/>
    <x v="1"/>
    <x v="1"/>
    <x v="0"/>
    <n v="699"/>
    <n v="0"/>
    <x v="2"/>
    <n v="1"/>
    <n v="0"/>
    <n v="0"/>
    <x v="2"/>
    <n v="0"/>
    <x v="1"/>
    <n v="0"/>
    <n v="0"/>
  </r>
  <r>
    <n v="951305"/>
    <x v="1"/>
    <n v="123644"/>
    <x v="1"/>
    <x v="1"/>
    <x v="16"/>
    <n v="1104"/>
    <n v="0"/>
    <x v="2"/>
    <n v="1"/>
    <n v="0"/>
    <n v="0"/>
    <x v="2"/>
    <n v="0"/>
    <x v="1"/>
    <n v="0"/>
    <n v="0"/>
  </r>
  <r>
    <n v="951334"/>
    <x v="1"/>
    <n v="123649"/>
    <x v="0"/>
    <x v="1"/>
    <x v="21"/>
    <n v="3717"/>
    <n v="1"/>
    <x v="229"/>
    <n v="1"/>
    <n v="0"/>
    <n v="0.41431260747914983"/>
    <x v="230"/>
    <n v="2.6903416733925207E-4"/>
    <x v="1"/>
    <n v="0"/>
    <n v="100"/>
  </r>
  <r>
    <n v="951391"/>
    <x v="1"/>
    <n v="123659"/>
    <x v="0"/>
    <x v="1"/>
    <x v="3"/>
    <n v="2879"/>
    <n v="1"/>
    <x v="74"/>
    <n v="2"/>
    <n v="2"/>
    <n v="0.55227510698159077"/>
    <x v="75"/>
    <n v="3.4734282737061478E-4"/>
    <x v="115"/>
    <n v="2"/>
    <n v="200"/>
  </r>
  <r>
    <n v="951392"/>
    <x v="1"/>
    <n v="123659"/>
    <x v="0"/>
    <x v="1"/>
    <x v="3"/>
    <n v="2749"/>
    <n v="1"/>
    <x v="49"/>
    <n v="1"/>
    <n v="0"/>
    <n v="0.5056384088759549"/>
    <x v="50"/>
    <n v="3.6376864314296108E-4"/>
    <x v="1"/>
    <n v="0"/>
    <n v="100"/>
  </r>
  <r>
    <n v="951400"/>
    <x v="1"/>
    <n v="123660"/>
    <x v="3"/>
    <x v="1"/>
    <x v="16"/>
    <n v="24028"/>
    <n v="9"/>
    <x v="262"/>
    <n v="2"/>
    <n v="0"/>
    <n v="0.51564842433827207"/>
    <x v="264"/>
    <n v="3.745630098218745E-4"/>
    <x v="1"/>
    <n v="0"/>
    <n v="22.222222222222221"/>
  </r>
  <r>
    <n v="951402"/>
    <x v="1"/>
    <n v="123661"/>
    <x v="0"/>
    <x v="1"/>
    <x v="4"/>
    <n v="1118"/>
    <n v="0"/>
    <x v="2"/>
    <n v="1"/>
    <n v="1"/>
    <n v="0"/>
    <x v="2"/>
    <n v="0"/>
    <x v="3"/>
    <n v="0"/>
    <n v="0"/>
  </r>
  <r>
    <n v="951413"/>
    <x v="1"/>
    <n v="123662"/>
    <x v="0"/>
    <x v="1"/>
    <x v="18"/>
    <n v="1083"/>
    <n v="0"/>
    <x v="2"/>
    <n v="2"/>
    <n v="1"/>
    <n v="0"/>
    <x v="2"/>
    <n v="0"/>
    <x v="3"/>
    <n v="0"/>
    <n v="0"/>
  </r>
  <r>
    <n v="951420"/>
    <x v="1"/>
    <n v="123664"/>
    <x v="0"/>
    <x v="1"/>
    <x v="5"/>
    <n v="843"/>
    <n v="0"/>
    <x v="2"/>
    <n v="1"/>
    <n v="0"/>
    <n v="0"/>
    <x v="2"/>
    <n v="0"/>
    <x v="1"/>
    <n v="0"/>
    <n v="0"/>
  </r>
  <r>
    <n v="951444"/>
    <x v="1"/>
    <n v="123668"/>
    <x v="0"/>
    <x v="1"/>
    <x v="15"/>
    <n v="2983"/>
    <n v="1"/>
    <x v="151"/>
    <n v="1"/>
    <n v="0"/>
    <n v="0.32517600703989274"/>
    <x v="150"/>
    <n v="3.3523298692591353E-4"/>
    <x v="1"/>
    <n v="0"/>
    <n v="100"/>
  </r>
  <r>
    <n v="951448"/>
    <x v="1"/>
    <n v="123668"/>
    <x v="0"/>
    <x v="1"/>
    <x v="15"/>
    <n v="696"/>
    <n v="0"/>
    <x v="2"/>
    <n v="1"/>
    <n v="0"/>
    <n v="0"/>
    <x v="2"/>
    <n v="0"/>
    <x v="1"/>
    <n v="0"/>
    <n v="0"/>
  </r>
  <r>
    <n v="951462"/>
    <x v="1"/>
    <n v="123671"/>
    <x v="3"/>
    <x v="1"/>
    <x v="1"/>
    <n v="7589"/>
    <n v="2"/>
    <x v="263"/>
    <n v="1"/>
    <n v="1"/>
    <n v="0.4150744623797602"/>
    <x v="265"/>
    <n v="2.635393332454869E-4"/>
    <x v="116"/>
    <n v="0.5"/>
    <n v="50"/>
  </r>
  <r>
    <n v="951464"/>
    <x v="1"/>
    <n v="123671"/>
    <x v="3"/>
    <x v="1"/>
    <x v="1"/>
    <n v="20997"/>
    <n v="10"/>
    <x v="264"/>
    <n v="1"/>
    <n v="0"/>
    <n v="0.56912891413059008"/>
    <x v="266"/>
    <n v="4.7625851312092202E-4"/>
    <x v="1"/>
    <n v="0"/>
    <n v="10"/>
  </r>
  <r>
    <n v="951465"/>
    <x v="1"/>
    <n v="123671"/>
    <x v="3"/>
    <x v="1"/>
    <x v="1"/>
    <n v="4617"/>
    <n v="1"/>
    <x v="181"/>
    <n v="1"/>
    <n v="0"/>
    <n v="0.2945635724496426"/>
    <x v="180"/>
    <n v="2.1659085986571366E-4"/>
    <x v="1"/>
    <n v="0"/>
    <n v="100"/>
  </r>
  <r>
    <n v="951498"/>
    <x v="1"/>
    <n v="123677"/>
    <x v="3"/>
    <x v="1"/>
    <x v="2"/>
    <n v="259"/>
    <n v="0"/>
    <x v="2"/>
    <n v="1"/>
    <n v="0"/>
    <n v="0"/>
    <x v="2"/>
    <n v="0"/>
    <x v="1"/>
    <n v="0"/>
    <n v="0"/>
  </r>
  <r>
    <n v="951508"/>
    <x v="1"/>
    <n v="123678"/>
    <x v="0"/>
    <x v="1"/>
    <x v="12"/>
    <n v="1134"/>
    <n v="0"/>
    <x v="2"/>
    <n v="1"/>
    <n v="0"/>
    <n v="0"/>
    <x v="2"/>
    <n v="0"/>
    <x v="1"/>
    <n v="0"/>
    <n v="0"/>
  </r>
  <r>
    <n v="951542"/>
    <x v="1"/>
    <n v="123684"/>
    <x v="2"/>
    <x v="1"/>
    <x v="5"/>
    <n v="357"/>
    <n v="0"/>
    <x v="2"/>
    <n v="1"/>
    <n v="0"/>
    <n v="0"/>
    <x v="2"/>
    <n v="0"/>
    <x v="1"/>
    <n v="0"/>
    <n v="0"/>
  </r>
  <r>
    <n v="951607"/>
    <x v="1"/>
    <n v="123695"/>
    <x v="2"/>
    <x v="1"/>
    <x v="16"/>
    <n v="848"/>
    <n v="0"/>
    <x v="2"/>
    <n v="1"/>
    <n v="1"/>
    <n v="0"/>
    <x v="2"/>
    <n v="0"/>
    <x v="3"/>
    <n v="0"/>
    <n v="0"/>
  </r>
  <r>
    <n v="951608"/>
    <x v="1"/>
    <n v="123695"/>
    <x v="2"/>
    <x v="1"/>
    <x v="16"/>
    <n v="3149"/>
    <n v="1"/>
    <x v="265"/>
    <n v="1"/>
    <n v="0"/>
    <n v="0.46999047919974596"/>
    <x v="51"/>
    <n v="3.1756113051762465E-4"/>
    <x v="1"/>
    <n v="0"/>
    <n v="100"/>
  </r>
  <r>
    <n v="951641"/>
    <x v="1"/>
    <n v="123700"/>
    <x v="2"/>
    <x v="1"/>
    <x v="23"/>
    <n v="87"/>
    <n v="0"/>
    <x v="2"/>
    <n v="1"/>
    <n v="1"/>
    <n v="0"/>
    <x v="2"/>
    <n v="0"/>
    <x v="3"/>
    <n v="0"/>
    <n v="0"/>
  </r>
  <r>
    <n v="951677"/>
    <x v="1"/>
    <n v="123706"/>
    <x v="1"/>
    <x v="1"/>
    <x v="5"/>
    <n v="2563"/>
    <n v="1"/>
    <x v="265"/>
    <n v="1"/>
    <n v="0"/>
    <n v="0.57744831018337883"/>
    <x v="51"/>
    <n v="3.9016777214202108E-4"/>
    <x v="1"/>
    <n v="0"/>
    <n v="100"/>
  </r>
  <r>
    <n v="951692"/>
    <x v="1"/>
    <n v="123709"/>
    <x v="1"/>
    <x v="1"/>
    <x v="16"/>
    <n v="1107"/>
    <n v="0"/>
    <x v="2"/>
    <n v="1"/>
    <n v="0"/>
    <n v="0"/>
    <x v="2"/>
    <n v="0"/>
    <x v="1"/>
    <n v="0"/>
    <n v="0"/>
  </r>
  <r>
    <n v="951715"/>
    <x v="1"/>
    <n v="123713"/>
    <x v="3"/>
    <x v="1"/>
    <x v="21"/>
    <n v="10677"/>
    <n v="5"/>
    <x v="266"/>
    <n v="1"/>
    <n v="0"/>
    <n v="0.68090287355998869"/>
    <x v="267"/>
    <n v="4.6829633792263745E-4"/>
    <x v="1"/>
    <n v="0"/>
    <n v="20"/>
  </r>
  <r>
    <n v="951756"/>
    <x v="1"/>
    <n v="123720"/>
    <x v="1"/>
    <x v="1"/>
    <x v="22"/>
    <n v="2189"/>
    <n v="1"/>
    <x v="267"/>
    <n v="1"/>
    <n v="0"/>
    <n v="0.18730013522156236"/>
    <x v="268"/>
    <n v="4.5682960255824577E-4"/>
    <x v="1"/>
    <n v="0"/>
    <n v="100"/>
  </r>
  <r>
    <n v="951779"/>
    <x v="1"/>
    <n v="123723"/>
    <x v="3"/>
    <x v="1"/>
    <x v="5"/>
    <n v="3277"/>
    <n v="2"/>
    <x v="69"/>
    <n v="1"/>
    <n v="0"/>
    <n v="0.81782119835215139"/>
    <x v="70"/>
    <n v="6.1031431187061336E-4"/>
    <x v="1"/>
    <n v="0"/>
    <n v="50"/>
  </r>
  <r>
    <n v="951782"/>
    <x v="1"/>
    <n v="123724"/>
    <x v="3"/>
    <x v="1"/>
    <x v="18"/>
    <n v="781"/>
    <n v="0"/>
    <x v="2"/>
    <n v="1"/>
    <n v="0"/>
    <n v="0"/>
    <x v="2"/>
    <n v="0"/>
    <x v="1"/>
    <n v="0"/>
    <n v="0"/>
  </r>
  <r>
    <n v="951810"/>
    <x v="1"/>
    <n v="123729"/>
    <x v="1"/>
    <x v="1"/>
    <x v="1"/>
    <n v="2226"/>
    <n v="0"/>
    <x v="2"/>
    <n v="1"/>
    <n v="0"/>
    <n v="0"/>
    <x v="2"/>
    <n v="0"/>
    <x v="1"/>
    <n v="0"/>
    <n v="0"/>
  </r>
  <r>
    <n v="951812"/>
    <x v="1"/>
    <n v="123729"/>
    <x v="1"/>
    <x v="1"/>
    <x v="1"/>
    <n v="16274"/>
    <n v="4"/>
    <x v="268"/>
    <n v="2"/>
    <n v="0"/>
    <n v="0.37360205997296303"/>
    <x v="256"/>
    <n v="2.4579083200196631E-4"/>
    <x v="1"/>
    <n v="0"/>
    <n v="50"/>
  </r>
  <r>
    <n v="951837"/>
    <x v="1"/>
    <n v="123733"/>
    <x v="3"/>
    <x v="1"/>
    <x v="2"/>
    <n v="2077"/>
    <n v="1"/>
    <x v="26"/>
    <n v="1"/>
    <n v="1"/>
    <n v="0.72701010592200288"/>
    <x v="27"/>
    <n v="4.8146364949446316E-4"/>
    <x v="117"/>
    <n v="1"/>
    <n v="100"/>
  </r>
  <r>
    <n v="951853"/>
    <x v="1"/>
    <n v="123736"/>
    <x v="0"/>
    <x v="1"/>
    <x v="2"/>
    <n v="529"/>
    <n v="0"/>
    <x v="2"/>
    <n v="0"/>
    <n v="0"/>
    <n v="0"/>
    <x v="2"/>
    <n v="0"/>
    <x v="1"/>
    <n v="0"/>
    <n v="0"/>
  </r>
  <r>
    <n v="951854"/>
    <x v="1"/>
    <n v="123736"/>
    <x v="0"/>
    <x v="1"/>
    <x v="2"/>
    <n v="487"/>
    <n v="0"/>
    <x v="2"/>
    <n v="1"/>
    <n v="0"/>
    <n v="0"/>
    <x v="2"/>
    <n v="0"/>
    <x v="1"/>
    <n v="0"/>
    <n v="0"/>
  </r>
  <r>
    <n v="951856"/>
    <x v="1"/>
    <n v="123736"/>
    <x v="0"/>
    <x v="1"/>
    <x v="2"/>
    <n v="4626"/>
    <n v="2"/>
    <x v="269"/>
    <n v="2"/>
    <n v="0"/>
    <n v="0.45395588089061817"/>
    <x v="269"/>
    <n v="4.3233895373973193E-4"/>
    <x v="1"/>
    <n v="0"/>
    <n v="100"/>
  </r>
  <r>
    <n v="951941"/>
    <x v="1"/>
    <n v="123750"/>
    <x v="0"/>
    <x v="1"/>
    <x v="3"/>
    <n v="2764"/>
    <n v="1"/>
    <x v="252"/>
    <n v="1"/>
    <n v="1"/>
    <n v="0.56439940050651238"/>
    <x v="254"/>
    <n v="3.6179450072358897E-4"/>
    <x v="107"/>
    <n v="1"/>
    <n v="100"/>
  </r>
  <r>
    <n v="952001"/>
    <x v="1"/>
    <n v="123760"/>
    <x v="3"/>
    <x v="1"/>
    <x v="16"/>
    <n v="5447"/>
    <n v="2"/>
    <x v="270"/>
    <n v="1"/>
    <n v="0"/>
    <n v="0.54341840242335226"/>
    <x v="51"/>
    <n v="3.6717459151826694E-4"/>
    <x v="1"/>
    <n v="0"/>
    <n v="50"/>
  </r>
  <r>
    <n v="952031"/>
    <x v="1"/>
    <n v="123765"/>
    <x v="2"/>
    <x v="1"/>
    <x v="1"/>
    <n v="28169"/>
    <n v="8"/>
    <x v="271"/>
    <n v="1"/>
    <n v="1"/>
    <n v="0.43913521566260783"/>
    <x v="270"/>
    <n v="2.8400014200007101E-4"/>
    <x v="118"/>
    <n v="0.125"/>
    <n v="12.5"/>
  </r>
  <r>
    <n v="952080"/>
    <x v="1"/>
    <n v="123774"/>
    <x v="2"/>
    <x v="1"/>
    <x v="5"/>
    <n v="415"/>
    <n v="0"/>
    <x v="2"/>
    <n v="1"/>
    <n v="0"/>
    <n v="0"/>
    <x v="2"/>
    <n v="0"/>
    <x v="1"/>
    <n v="0"/>
    <n v="0"/>
  </r>
  <r>
    <n v="952100"/>
    <x v="1"/>
    <n v="123777"/>
    <x v="1"/>
    <x v="1"/>
    <x v="4"/>
    <n v="810"/>
    <n v="0"/>
    <x v="2"/>
    <n v="1"/>
    <n v="1"/>
    <n v="0"/>
    <x v="2"/>
    <n v="0"/>
    <x v="3"/>
    <n v="0"/>
    <n v="0"/>
  </r>
  <r>
    <n v="1121091"/>
    <x v="2"/>
    <n v="144531"/>
    <x v="0"/>
    <x v="0"/>
    <x v="16"/>
    <n v="1194718"/>
    <n v="141"/>
    <x v="272"/>
    <n v="28"/>
    <n v="14"/>
    <n v="0.21264431941261452"/>
    <x v="271"/>
    <n v="1.1801948242179326E-4"/>
    <x v="119"/>
    <n v="9.9290780141843976E-2"/>
    <n v="19.858156028368796"/>
  </r>
  <r>
    <n v="1121092"/>
    <x v="2"/>
    <n v="144531"/>
    <x v="0"/>
    <x v="0"/>
    <x v="16"/>
    <n v="637648"/>
    <n v="67"/>
    <x v="273"/>
    <n v="13"/>
    <n v="5"/>
    <n v="0.1919554362281384"/>
    <x v="272"/>
    <n v="1.050736456477555E-4"/>
    <x v="120"/>
    <n v="7.4626865671641784E-2"/>
    <n v="19.402985074626866"/>
  </r>
  <r>
    <n v="1121094"/>
    <x v="2"/>
    <n v="144531"/>
    <x v="0"/>
    <x v="0"/>
    <x v="16"/>
    <n v="24362"/>
    <n v="0"/>
    <x v="2"/>
    <n v="1"/>
    <n v="1"/>
    <n v="0"/>
    <x v="2"/>
    <n v="0"/>
    <x v="3"/>
    <n v="0"/>
    <n v="0"/>
  </r>
  <r>
    <n v="1121095"/>
    <x v="2"/>
    <n v="144531"/>
    <x v="0"/>
    <x v="0"/>
    <x v="16"/>
    <n v="459690"/>
    <n v="50"/>
    <x v="274"/>
    <n v="5"/>
    <n v="2"/>
    <n v="0.18780047666905961"/>
    <x v="273"/>
    <n v="1.0876895299005852E-4"/>
    <x v="121"/>
    <n v="0.04"/>
    <n v="10"/>
  </r>
  <r>
    <n v="1121096"/>
    <x v="2"/>
    <n v="144531"/>
    <x v="0"/>
    <x v="0"/>
    <x v="16"/>
    <n v="750060"/>
    <n v="86"/>
    <x v="275"/>
    <n v="11"/>
    <n v="2"/>
    <n v="0.21586272978161744"/>
    <x v="274"/>
    <n v="1.1465749406714129E-4"/>
    <x v="122"/>
    <n v="2.3255813953488372E-2"/>
    <n v="12.790697674418606"/>
  </r>
  <r>
    <n v="1121097"/>
    <x v="2"/>
    <n v="144532"/>
    <x v="0"/>
    <x v="0"/>
    <x v="0"/>
    <n v="30068"/>
    <n v="1"/>
    <x v="276"/>
    <n v="1"/>
    <n v="0"/>
    <n v="6.0529468271916985E-2"/>
    <x v="275"/>
    <n v="3.3257948649727285E-5"/>
    <x v="1"/>
    <n v="0"/>
    <n v="100"/>
  </r>
  <r>
    <n v="1121098"/>
    <x v="2"/>
    <n v="144532"/>
    <x v="0"/>
    <x v="0"/>
    <x v="0"/>
    <n v="1267550"/>
    <n v="123"/>
    <x v="277"/>
    <n v="24"/>
    <n v="10"/>
    <n v="0.18679341927340143"/>
    <x v="276"/>
    <n v="9.7037592205435677E-5"/>
    <x v="123"/>
    <n v="8.1300813008130079E-2"/>
    <n v="19.512195121951219"/>
  </r>
  <r>
    <n v="1121100"/>
    <x v="2"/>
    <n v="144532"/>
    <x v="0"/>
    <x v="0"/>
    <x v="0"/>
    <n v="3052003"/>
    <n v="340"/>
    <x v="278"/>
    <n v="60"/>
    <n v="17"/>
    <n v="0.20968196889059415"/>
    <x v="277"/>
    <n v="1.1140224960460393E-4"/>
    <x v="124"/>
    <n v="0.05"/>
    <n v="17.647058823529413"/>
  </r>
  <r>
    <n v="1121101"/>
    <x v="2"/>
    <n v="144532"/>
    <x v="0"/>
    <x v="0"/>
    <x v="0"/>
    <n v="29945"/>
    <n v="1"/>
    <x v="74"/>
    <n v="2"/>
    <n v="1"/>
    <n v="5.3097346234763726E-2"/>
    <x v="75"/>
    <n v="3.3394556687259975E-5"/>
    <x v="125"/>
    <n v="1"/>
    <n v="200"/>
  </r>
  <r>
    <n v="1121102"/>
    <x v="2"/>
    <n v="144532"/>
    <x v="0"/>
    <x v="0"/>
    <x v="0"/>
    <n v="357856"/>
    <n v="30"/>
    <x v="279"/>
    <n v="7"/>
    <n v="3"/>
    <n v="0.14802043321894842"/>
    <x v="278"/>
    <n v="8.3832603058213358E-5"/>
    <x v="126"/>
    <n v="0.1"/>
    <n v="23.333333333333332"/>
  </r>
  <r>
    <n v="1121104"/>
    <x v="2"/>
    <n v="144533"/>
    <x v="0"/>
    <x v="0"/>
    <x v="1"/>
    <n v="2080666"/>
    <n v="202"/>
    <x v="280"/>
    <n v="40"/>
    <n v="21"/>
    <n v="0.17309361593835818"/>
    <x v="279"/>
    <n v="9.7084298969656832E-5"/>
    <x v="127"/>
    <n v="0.10396039603960396"/>
    <n v="19.801980198019802"/>
  </r>
  <r>
    <n v="1121105"/>
    <x v="2"/>
    <n v="144533"/>
    <x v="0"/>
    <x v="0"/>
    <x v="1"/>
    <n v="145999"/>
    <n v="9"/>
    <x v="281"/>
    <n v="5"/>
    <n v="2"/>
    <n v="0.11315146062644266"/>
    <x v="280"/>
    <n v="6.1644257837382448E-5"/>
    <x v="128"/>
    <n v="0.22222222222222221"/>
    <n v="55.555555555555557"/>
  </r>
  <r>
    <n v="1121107"/>
    <x v="2"/>
    <n v="144533"/>
    <x v="0"/>
    <x v="0"/>
    <x v="1"/>
    <n v="32616"/>
    <n v="1"/>
    <x v="229"/>
    <n v="2"/>
    <n v="0"/>
    <n v="4.7216089097375527E-2"/>
    <x v="230"/>
    <n v="3.0659798871719399E-5"/>
    <x v="1"/>
    <n v="0"/>
    <n v="200"/>
  </r>
  <r>
    <n v="1121108"/>
    <x v="2"/>
    <n v="144533"/>
    <x v="0"/>
    <x v="0"/>
    <x v="1"/>
    <n v="984521"/>
    <n v="95"/>
    <x v="282"/>
    <n v="26"/>
    <n v="14"/>
    <n v="0.16647689302716753"/>
    <x v="281"/>
    <n v="9.6493624818566595E-5"/>
    <x v="129"/>
    <n v="0.14736842105263157"/>
    <n v="27.368421052631582"/>
  </r>
  <r>
    <n v="1121110"/>
    <x v="2"/>
    <n v="144534"/>
    <x v="0"/>
    <x v="0"/>
    <x v="12"/>
    <n v="880814"/>
    <n v="123"/>
    <x v="283"/>
    <n v="6"/>
    <n v="2"/>
    <n v="0.23882454252543672"/>
    <x v="282"/>
    <n v="1.3964355698251843E-4"/>
    <x v="130"/>
    <n v="1.6260162601626018E-2"/>
    <n v="4.8780487804878048"/>
  </r>
  <r>
    <n v="1121111"/>
    <x v="2"/>
    <n v="144534"/>
    <x v="0"/>
    <x v="0"/>
    <x v="12"/>
    <n v="182452"/>
    <n v="20"/>
    <x v="284"/>
    <n v="4"/>
    <n v="1"/>
    <n v="0.19583232992787142"/>
    <x v="283"/>
    <n v="1.0961787209786684E-4"/>
    <x v="131"/>
    <n v="0.05"/>
    <n v="20"/>
  </r>
  <r>
    <n v="1121113"/>
    <x v="2"/>
    <n v="144534"/>
    <x v="0"/>
    <x v="0"/>
    <x v="12"/>
    <n v="894911"/>
    <n v="120"/>
    <x v="285"/>
    <n v="7"/>
    <n v="4"/>
    <n v="0.2411859943614505"/>
    <x v="284"/>
    <n v="1.3409154653367766E-4"/>
    <x v="132"/>
    <n v="3.3333333333333333E-2"/>
    <n v="5.833333333333333"/>
  </r>
  <r>
    <n v="1121114"/>
    <x v="2"/>
    <n v="144534"/>
    <x v="0"/>
    <x v="0"/>
    <x v="12"/>
    <n v="31349"/>
    <n v="2"/>
    <x v="286"/>
    <n v="1"/>
    <n v="0"/>
    <n v="0.12121599004752943"/>
    <x v="285"/>
    <n v="6.3797888289897611E-5"/>
    <x v="1"/>
    <n v="0"/>
    <n v="50"/>
  </r>
  <r>
    <n v="1121115"/>
    <x v="2"/>
    <n v="144535"/>
    <x v="0"/>
    <x v="0"/>
    <x v="17"/>
    <n v="410310"/>
    <n v="55"/>
    <x v="287"/>
    <n v="3"/>
    <n v="0"/>
    <n v="0.23591918439716311"/>
    <x v="286"/>
    <n v="1.3404499037313251E-4"/>
    <x v="1"/>
    <n v="0"/>
    <n v="5.4545454545454541"/>
  </r>
  <r>
    <n v="1121116"/>
    <x v="2"/>
    <n v="144535"/>
    <x v="0"/>
    <x v="0"/>
    <x v="17"/>
    <n v="572450"/>
    <n v="89"/>
    <x v="288"/>
    <n v="7"/>
    <n v="4"/>
    <n v="0.27483622674469388"/>
    <x v="287"/>
    <n v="1.5547209363263168E-4"/>
    <x v="133"/>
    <n v="4.49438202247191E-2"/>
    <n v="7.8651685393258424"/>
  </r>
  <r>
    <n v="1121117"/>
    <x v="2"/>
    <n v="144535"/>
    <x v="0"/>
    <x v="0"/>
    <x v="17"/>
    <n v="98759"/>
    <n v="15"/>
    <x v="289"/>
    <n v="1"/>
    <n v="1"/>
    <n v="0.26903876568211504"/>
    <x v="288"/>
    <n v="1.5188489150355918E-4"/>
    <x v="134"/>
    <n v="6.6666666666666666E-2"/>
    <n v="6.666666666666667"/>
  </r>
  <r>
    <n v="1121119"/>
    <x v="2"/>
    <n v="144535"/>
    <x v="0"/>
    <x v="0"/>
    <x v="17"/>
    <n v="345371"/>
    <n v="54"/>
    <x v="290"/>
    <n v="7"/>
    <n v="3"/>
    <n v="0.26953623758219425"/>
    <x v="289"/>
    <n v="1.5635360235804395E-4"/>
    <x v="135"/>
    <n v="5.5555555555555552E-2"/>
    <n v="12.962962962962962"/>
  </r>
  <r>
    <n v="1121121"/>
    <x v="2"/>
    <n v="144536"/>
    <x v="0"/>
    <x v="0"/>
    <x v="2"/>
    <n v="323899"/>
    <n v="46"/>
    <x v="291"/>
    <n v="5"/>
    <n v="1"/>
    <n v="0.24365620208768785"/>
    <x v="290"/>
    <n v="1.4201958017777148E-4"/>
    <x v="136"/>
    <n v="2.1739130434782608E-2"/>
    <n v="10.869565217391305"/>
  </r>
  <r>
    <n v="1121122"/>
    <x v="2"/>
    <n v="144536"/>
    <x v="0"/>
    <x v="0"/>
    <x v="2"/>
    <n v="399199"/>
    <n v="58"/>
    <x v="292"/>
    <n v="3"/>
    <n v="0"/>
    <n v="0.25839243134376588"/>
    <x v="291"/>
    <n v="1.4529094511759799E-4"/>
    <x v="1"/>
    <n v="0"/>
    <n v="5.1724137931034484"/>
  </r>
  <r>
    <n v="1121123"/>
    <x v="2"/>
    <n v="144536"/>
    <x v="0"/>
    <x v="0"/>
    <x v="2"/>
    <n v="171202"/>
    <n v="22"/>
    <x v="293"/>
    <n v="3"/>
    <n v="1"/>
    <n v="0.21337367676779476"/>
    <x v="292"/>
    <n v="1.285031716919195E-4"/>
    <x v="137"/>
    <n v="4.5454545454545456E-2"/>
    <n v="13.636363636363635"/>
  </r>
  <r>
    <n v="1121124"/>
    <x v="2"/>
    <n v="144536"/>
    <x v="0"/>
    <x v="0"/>
    <x v="2"/>
    <n v="128386"/>
    <n v="15"/>
    <x v="294"/>
    <n v="2"/>
    <n v="1"/>
    <n v="0.22471297509074198"/>
    <x v="293"/>
    <n v="1.1683516894365429E-4"/>
    <x v="138"/>
    <n v="6.6666666666666666E-2"/>
    <n v="13.333333333333334"/>
  </r>
  <r>
    <n v="1121125"/>
    <x v="2"/>
    <n v="144536"/>
    <x v="0"/>
    <x v="0"/>
    <x v="2"/>
    <n v="1034284"/>
    <n v="152"/>
    <x v="295"/>
    <n v="20"/>
    <n v="9"/>
    <n v="0.24916753870310279"/>
    <x v="294"/>
    <n v="1.4696156954956279E-4"/>
    <x v="139"/>
    <n v="5.921052631578947E-2"/>
    <n v="13.157894736842104"/>
  </r>
  <r>
    <n v="1121126"/>
    <x v="2"/>
    <n v="144536"/>
    <x v="0"/>
    <x v="0"/>
    <x v="2"/>
    <n v="45923"/>
    <n v="5"/>
    <x v="296"/>
    <n v="2"/>
    <n v="0"/>
    <n v="0.15721969705811903"/>
    <x v="295"/>
    <n v="1.0887790431809768E-4"/>
    <x v="1"/>
    <n v="0"/>
    <n v="40"/>
  </r>
  <r>
    <n v="1121127"/>
    <x v="2"/>
    <n v="144537"/>
    <x v="0"/>
    <x v="0"/>
    <x v="10"/>
    <n v="40873"/>
    <n v="4"/>
    <x v="297"/>
    <n v="2"/>
    <n v="1"/>
    <n v="0.19328162787170014"/>
    <x v="296"/>
    <n v="9.7864115675384727E-5"/>
    <x v="140"/>
    <n v="0.25"/>
    <n v="50"/>
  </r>
  <r>
    <n v="1121128"/>
    <x v="2"/>
    <n v="144537"/>
    <x v="0"/>
    <x v="0"/>
    <x v="10"/>
    <n v="286553"/>
    <n v="34"/>
    <x v="298"/>
    <n v="2"/>
    <n v="1"/>
    <n v="0.21657424776568385"/>
    <x v="297"/>
    <n v="1.1865169794069509E-4"/>
    <x v="141"/>
    <n v="2.9411764705882353E-2"/>
    <n v="5.8823529411764701"/>
  </r>
  <r>
    <n v="1121129"/>
    <x v="2"/>
    <n v="144537"/>
    <x v="0"/>
    <x v="0"/>
    <x v="10"/>
    <n v="20618"/>
    <n v="1"/>
    <x v="269"/>
    <n v="2"/>
    <n v="1"/>
    <n v="0.10185274541662624"/>
    <x v="298"/>
    <n v="4.8501309535357458E-5"/>
    <x v="142"/>
    <n v="1"/>
    <n v="200"/>
  </r>
  <r>
    <n v="1121131"/>
    <x v="2"/>
    <n v="144537"/>
    <x v="0"/>
    <x v="0"/>
    <x v="10"/>
    <n v="83591"/>
    <n v="7"/>
    <x v="299"/>
    <n v="2"/>
    <n v="2"/>
    <n v="0.16915697216207487"/>
    <x v="299"/>
    <n v="8.3741072603509952E-5"/>
    <x v="143"/>
    <n v="0.2857142857142857"/>
    <n v="28.571428571428569"/>
  </r>
  <r>
    <n v="1121132"/>
    <x v="2"/>
    <n v="144537"/>
    <x v="0"/>
    <x v="0"/>
    <x v="10"/>
    <n v="114923"/>
    <n v="12"/>
    <x v="300"/>
    <n v="4"/>
    <n v="2"/>
    <n v="0.20648608424771367"/>
    <x v="300"/>
    <n v="1.0441774057412354E-4"/>
    <x v="144"/>
    <n v="0.16666666666666666"/>
    <n v="33.333333333333329"/>
  </r>
  <r>
    <n v="1121133"/>
    <x v="2"/>
    <n v="144538"/>
    <x v="0"/>
    <x v="0"/>
    <x v="22"/>
    <n v="25002"/>
    <n v="1"/>
    <x v="301"/>
    <n v="1"/>
    <n v="0"/>
    <n v="6.8394529957603395E-2"/>
    <x v="301"/>
    <n v="3.9996800255979519E-5"/>
    <x v="1"/>
    <n v="0"/>
    <n v="100"/>
  </r>
  <r>
    <n v="1121134"/>
    <x v="2"/>
    <n v="144538"/>
    <x v="0"/>
    <x v="0"/>
    <x v="22"/>
    <n v="68905"/>
    <n v="5"/>
    <x v="302"/>
    <n v="1"/>
    <n v="0"/>
    <n v="0.13700021851824976"/>
    <x v="302"/>
    <n v="7.2563674624482989E-5"/>
    <x v="1"/>
    <n v="0"/>
    <n v="20"/>
  </r>
  <r>
    <n v="1121136"/>
    <x v="2"/>
    <n v="144538"/>
    <x v="0"/>
    <x v="0"/>
    <x v="22"/>
    <n v="169588"/>
    <n v="16"/>
    <x v="303"/>
    <n v="1"/>
    <n v="0"/>
    <n v="0.16392668844493713"/>
    <x v="303"/>
    <n v="9.43462980871288E-5"/>
    <x v="1"/>
    <n v="0"/>
    <n v="6.25"/>
  </r>
  <r>
    <n v="1121138"/>
    <x v="2"/>
    <n v="144538"/>
    <x v="0"/>
    <x v="0"/>
    <x v="22"/>
    <n v="328991"/>
    <n v="35"/>
    <x v="304"/>
    <n v="5"/>
    <n v="2"/>
    <n v="0.20562872713843236"/>
    <x v="304"/>
    <n v="1.0638588897568627E-4"/>
    <x v="145"/>
    <n v="5.7142857142857141E-2"/>
    <n v="14.285714285714285"/>
  </r>
  <r>
    <n v="1121141"/>
    <x v="2"/>
    <n v="144539"/>
    <x v="0"/>
    <x v="0"/>
    <x v="20"/>
    <n v="23198"/>
    <n v="2"/>
    <x v="16"/>
    <n v="1"/>
    <n v="0"/>
    <n v="0.1284593507629968"/>
    <x v="16"/>
    <n v="8.6214328821450129E-5"/>
    <x v="1"/>
    <n v="0"/>
    <n v="50"/>
  </r>
  <r>
    <n v="1121142"/>
    <x v="2"/>
    <n v="144539"/>
    <x v="0"/>
    <x v="0"/>
    <x v="20"/>
    <n v="26890"/>
    <n v="2"/>
    <x v="305"/>
    <n v="1"/>
    <n v="0"/>
    <n v="0.12049088917813314"/>
    <x v="305"/>
    <n v="7.4377091855708447E-5"/>
    <x v="1"/>
    <n v="0"/>
    <n v="50"/>
  </r>
  <r>
    <n v="1121143"/>
    <x v="2"/>
    <n v="144539"/>
    <x v="0"/>
    <x v="0"/>
    <x v="20"/>
    <n v="221695"/>
    <n v="31"/>
    <x v="306"/>
    <n v="5"/>
    <n v="2"/>
    <n v="0.23572926818376597"/>
    <x v="306"/>
    <n v="1.3983175082884144E-4"/>
    <x v="146"/>
    <n v="6.4516129032258063E-2"/>
    <n v="16.129032258064516"/>
  </r>
  <r>
    <n v="1121152"/>
    <x v="2"/>
    <n v="144541"/>
    <x v="0"/>
    <x v="0"/>
    <x v="9"/>
    <n v="88443"/>
    <n v="7"/>
    <x v="307"/>
    <n v="1"/>
    <n v="1"/>
    <n v="0.14743959612405733"/>
    <x v="307"/>
    <n v="7.9147021245321847E-5"/>
    <x v="147"/>
    <n v="0.14285714285714285"/>
    <n v="14.285714285714285"/>
  </r>
  <r>
    <n v="1121153"/>
    <x v="2"/>
    <n v="144541"/>
    <x v="0"/>
    <x v="0"/>
    <x v="9"/>
    <n v="187856"/>
    <n v="23"/>
    <x v="308"/>
    <n v="5"/>
    <n v="1"/>
    <n v="0.20435865636444936"/>
    <x v="308"/>
    <n v="1.2243420492291968E-4"/>
    <x v="148"/>
    <n v="4.3478260869565216E-2"/>
    <n v="21.739130434782609"/>
  </r>
  <r>
    <n v="1121164"/>
    <x v="2"/>
    <n v="144545"/>
    <x v="0"/>
    <x v="0"/>
    <x v="15"/>
    <n v="570699"/>
    <n v="80"/>
    <x v="309"/>
    <n v="9"/>
    <n v="2"/>
    <n v="0.24315795138943647"/>
    <x v="309"/>
    <n v="1.4017897350442177E-4"/>
    <x v="149"/>
    <n v="2.5000000000000001E-2"/>
    <n v="11.25"/>
  </r>
  <r>
    <n v="1121167"/>
    <x v="2"/>
    <n v="144545"/>
    <x v="0"/>
    <x v="0"/>
    <x v="15"/>
    <n v="1063508"/>
    <n v="145"/>
    <x v="310"/>
    <n v="23"/>
    <n v="7"/>
    <n v="0.24483125778085357"/>
    <x v="310"/>
    <n v="1.3634124049842597E-4"/>
    <x v="150"/>
    <n v="4.8275862068965517E-2"/>
    <n v="15.862068965517242"/>
  </r>
  <r>
    <n v="1121168"/>
    <x v="2"/>
    <n v="144545"/>
    <x v="0"/>
    <x v="0"/>
    <x v="15"/>
    <n v="50523"/>
    <n v="6"/>
    <x v="311"/>
    <n v="1"/>
    <n v="0"/>
    <n v="0.16922985475921859"/>
    <x v="311"/>
    <n v="1.1875779348019714E-4"/>
    <x v="1"/>
    <n v="0"/>
    <n v="16.666666666666664"/>
  </r>
  <r>
    <n v="1121172"/>
    <x v="2"/>
    <n v="144547"/>
    <x v="0"/>
    <x v="0"/>
    <x v="18"/>
    <n v="87935"/>
    <n v="9"/>
    <x v="312"/>
    <n v="1"/>
    <n v="0"/>
    <n v="0.17774492784443055"/>
    <x v="312"/>
    <n v="1.0234832546767499E-4"/>
    <x v="1"/>
    <n v="0"/>
    <n v="11.111111111111111"/>
  </r>
  <r>
    <n v="1121173"/>
    <x v="2"/>
    <n v="144547"/>
    <x v="0"/>
    <x v="0"/>
    <x v="18"/>
    <n v="278225"/>
    <n v="33"/>
    <x v="313"/>
    <n v="3"/>
    <n v="0"/>
    <n v="0.21637164011142063"/>
    <x v="313"/>
    <n v="1.1860903944649115E-4"/>
    <x v="1"/>
    <n v="0"/>
    <n v="9.0909090909090917"/>
  </r>
  <r>
    <n v="1121175"/>
    <x v="2"/>
    <n v="144547"/>
    <x v="0"/>
    <x v="0"/>
    <x v="18"/>
    <n v="209461"/>
    <n v="20"/>
    <x v="314"/>
    <n v="1"/>
    <n v="0"/>
    <n v="0.16322847718668393"/>
    <x v="314"/>
    <n v="9.5483168704436631E-5"/>
    <x v="1"/>
    <n v="0"/>
    <n v="5"/>
  </r>
  <r>
    <n v="1121177"/>
    <x v="2"/>
    <n v="144547"/>
    <x v="0"/>
    <x v="0"/>
    <x v="18"/>
    <n v="26316"/>
    <n v="2"/>
    <x v="305"/>
    <n v="3"/>
    <n v="0"/>
    <n v="0.12311901542787657"/>
    <x v="305"/>
    <n v="7.5999392004863956E-5"/>
    <x v="1"/>
    <n v="0"/>
    <n v="150"/>
  </r>
  <r>
    <n v="1121181"/>
    <x v="2"/>
    <n v="144549"/>
    <x v="0"/>
    <x v="0"/>
    <x v="5"/>
    <n v="41030"/>
    <n v="3"/>
    <x v="315"/>
    <n v="2"/>
    <n v="1"/>
    <n v="0.12527419217645627"/>
    <x v="315"/>
    <n v="7.3117231294175E-5"/>
    <x v="151"/>
    <n v="0.33333333333333331"/>
    <n v="66.666666666666657"/>
  </r>
  <r>
    <n v="1121182"/>
    <x v="2"/>
    <n v="144549"/>
    <x v="0"/>
    <x v="0"/>
    <x v="5"/>
    <n v="876671"/>
    <n v="120"/>
    <x v="316"/>
    <n v="22"/>
    <n v="4"/>
    <n v="0.24702539287828618"/>
    <x v="316"/>
    <n v="1.3688145267723011E-4"/>
    <x v="152"/>
    <n v="3.3333333333333333E-2"/>
    <n v="18.333333333333332"/>
  </r>
  <r>
    <n v="1121183"/>
    <x v="2"/>
    <n v="144549"/>
    <x v="0"/>
    <x v="0"/>
    <x v="5"/>
    <n v="399392"/>
    <n v="53"/>
    <x v="317"/>
    <n v="5"/>
    <n v="0"/>
    <n v="0.23302920541723421"/>
    <x v="317"/>
    <n v="1.3270170659402292E-4"/>
    <x v="1"/>
    <n v="0"/>
    <n v="9.433962264150944"/>
  </r>
  <r>
    <n v="1121184"/>
    <x v="2"/>
    <n v="144549"/>
    <x v="0"/>
    <x v="0"/>
    <x v="5"/>
    <n v="283858"/>
    <n v="30"/>
    <x v="318"/>
    <n v="1"/>
    <n v="0"/>
    <n v="0.19749311004093598"/>
    <x v="318"/>
    <n v="1.0568664613997139E-4"/>
    <x v="1"/>
    <n v="0"/>
    <n v="3.3333333333333335"/>
  </r>
  <r>
    <n v="1121185"/>
    <x v="2"/>
    <n v="144549"/>
    <x v="0"/>
    <x v="0"/>
    <x v="5"/>
    <n v="260699"/>
    <n v="31"/>
    <x v="319"/>
    <n v="5"/>
    <n v="2"/>
    <n v="0.20751901123517927"/>
    <x v="319"/>
    <n v="1.1891108136203054E-4"/>
    <x v="153"/>
    <n v="6.4516129032258063E-2"/>
    <n v="16.129032258064516"/>
  </r>
  <r>
    <n v="1121193"/>
    <x v="2"/>
    <n v="144552"/>
    <x v="0"/>
    <x v="0"/>
    <x v="3"/>
    <n v="57781"/>
    <n v="5"/>
    <x v="320"/>
    <n v="2"/>
    <n v="1"/>
    <n v="0.13499247281978505"/>
    <x v="320"/>
    <n v="8.6533635624167117E-5"/>
    <x v="154"/>
    <n v="0.2"/>
    <n v="40"/>
  </r>
  <r>
    <n v="1121195"/>
    <x v="2"/>
    <n v="144552"/>
    <x v="0"/>
    <x v="0"/>
    <x v="3"/>
    <n v="38757"/>
    <n v="3"/>
    <x v="321"/>
    <n v="1"/>
    <n v="0"/>
    <n v="0.13468534791134507"/>
    <x v="321"/>
    <n v="7.740537193281214E-5"/>
    <x v="1"/>
    <n v="0"/>
    <n v="33.333333333333329"/>
  </r>
  <r>
    <n v="1121196"/>
    <x v="2"/>
    <n v="144552"/>
    <x v="0"/>
    <x v="0"/>
    <x v="3"/>
    <n v="1392288"/>
    <n v="206"/>
    <x v="322"/>
    <n v="31"/>
    <n v="7"/>
    <n v="0.2575257438834494"/>
    <x v="322"/>
    <n v="1.4795789376910524E-4"/>
    <x v="155"/>
    <n v="3.3980582524271843E-2"/>
    <n v="15.048543689320388"/>
  </r>
  <r>
    <n v="1121197"/>
    <x v="2"/>
    <n v="144552"/>
    <x v="0"/>
    <x v="0"/>
    <x v="3"/>
    <n v="1109387"/>
    <n v="159"/>
    <x v="323"/>
    <n v="13"/>
    <n v="2"/>
    <n v="0.25328402036439945"/>
    <x v="323"/>
    <n v="1.4332239335777326E-4"/>
    <x v="156"/>
    <n v="1.2578616352201259E-2"/>
    <n v="8.1761006289308167"/>
  </r>
  <r>
    <n v="1121202"/>
    <x v="2"/>
    <n v="144554"/>
    <x v="0"/>
    <x v="0"/>
    <x v="4"/>
    <n v="581281"/>
    <n v="65"/>
    <x v="324"/>
    <n v="10"/>
    <n v="5"/>
    <n v="0.19804535293601544"/>
    <x v="324"/>
    <n v="1.1182199314961266E-4"/>
    <x v="157"/>
    <n v="7.6923076923076927E-2"/>
    <n v="15.384615384615385"/>
  </r>
  <r>
    <n v="1121203"/>
    <x v="2"/>
    <n v="144554"/>
    <x v="0"/>
    <x v="0"/>
    <x v="4"/>
    <n v="1048861"/>
    <n v="128"/>
    <x v="325"/>
    <n v="22"/>
    <n v="8"/>
    <n v="0.20953205620191809"/>
    <x v="325"/>
    <n v="1.220371431486155E-4"/>
    <x v="158"/>
    <n v="6.25E-2"/>
    <n v="17.1875"/>
  </r>
  <r>
    <n v="1121205"/>
    <x v="2"/>
    <n v="144554"/>
    <x v="0"/>
    <x v="0"/>
    <x v="4"/>
    <n v="297452"/>
    <n v="30"/>
    <x v="326"/>
    <n v="4"/>
    <n v="1"/>
    <n v="0.1748853591840028"/>
    <x v="326"/>
    <n v="1.0085660879738579E-4"/>
    <x v="159"/>
    <n v="3.3333333333333333E-2"/>
    <n v="13.333333333333334"/>
  </r>
  <r>
    <n v="1121206"/>
    <x v="2"/>
    <n v="144554"/>
    <x v="0"/>
    <x v="0"/>
    <x v="4"/>
    <n v="227925"/>
    <n v="22"/>
    <x v="327"/>
    <n v="22"/>
    <n v="12"/>
    <n v="0.15491938111220796"/>
    <x v="327"/>
    <n v="9.6522979050126136E-5"/>
    <x v="160"/>
    <n v="0.54545454545454541"/>
    <n v="100"/>
  </r>
  <r>
    <n v="1121207"/>
    <x v="2"/>
    <n v="144554"/>
    <x v="0"/>
    <x v="0"/>
    <x v="4"/>
    <n v="374175"/>
    <n v="38"/>
    <x v="328"/>
    <n v="8"/>
    <n v="3"/>
    <n v="0.16922563241798624"/>
    <x v="328"/>
    <n v="1.0155675820137636E-4"/>
    <x v="161"/>
    <n v="7.8947368421052627E-2"/>
    <n v="21.052631578947366"/>
  </r>
  <r>
    <n v="1121211"/>
    <x v="2"/>
    <n v="144556"/>
    <x v="0"/>
    <x v="0"/>
    <x v="8"/>
    <n v="223586"/>
    <n v="32"/>
    <x v="329"/>
    <n v="1"/>
    <n v="0"/>
    <n v="0.24259121935183775"/>
    <x v="329"/>
    <n v="1.4312166235810829E-4"/>
    <x v="1"/>
    <n v="0"/>
    <n v="3.125"/>
  </r>
  <r>
    <n v="1121213"/>
    <x v="2"/>
    <n v="144556"/>
    <x v="0"/>
    <x v="0"/>
    <x v="8"/>
    <n v="283170"/>
    <n v="39"/>
    <x v="330"/>
    <n v="2"/>
    <n v="1"/>
    <n v="0.23035632291556307"/>
    <x v="330"/>
    <n v="1.3772645407352473E-4"/>
    <x v="162"/>
    <n v="2.564102564102564E-2"/>
    <n v="5.1282051282051277"/>
  </r>
  <r>
    <n v="1121215"/>
    <x v="2"/>
    <n v="144556"/>
    <x v="0"/>
    <x v="0"/>
    <x v="8"/>
    <n v="41636"/>
    <n v="3"/>
    <x v="331"/>
    <n v="1"/>
    <n v="0"/>
    <n v="0.10111442112594871"/>
    <x v="331"/>
    <n v="7.2053031030838702E-5"/>
    <x v="1"/>
    <n v="0"/>
    <n v="33.333333333333329"/>
  </r>
  <r>
    <n v="1121216"/>
    <x v="2"/>
    <n v="144556"/>
    <x v="0"/>
    <x v="0"/>
    <x v="8"/>
    <n v="198658"/>
    <n v="30"/>
    <x v="332"/>
    <n v="8"/>
    <n v="1"/>
    <n v="0.24469188142435744"/>
    <x v="332"/>
    <n v="1.5101329923788621E-4"/>
    <x v="163"/>
    <n v="3.3333333333333333E-2"/>
    <n v="26.666666666666668"/>
  </r>
  <r>
    <n v="1121220"/>
    <x v="2"/>
    <n v="144558"/>
    <x v="0"/>
    <x v="0"/>
    <x v="6"/>
    <n v="100596"/>
    <n v="10"/>
    <x v="333"/>
    <n v="4"/>
    <n v="2"/>
    <n v="0.13837528052805281"/>
    <x v="333"/>
    <n v="9.9407531114557233E-5"/>
    <x v="164"/>
    <n v="0.2"/>
    <n v="40"/>
  </r>
  <r>
    <n v="1121223"/>
    <x v="2"/>
    <n v="144558"/>
    <x v="0"/>
    <x v="0"/>
    <x v="6"/>
    <n v="64020"/>
    <n v="5"/>
    <x v="334"/>
    <n v="1"/>
    <n v="0"/>
    <n v="0.17275850827866293"/>
    <x v="334"/>
    <n v="7.8100593564511088E-5"/>
    <x v="1"/>
    <n v="0"/>
    <n v="20"/>
  </r>
  <r>
    <n v="1121224"/>
    <x v="2"/>
    <n v="144558"/>
    <x v="0"/>
    <x v="0"/>
    <x v="6"/>
    <n v="14289"/>
    <n v="0"/>
    <x v="2"/>
    <n v="1"/>
    <n v="0"/>
    <n v="0"/>
    <x v="2"/>
    <n v="0"/>
    <x v="1"/>
    <n v="0"/>
    <n v="0"/>
  </r>
  <r>
    <n v="1121229"/>
    <x v="2"/>
    <n v="144561"/>
    <x v="0"/>
    <x v="0"/>
    <x v="11"/>
    <n v="404866"/>
    <n v="43"/>
    <x v="335"/>
    <n v="4"/>
    <n v="0"/>
    <n v="0.2159232950902274"/>
    <x v="335"/>
    <n v="1.0620797992422184E-4"/>
    <x v="1"/>
    <n v="0"/>
    <n v="9.3023255813953494"/>
  </r>
  <r>
    <n v="1121231"/>
    <x v="2"/>
    <n v="144561"/>
    <x v="0"/>
    <x v="0"/>
    <x v="11"/>
    <n v="22256"/>
    <n v="1"/>
    <x v="336"/>
    <n v="1"/>
    <n v="1"/>
    <n v="7.4586626842199855E-2"/>
    <x v="336"/>
    <n v="4.4931703810208485E-5"/>
    <x v="165"/>
    <n v="1"/>
    <n v="100"/>
  </r>
  <r>
    <n v="1121233"/>
    <x v="2"/>
    <n v="144561"/>
    <x v="0"/>
    <x v="0"/>
    <x v="11"/>
    <n v="57690"/>
    <n v="4"/>
    <x v="337"/>
    <n v="1"/>
    <n v="0"/>
    <n v="0.11683134009360374"/>
    <x v="337"/>
    <n v="6.9336106777604433E-5"/>
    <x v="1"/>
    <n v="0"/>
    <n v="25"/>
  </r>
  <r>
    <n v="1121241"/>
    <x v="2"/>
    <n v="144562"/>
    <x v="0"/>
    <x v="0"/>
    <x v="19"/>
    <n v="24952"/>
    <n v="5"/>
    <x v="338"/>
    <n v="3"/>
    <n v="2"/>
    <n v="0.32943252112055144"/>
    <x v="338"/>
    <n v="2.0038473869830073E-4"/>
    <x v="166"/>
    <n v="0.4"/>
    <n v="60"/>
  </r>
  <r>
    <n v="1121242"/>
    <x v="2"/>
    <n v="144562"/>
    <x v="0"/>
    <x v="0"/>
    <x v="19"/>
    <n v="38900"/>
    <n v="3"/>
    <x v="339"/>
    <n v="1"/>
    <n v="0"/>
    <n v="0.1434447311825193"/>
    <x v="339"/>
    <n v="7.7120822622107972E-5"/>
    <x v="1"/>
    <n v="0"/>
    <n v="33.333333333333329"/>
  </r>
  <r>
    <n v="1121243"/>
    <x v="2"/>
    <n v="144562"/>
    <x v="0"/>
    <x v="0"/>
    <x v="19"/>
    <n v="53520"/>
    <n v="6"/>
    <x v="340"/>
    <n v="1"/>
    <n v="1"/>
    <n v="0.17245889200298953"/>
    <x v="340"/>
    <n v="1.1210762331838565E-4"/>
    <x v="167"/>
    <n v="0.16666666666666666"/>
    <n v="16.666666666666664"/>
  </r>
  <r>
    <n v="1121244"/>
    <x v="2"/>
    <n v="144562"/>
    <x v="0"/>
    <x v="0"/>
    <x v="19"/>
    <n v="181683"/>
    <n v="20"/>
    <x v="341"/>
    <n v="2"/>
    <n v="1"/>
    <n v="0.1884050776352218"/>
    <x v="341"/>
    <n v="1.1008184585239125E-4"/>
    <x v="168"/>
    <n v="0.05"/>
    <n v="10"/>
  </r>
  <r>
    <n v="1121245"/>
    <x v="2"/>
    <n v="144562"/>
    <x v="0"/>
    <x v="0"/>
    <x v="19"/>
    <n v="29185"/>
    <n v="2"/>
    <x v="342"/>
    <n v="1"/>
    <n v="0"/>
    <n v="0.10793215610758952"/>
    <x v="342"/>
    <n v="6.8528353606304602E-5"/>
    <x v="1"/>
    <n v="0"/>
    <n v="50"/>
  </r>
  <r>
    <n v="1121246"/>
    <x v="2"/>
    <n v="144562"/>
    <x v="0"/>
    <x v="0"/>
    <x v="19"/>
    <n v="105047"/>
    <n v="13"/>
    <x v="343"/>
    <n v="3"/>
    <n v="1"/>
    <n v="0.19239006730320712"/>
    <x v="343"/>
    <n v="1.2375412910411529E-4"/>
    <x v="169"/>
    <n v="7.6923076923076927E-2"/>
    <n v="23.076923076923077"/>
  </r>
  <r>
    <n v="1121250"/>
    <x v="2"/>
    <n v="144565"/>
    <x v="0"/>
    <x v="0"/>
    <x v="13"/>
    <n v="287976"/>
    <n v="31"/>
    <x v="344"/>
    <n v="3"/>
    <n v="2"/>
    <n v="0.20640608877128647"/>
    <x v="344"/>
    <n v="1.0764785954385087E-4"/>
    <x v="170"/>
    <n v="6.4516129032258063E-2"/>
    <n v="9.67741935483871"/>
  </r>
  <r>
    <n v="1121251"/>
    <x v="2"/>
    <n v="144565"/>
    <x v="0"/>
    <x v="0"/>
    <x v="13"/>
    <n v="212175"/>
    <n v="22"/>
    <x v="345"/>
    <n v="2"/>
    <n v="1"/>
    <n v="0.18187816509956403"/>
    <x v="345"/>
    <n v="1.0368799340167315E-4"/>
    <x v="171"/>
    <n v="4.5454545454545456E-2"/>
    <n v="9.0909090909090917"/>
  </r>
  <r>
    <n v="1121252"/>
    <x v="2"/>
    <n v="144565"/>
    <x v="0"/>
    <x v="0"/>
    <x v="13"/>
    <n v="11139"/>
    <n v="0"/>
    <x v="2"/>
    <n v="1"/>
    <n v="1"/>
    <n v="0"/>
    <x v="2"/>
    <n v="0"/>
    <x v="3"/>
    <n v="0"/>
    <n v="0"/>
  </r>
  <r>
    <n v="1121254"/>
    <x v="2"/>
    <n v="144565"/>
    <x v="0"/>
    <x v="0"/>
    <x v="13"/>
    <n v="124005"/>
    <n v="11"/>
    <x v="346"/>
    <n v="4"/>
    <n v="1"/>
    <n v="0.17620257078343615"/>
    <x v="346"/>
    <n v="8.8706100560461272E-5"/>
    <x v="172"/>
    <n v="9.0909090909090912E-2"/>
    <n v="36.363636363636367"/>
  </r>
  <r>
    <n v="1121255"/>
    <x v="2"/>
    <n v="144565"/>
    <x v="0"/>
    <x v="0"/>
    <x v="13"/>
    <n v="20423"/>
    <n v="1"/>
    <x v="91"/>
    <n v="1"/>
    <n v="0"/>
    <n v="9.5970231503696823E-2"/>
    <x v="347"/>
    <n v="4.8964402879106887E-5"/>
    <x v="1"/>
    <n v="0"/>
    <n v="100"/>
  </r>
  <r>
    <n v="1121261"/>
    <x v="2"/>
    <n v="144567"/>
    <x v="0"/>
    <x v="0"/>
    <x v="21"/>
    <n v="103001"/>
    <n v="14"/>
    <x v="347"/>
    <n v="1"/>
    <n v="0"/>
    <n v="0.21669692575800234"/>
    <x v="348"/>
    <n v="1.3592101047562644E-4"/>
    <x v="1"/>
    <n v="0"/>
    <n v="7.1428571428571423"/>
  </r>
  <r>
    <n v="1121262"/>
    <x v="2"/>
    <n v="144567"/>
    <x v="0"/>
    <x v="0"/>
    <x v="21"/>
    <n v="447420"/>
    <n v="66"/>
    <x v="348"/>
    <n v="7"/>
    <n v="2"/>
    <n v="0.24639041415225071"/>
    <x v="349"/>
    <n v="1.4751240445219258E-4"/>
    <x v="173"/>
    <n v="3.0303030303030304E-2"/>
    <n v="10.606060606060606"/>
  </r>
  <r>
    <n v="1121263"/>
    <x v="2"/>
    <n v="144567"/>
    <x v="0"/>
    <x v="0"/>
    <x v="21"/>
    <n v="156101"/>
    <n v="19"/>
    <x v="349"/>
    <n v="2"/>
    <n v="2"/>
    <n v="0.19058174182100052"/>
    <x v="350"/>
    <n v="1.2171606844286712E-4"/>
    <x v="174"/>
    <n v="0.10526315789473684"/>
    <n v="10.526315789473683"/>
  </r>
  <r>
    <n v="1121264"/>
    <x v="2"/>
    <n v="144567"/>
    <x v="0"/>
    <x v="0"/>
    <x v="21"/>
    <n v="93015"/>
    <n v="12"/>
    <x v="350"/>
    <n v="1"/>
    <n v="0"/>
    <n v="0.19857012471106814"/>
    <x v="351"/>
    <n v="1.2901144976616675E-4"/>
    <x v="1"/>
    <n v="0"/>
    <n v="8.3333333333333321"/>
  </r>
  <r>
    <n v="1121265"/>
    <x v="2"/>
    <n v="144568"/>
    <x v="0"/>
    <x v="0"/>
    <x v="14"/>
    <n v="145398"/>
    <n v="23"/>
    <x v="351"/>
    <n v="1"/>
    <n v="0"/>
    <n v="0.24924689644974485"/>
    <x v="352"/>
    <n v="1.5818649499993123E-4"/>
    <x v="1"/>
    <n v="0"/>
    <n v="4.3478260869565215"/>
  </r>
  <r>
    <n v="1121269"/>
    <x v="2"/>
    <n v="144568"/>
    <x v="0"/>
    <x v="0"/>
    <x v="14"/>
    <n v="296413"/>
    <n v="50"/>
    <x v="352"/>
    <n v="3"/>
    <n v="1"/>
    <n v="0.25788342474857717"/>
    <x v="353"/>
    <n v="1.686835597628984E-4"/>
    <x v="175"/>
    <n v="0.02"/>
    <n v="6"/>
  </r>
  <r>
    <n v="1121273"/>
    <x v="2"/>
    <n v="144569"/>
    <x v="0"/>
    <x v="0"/>
    <x v="23"/>
    <n v="9370"/>
    <n v="0"/>
    <x v="2"/>
    <n v="1"/>
    <n v="1"/>
    <n v="0"/>
    <x v="2"/>
    <n v="0"/>
    <x v="3"/>
    <n v="0"/>
    <n v="0"/>
  </r>
  <r>
    <n v="1121274"/>
    <x v="2"/>
    <n v="144569"/>
    <x v="0"/>
    <x v="0"/>
    <x v="23"/>
    <n v="63785"/>
    <n v="7"/>
    <x v="353"/>
    <n v="6"/>
    <n v="2"/>
    <n v="0.18499647550364506"/>
    <x v="354"/>
    <n v="1.0974367014188289E-4"/>
    <x v="176"/>
    <n v="0.2857142857142857"/>
    <n v="85.714285714285708"/>
  </r>
  <r>
    <n v="1121275"/>
    <x v="2"/>
    <n v="144569"/>
    <x v="0"/>
    <x v="0"/>
    <x v="23"/>
    <n v="118522"/>
    <n v="14"/>
    <x v="354"/>
    <n v="2"/>
    <n v="1"/>
    <n v="0.22628710121327683"/>
    <x v="355"/>
    <n v="1.1812153018005096E-4"/>
    <x v="177"/>
    <n v="7.1428571428571425E-2"/>
    <n v="14.285714285714285"/>
  </r>
  <r>
    <n v="1121276"/>
    <x v="2"/>
    <n v="144569"/>
    <x v="0"/>
    <x v="0"/>
    <x v="23"/>
    <n v="240123"/>
    <n v="38"/>
    <x v="355"/>
    <n v="5"/>
    <n v="4"/>
    <n v="0.27348484380921445"/>
    <x v="356"/>
    <n v="1.5825222906593704E-4"/>
    <x v="178"/>
    <n v="0.10526315789473684"/>
    <n v="13.157894736842104"/>
  </r>
  <r>
    <n v="1121277"/>
    <x v="2"/>
    <n v="144570"/>
    <x v="0"/>
    <x v="0"/>
    <x v="7"/>
    <n v="169108"/>
    <n v="20"/>
    <x v="356"/>
    <n v="2"/>
    <n v="1"/>
    <n v="0.1906473984081179"/>
    <x v="357"/>
    <n v="1.1826761596139745E-4"/>
    <x v="179"/>
    <n v="0.05"/>
    <n v="10"/>
  </r>
  <r>
    <n v="1121278"/>
    <x v="2"/>
    <n v="144570"/>
    <x v="0"/>
    <x v="0"/>
    <x v="7"/>
    <n v="1044442"/>
    <n v="142"/>
    <x v="357"/>
    <n v="22"/>
    <n v="8"/>
    <n v="0.23514948642432995"/>
    <x v="358"/>
    <n v="1.3595776500753513E-4"/>
    <x v="180"/>
    <n v="5.6338028169014086E-2"/>
    <n v="15.492957746478872"/>
  </r>
  <r>
    <n v="1121279"/>
    <x v="2"/>
    <n v="144570"/>
    <x v="0"/>
    <x v="0"/>
    <x v="7"/>
    <n v="93891"/>
    <n v="11"/>
    <x v="358"/>
    <n v="5"/>
    <n v="3"/>
    <n v="0.18787743340682284"/>
    <x v="359"/>
    <n v="1.1715712901130034E-4"/>
    <x v="181"/>
    <n v="0.27272727272727271"/>
    <n v="45.454545454545453"/>
  </r>
  <r>
    <n v="1121282"/>
    <x v="2"/>
    <n v="144570"/>
    <x v="0"/>
    <x v="0"/>
    <x v="7"/>
    <n v="185823"/>
    <n v="25"/>
    <x v="359"/>
    <n v="4"/>
    <n v="1"/>
    <n v="0.2074554783853452"/>
    <x v="360"/>
    <n v="1.3453662894259591E-4"/>
    <x v="182"/>
    <n v="0.04"/>
    <n v="16"/>
  </r>
  <r>
    <n v="1121284"/>
    <x v="2"/>
    <n v="144571"/>
    <x v="0"/>
    <x v="0"/>
    <x v="24"/>
    <n v="175631"/>
    <n v="23"/>
    <x v="360"/>
    <n v="1"/>
    <n v="0"/>
    <n v="0.2320774778370561"/>
    <x v="361"/>
    <n v="1.3095638013790276E-4"/>
    <x v="1"/>
    <n v="0"/>
    <n v="4.3478260869565215"/>
  </r>
  <r>
    <n v="1121285"/>
    <x v="2"/>
    <n v="144571"/>
    <x v="0"/>
    <x v="0"/>
    <x v="24"/>
    <n v="37187"/>
    <n v="4"/>
    <x v="361"/>
    <n v="1"/>
    <n v="0"/>
    <n v="0.17129642092666791"/>
    <x v="362"/>
    <n v="1.0756447145507839E-4"/>
    <x v="1"/>
    <n v="0"/>
    <n v="25"/>
  </r>
  <r>
    <n v="1121286"/>
    <x v="2"/>
    <n v="144571"/>
    <x v="0"/>
    <x v="0"/>
    <x v="24"/>
    <n v="10991"/>
    <n v="0"/>
    <x v="2"/>
    <n v="1"/>
    <n v="0"/>
    <n v="0"/>
    <x v="2"/>
    <n v="0"/>
    <x v="1"/>
    <n v="0"/>
    <n v="0"/>
  </r>
  <r>
    <n v="1121287"/>
    <x v="2"/>
    <n v="144571"/>
    <x v="0"/>
    <x v="0"/>
    <x v="24"/>
    <n v="344618"/>
    <n v="51"/>
    <x v="362"/>
    <n v="3"/>
    <n v="1"/>
    <n v="0.26046231035523393"/>
    <x v="363"/>
    <n v="1.4798994829057102E-4"/>
    <x v="183"/>
    <n v="1.9607843137254902E-2"/>
    <n v="5.8823529411764701"/>
  </r>
  <r>
    <n v="1121289"/>
    <x v="2"/>
    <n v="144572"/>
    <x v="1"/>
    <x v="0"/>
    <x v="16"/>
    <n v="98066"/>
    <n v="9"/>
    <x v="363"/>
    <n v="1"/>
    <n v="0"/>
    <n v="0.16468500907552056"/>
    <x v="364"/>
    <n v="9.1774927089919041E-5"/>
    <x v="1"/>
    <n v="0"/>
    <n v="11.111111111111111"/>
  </r>
  <r>
    <n v="1121290"/>
    <x v="2"/>
    <n v="144572"/>
    <x v="1"/>
    <x v="0"/>
    <x v="16"/>
    <n v="770749"/>
    <n v="100"/>
    <x v="364"/>
    <n v="13"/>
    <n v="3"/>
    <n v="0.24538468217279555"/>
    <x v="365"/>
    <n v="1.2974392441637939E-4"/>
    <x v="184"/>
    <n v="0.03"/>
    <n v="13"/>
  </r>
  <r>
    <n v="1121291"/>
    <x v="2"/>
    <n v="144572"/>
    <x v="1"/>
    <x v="0"/>
    <x v="16"/>
    <n v="52553"/>
    <n v="5"/>
    <x v="365"/>
    <n v="1"/>
    <n v="0"/>
    <n v="0.16231232949593744"/>
    <x v="366"/>
    <n v="9.5142047076284892E-5"/>
    <x v="1"/>
    <n v="0"/>
    <n v="20"/>
  </r>
  <r>
    <n v="1121292"/>
    <x v="2"/>
    <n v="144572"/>
    <x v="1"/>
    <x v="0"/>
    <x v="16"/>
    <n v="362296"/>
    <n v="39"/>
    <x v="366"/>
    <n v="7"/>
    <n v="3"/>
    <n v="0.18705699563340472"/>
    <x v="367"/>
    <n v="1.0764678605339281E-4"/>
    <x v="185"/>
    <n v="7.6923076923076927E-2"/>
    <n v="17.948717948717949"/>
  </r>
  <r>
    <n v="1121293"/>
    <x v="2"/>
    <n v="144572"/>
    <x v="1"/>
    <x v="0"/>
    <x v="16"/>
    <n v="427729"/>
    <n v="50"/>
    <x v="367"/>
    <n v="4"/>
    <n v="1"/>
    <n v="0.22654530999768546"/>
    <x v="368"/>
    <n v="1.1689644611424524E-4"/>
    <x v="186"/>
    <n v="0.02"/>
    <n v="8"/>
  </r>
  <r>
    <n v="1121296"/>
    <x v="2"/>
    <n v="144573"/>
    <x v="1"/>
    <x v="0"/>
    <x v="0"/>
    <n v="180351"/>
    <n v="21"/>
    <x v="368"/>
    <n v="1"/>
    <n v="1"/>
    <n v="0.20587631956573568"/>
    <x v="369"/>
    <n v="1.1643960942828152E-4"/>
    <x v="187"/>
    <n v="4.7619047619047616E-2"/>
    <n v="4.7619047619047619"/>
  </r>
  <r>
    <n v="1121297"/>
    <x v="2"/>
    <n v="144573"/>
    <x v="1"/>
    <x v="0"/>
    <x v="0"/>
    <n v="187329"/>
    <n v="29"/>
    <x v="369"/>
    <n v="2"/>
    <n v="1"/>
    <n v="0.28377880418942075"/>
    <x v="370"/>
    <n v="1.5480785142716824E-4"/>
    <x v="188"/>
    <n v="3.4482758620689655E-2"/>
    <n v="6.8965517241379306"/>
  </r>
  <r>
    <n v="1121300"/>
    <x v="2"/>
    <n v="144573"/>
    <x v="1"/>
    <x v="0"/>
    <x v="0"/>
    <n v="782894"/>
    <n v="118"/>
    <x v="370"/>
    <n v="5"/>
    <n v="2"/>
    <n v="0.24643182793583807"/>
    <x v="371"/>
    <n v="1.5072283093241231E-4"/>
    <x v="189"/>
    <n v="1.6949152542372881E-2"/>
    <n v="4.2372881355932197"/>
  </r>
  <r>
    <n v="1121302"/>
    <x v="2"/>
    <n v="144574"/>
    <x v="1"/>
    <x v="0"/>
    <x v="1"/>
    <n v="1206533"/>
    <n v="128"/>
    <x v="371"/>
    <n v="17"/>
    <n v="6"/>
    <n v="0.19570123552360358"/>
    <x v="372"/>
    <n v="1.0608909992515746E-4"/>
    <x v="190"/>
    <n v="4.6875E-2"/>
    <n v="13.28125"/>
  </r>
  <r>
    <n v="1121303"/>
    <x v="2"/>
    <n v="144574"/>
    <x v="1"/>
    <x v="0"/>
    <x v="1"/>
    <n v="84494"/>
    <n v="7"/>
    <x v="372"/>
    <n v="2"/>
    <n v="0"/>
    <n v="0.14876796186711483"/>
    <x v="373"/>
    <n v="8.284611925107108E-5"/>
    <x v="1"/>
    <n v="0"/>
    <n v="28.571428571428569"/>
  </r>
  <r>
    <n v="1121304"/>
    <x v="2"/>
    <n v="144574"/>
    <x v="1"/>
    <x v="0"/>
    <x v="1"/>
    <n v="94257"/>
    <n v="7"/>
    <x v="373"/>
    <n v="1"/>
    <n v="1"/>
    <n v="0.13346489279310822"/>
    <x v="374"/>
    <n v="7.4265041323190849E-5"/>
    <x v="191"/>
    <n v="0.14285714285714285"/>
    <n v="14.285714285714285"/>
  </r>
  <r>
    <n v="1121309"/>
    <x v="2"/>
    <n v="144575"/>
    <x v="1"/>
    <x v="0"/>
    <x v="12"/>
    <n v="131060"/>
    <n v="16"/>
    <x v="374"/>
    <n v="2"/>
    <n v="1"/>
    <n v="0.21402410796581717"/>
    <x v="375"/>
    <n v="1.220814893941706E-4"/>
    <x v="192"/>
    <n v="6.25E-2"/>
    <n v="12.5"/>
  </r>
  <r>
    <n v="1121310"/>
    <x v="2"/>
    <n v="144575"/>
    <x v="1"/>
    <x v="0"/>
    <x v="12"/>
    <n v="341603"/>
    <n v="50"/>
    <x v="375"/>
    <n v="4"/>
    <n v="2"/>
    <n v="0.24437724847264219"/>
    <x v="376"/>
    <n v="1.463687379794674E-4"/>
    <x v="193"/>
    <n v="0.04"/>
    <n v="8"/>
  </r>
  <r>
    <n v="1121311"/>
    <x v="2"/>
    <n v="144575"/>
    <x v="1"/>
    <x v="0"/>
    <x v="12"/>
    <n v="140749"/>
    <n v="19"/>
    <x v="376"/>
    <n v="1"/>
    <n v="1"/>
    <n v="0.21655571194111503"/>
    <x v="377"/>
    <n v="1.349920780964696E-4"/>
    <x v="194"/>
    <n v="5.2631578947368418E-2"/>
    <n v="5.2631578947368416"/>
  </r>
  <r>
    <n v="1121312"/>
    <x v="2"/>
    <n v="144575"/>
    <x v="1"/>
    <x v="0"/>
    <x v="12"/>
    <n v="102525"/>
    <n v="13"/>
    <x v="377"/>
    <n v="2"/>
    <n v="1"/>
    <n v="0.1980004860277981"/>
    <x v="378"/>
    <n v="1.2679834186783711E-4"/>
    <x v="195"/>
    <n v="7.6923076923076927E-2"/>
    <n v="15.384615384615385"/>
  </r>
  <r>
    <n v="1121316"/>
    <x v="2"/>
    <n v="144576"/>
    <x v="1"/>
    <x v="0"/>
    <x v="17"/>
    <n v="447952"/>
    <n v="68"/>
    <x v="378"/>
    <n v="8"/>
    <n v="1"/>
    <n v="0.29373682515090904"/>
    <x v="379"/>
    <n v="1.5180197878344109E-4"/>
    <x v="196"/>
    <n v="1.4705882352941176E-2"/>
    <n v="11.76470588235294"/>
  </r>
  <r>
    <n v="1121317"/>
    <x v="2"/>
    <n v="144576"/>
    <x v="1"/>
    <x v="0"/>
    <x v="17"/>
    <n v="76355"/>
    <n v="9"/>
    <x v="379"/>
    <n v="2"/>
    <n v="0"/>
    <n v="0.19160500137515551"/>
    <x v="380"/>
    <n v="1.1787047344640168E-4"/>
    <x v="1"/>
    <n v="0"/>
    <n v="22.222222222222221"/>
  </r>
  <r>
    <n v="1121319"/>
    <x v="2"/>
    <n v="144577"/>
    <x v="1"/>
    <x v="0"/>
    <x v="2"/>
    <n v="256598"/>
    <n v="38"/>
    <x v="380"/>
    <n v="6"/>
    <n v="1"/>
    <n v="0.25124903276720789"/>
    <x v="381"/>
    <n v="1.4809156735438311E-4"/>
    <x v="197"/>
    <n v="2.6315789473684209E-2"/>
    <n v="15.789473684210526"/>
  </r>
  <r>
    <n v="1121321"/>
    <x v="2"/>
    <n v="144577"/>
    <x v="1"/>
    <x v="0"/>
    <x v="2"/>
    <n v="127476"/>
    <n v="21"/>
    <x v="381"/>
    <n v="3"/>
    <n v="2"/>
    <n v="0.2365151131977784"/>
    <x v="382"/>
    <n v="1.6473689165019299E-4"/>
    <x v="198"/>
    <n v="9.5238095238095233E-2"/>
    <n v="14.285714285714285"/>
  </r>
  <r>
    <n v="1121322"/>
    <x v="2"/>
    <n v="144577"/>
    <x v="1"/>
    <x v="0"/>
    <x v="2"/>
    <n v="237603"/>
    <n v="37"/>
    <x v="382"/>
    <n v="5"/>
    <n v="2"/>
    <n v="0.26199164252976603"/>
    <x v="383"/>
    <n v="1.5572193953780045E-4"/>
    <x v="199"/>
    <n v="5.4054054054054057E-2"/>
    <n v="13.513513513513514"/>
  </r>
  <r>
    <n v="1121327"/>
    <x v="2"/>
    <n v="144578"/>
    <x v="1"/>
    <x v="0"/>
    <x v="10"/>
    <n v="271091"/>
    <n v="42"/>
    <x v="383"/>
    <n v="3"/>
    <n v="1"/>
    <n v="0.28787381300006271"/>
    <x v="384"/>
    <n v="1.5492952550988414E-4"/>
    <x v="200"/>
    <n v="2.3809523809523808E-2"/>
    <n v="7.1428571428571423"/>
  </r>
  <r>
    <n v="1121330"/>
    <x v="2"/>
    <n v="144578"/>
    <x v="1"/>
    <x v="0"/>
    <x v="10"/>
    <n v="21743"/>
    <n v="2"/>
    <x v="384"/>
    <n v="1"/>
    <n v="0"/>
    <n v="0.15637217012371799"/>
    <x v="385"/>
    <n v="9.1983626914409237E-5"/>
    <x v="1"/>
    <n v="0"/>
    <n v="50"/>
  </r>
  <r>
    <n v="1121333"/>
    <x v="2"/>
    <n v="144579"/>
    <x v="1"/>
    <x v="0"/>
    <x v="22"/>
    <n v="88970"/>
    <n v="10"/>
    <x v="385"/>
    <n v="2"/>
    <n v="0"/>
    <n v="0.16668540406878721"/>
    <x v="386"/>
    <n v="1.1239743733842868E-4"/>
    <x v="1"/>
    <n v="0"/>
    <n v="20"/>
  </r>
  <r>
    <n v="1121334"/>
    <x v="2"/>
    <n v="144579"/>
    <x v="1"/>
    <x v="0"/>
    <x v="22"/>
    <n v="108362"/>
    <n v="13"/>
    <x v="386"/>
    <n v="1"/>
    <n v="1"/>
    <n v="0.20699137917351101"/>
    <x v="387"/>
    <n v="1.1996825455417951E-4"/>
    <x v="201"/>
    <n v="7.6923076923076927E-2"/>
    <n v="7.6923076923076925"/>
  </r>
  <r>
    <n v="1121335"/>
    <x v="2"/>
    <n v="144579"/>
    <x v="1"/>
    <x v="0"/>
    <x v="22"/>
    <n v="188596"/>
    <n v="27"/>
    <x v="387"/>
    <n v="3"/>
    <n v="0"/>
    <n v="0.23404526257184669"/>
    <x v="388"/>
    <n v="1.4316316358777492E-4"/>
    <x v="1"/>
    <n v="0"/>
    <n v="11.111111111111111"/>
  </r>
  <r>
    <n v="1121336"/>
    <x v="2"/>
    <n v="144579"/>
    <x v="1"/>
    <x v="0"/>
    <x v="22"/>
    <n v="275080"/>
    <n v="43"/>
    <x v="388"/>
    <n v="4"/>
    <n v="3"/>
    <n v="0.25323542231350882"/>
    <x v="389"/>
    <n v="1.563181619892395E-4"/>
    <x v="202"/>
    <n v="6.9767441860465115E-2"/>
    <n v="9.3023255813953494"/>
  </r>
  <r>
    <n v="1121337"/>
    <x v="2"/>
    <n v="144580"/>
    <x v="1"/>
    <x v="0"/>
    <x v="20"/>
    <n v="64647"/>
    <n v="10"/>
    <x v="389"/>
    <n v="1"/>
    <n v="0"/>
    <n v="0.25167447801135401"/>
    <x v="390"/>
    <n v="1.5468621900474887E-4"/>
    <x v="1"/>
    <n v="0"/>
    <n v="10"/>
  </r>
  <r>
    <n v="1121338"/>
    <x v="2"/>
    <n v="144580"/>
    <x v="1"/>
    <x v="0"/>
    <x v="20"/>
    <n v="31265"/>
    <n v="4"/>
    <x v="390"/>
    <n v="1"/>
    <n v="0"/>
    <n v="0.1851911051335359"/>
    <x v="391"/>
    <n v="1.2793858947705101E-4"/>
    <x v="1"/>
    <n v="0"/>
    <n v="25"/>
  </r>
  <r>
    <n v="1121340"/>
    <x v="2"/>
    <n v="144580"/>
    <x v="1"/>
    <x v="0"/>
    <x v="20"/>
    <n v="140147"/>
    <n v="24"/>
    <x v="391"/>
    <n v="2"/>
    <n v="0"/>
    <n v="0.30025616074550288"/>
    <x v="392"/>
    <n v="1.7124876023032957E-4"/>
    <x v="1"/>
    <n v="0"/>
    <n v="8.3333333333333321"/>
  </r>
  <r>
    <n v="1121341"/>
    <x v="2"/>
    <n v="144580"/>
    <x v="1"/>
    <x v="0"/>
    <x v="20"/>
    <n v="223120"/>
    <n v="40"/>
    <x v="392"/>
    <n v="1"/>
    <n v="0"/>
    <n v="0.30328970885622086"/>
    <x v="393"/>
    <n v="1.7927572606669058E-4"/>
    <x v="1"/>
    <n v="0"/>
    <n v="2.5"/>
  </r>
  <r>
    <n v="1121342"/>
    <x v="2"/>
    <n v="144580"/>
    <x v="1"/>
    <x v="0"/>
    <x v="20"/>
    <n v="104869"/>
    <n v="18"/>
    <x v="393"/>
    <n v="1"/>
    <n v="0"/>
    <n v="0.32488152733410258"/>
    <x v="394"/>
    <n v="1.7164271615062603E-4"/>
    <x v="1"/>
    <n v="0"/>
    <n v="5.5555555555555554"/>
  </r>
  <r>
    <n v="1121344"/>
    <x v="2"/>
    <n v="144581"/>
    <x v="1"/>
    <x v="0"/>
    <x v="9"/>
    <n v="165177"/>
    <n v="23"/>
    <x v="394"/>
    <n v="4"/>
    <n v="1"/>
    <n v="0.25257753603709959"/>
    <x v="395"/>
    <n v="1.3924456794832209E-4"/>
    <x v="203"/>
    <n v="4.3478260869565216E-2"/>
    <n v="17.391304347826086"/>
  </r>
  <r>
    <n v="1121345"/>
    <x v="2"/>
    <n v="144581"/>
    <x v="1"/>
    <x v="0"/>
    <x v="9"/>
    <n v="84194"/>
    <n v="11"/>
    <x v="395"/>
    <n v="1"/>
    <n v="0"/>
    <n v="0.23243936396892889"/>
    <x v="396"/>
    <n v="1.3065064018813691E-4"/>
    <x v="1"/>
    <n v="0"/>
    <n v="9.0909090909090917"/>
  </r>
  <r>
    <n v="1121347"/>
    <x v="2"/>
    <n v="144581"/>
    <x v="1"/>
    <x v="0"/>
    <x v="9"/>
    <n v="220581"/>
    <n v="31"/>
    <x v="396"/>
    <n v="1"/>
    <n v="1"/>
    <n v="0.26008586414967744"/>
    <x v="397"/>
    <n v="1.4053794297786302E-4"/>
    <x v="204"/>
    <n v="3.2258064516129031E-2"/>
    <n v="3.225806451612903"/>
  </r>
  <r>
    <n v="1121350"/>
    <x v="2"/>
    <n v="144582"/>
    <x v="1"/>
    <x v="0"/>
    <x v="15"/>
    <n v="75804"/>
    <n v="10"/>
    <x v="397"/>
    <n v="2"/>
    <n v="1"/>
    <n v="0.22914357619650677"/>
    <x v="398"/>
    <n v="1.3191915993878952E-4"/>
    <x v="205"/>
    <n v="0.1"/>
    <n v="20"/>
  </r>
  <r>
    <n v="1121352"/>
    <x v="2"/>
    <n v="144582"/>
    <x v="1"/>
    <x v="0"/>
    <x v="15"/>
    <n v="368986"/>
    <n v="59"/>
    <x v="398"/>
    <n v="0"/>
    <n v="0"/>
    <n v="0.2717989273305762"/>
    <x v="399"/>
    <n v="1.5989766549408379E-4"/>
    <x v="1"/>
    <n v="0"/>
    <n v="0"/>
  </r>
  <r>
    <n v="1121353"/>
    <x v="2"/>
    <n v="144582"/>
    <x v="1"/>
    <x v="0"/>
    <x v="15"/>
    <n v="28194"/>
    <n v="3"/>
    <x v="399"/>
    <n v="2"/>
    <n v="0"/>
    <n v="0.1315882783216287"/>
    <x v="400"/>
    <n v="1.0640561821664184E-4"/>
    <x v="1"/>
    <n v="0"/>
    <n v="66.666666666666657"/>
  </r>
  <r>
    <n v="1121355"/>
    <x v="2"/>
    <n v="144583"/>
    <x v="1"/>
    <x v="0"/>
    <x v="18"/>
    <n v="99961"/>
    <n v="14"/>
    <x v="400"/>
    <n v="1"/>
    <n v="0"/>
    <n v="0.232190552315403"/>
    <x v="401"/>
    <n v="1.4005462130230791E-4"/>
    <x v="1"/>
    <n v="0"/>
    <n v="7.1428571428571423"/>
  </r>
  <r>
    <n v="1121359"/>
    <x v="2"/>
    <n v="144583"/>
    <x v="1"/>
    <x v="0"/>
    <x v="18"/>
    <n v="7573"/>
    <n v="0"/>
    <x v="2"/>
    <n v="1"/>
    <n v="0"/>
    <n v="0"/>
    <x v="2"/>
    <n v="0"/>
    <x v="1"/>
    <n v="0"/>
    <n v="0"/>
  </r>
  <r>
    <n v="1121361"/>
    <x v="2"/>
    <n v="144584"/>
    <x v="1"/>
    <x v="0"/>
    <x v="5"/>
    <n v="685781"/>
    <n v="103"/>
    <x v="401"/>
    <n v="10"/>
    <n v="1"/>
    <n v="0.25939767826755189"/>
    <x v="402"/>
    <n v="1.5019372073592007E-4"/>
    <x v="206"/>
    <n v="9.7087378640776691E-3"/>
    <n v="9.7087378640776691"/>
  </r>
  <r>
    <n v="1121364"/>
    <x v="2"/>
    <n v="144584"/>
    <x v="1"/>
    <x v="0"/>
    <x v="5"/>
    <n v="274222"/>
    <n v="43"/>
    <x v="402"/>
    <n v="2"/>
    <n v="1"/>
    <n v="0.24348885246260332"/>
    <x v="403"/>
    <n v="1.568072583527215E-4"/>
    <x v="207"/>
    <n v="2.3255813953488372E-2"/>
    <n v="4.6511627906976747"/>
  </r>
  <r>
    <n v="1121365"/>
    <x v="2"/>
    <n v="144584"/>
    <x v="1"/>
    <x v="0"/>
    <x v="5"/>
    <n v="110503"/>
    <n v="25"/>
    <x v="403"/>
    <n v="4"/>
    <n v="0"/>
    <n v="0.29573857678072091"/>
    <x v="404"/>
    <n v="2.2623820167778249E-4"/>
    <x v="1"/>
    <n v="0"/>
    <n v="16"/>
  </r>
  <r>
    <n v="1121367"/>
    <x v="2"/>
    <n v="144585"/>
    <x v="1"/>
    <x v="0"/>
    <x v="3"/>
    <n v="1447755"/>
    <n v="233"/>
    <x v="404"/>
    <n v="11"/>
    <n v="8"/>
    <n v="0.29050495304799501"/>
    <x v="405"/>
    <n v="1.6093883288263554E-4"/>
    <x v="208"/>
    <n v="3.4334763948497854E-2"/>
    <n v="4.7210300429184553"/>
  </r>
  <r>
    <n v="1121368"/>
    <x v="2"/>
    <n v="144585"/>
    <x v="1"/>
    <x v="0"/>
    <x v="3"/>
    <n v="358987"/>
    <n v="52"/>
    <x v="405"/>
    <n v="1"/>
    <n v="0"/>
    <n v="0.24388069949608204"/>
    <x v="406"/>
    <n v="1.4485204199594972E-4"/>
    <x v="1"/>
    <n v="0"/>
    <n v="1.9230769230769231"/>
  </r>
  <r>
    <n v="1121369"/>
    <x v="2"/>
    <n v="144585"/>
    <x v="1"/>
    <x v="0"/>
    <x v="3"/>
    <n v="826205"/>
    <n v="125"/>
    <x v="406"/>
    <n v="5"/>
    <n v="1"/>
    <n v="0.2812498118505698"/>
    <x v="407"/>
    <n v="1.5129417033302872E-4"/>
    <x v="209"/>
    <n v="8.0000000000000002E-3"/>
    <n v="4"/>
  </r>
  <r>
    <n v="1121370"/>
    <x v="2"/>
    <n v="144585"/>
    <x v="1"/>
    <x v="0"/>
    <x v="3"/>
    <n v="550954"/>
    <n v="84"/>
    <x v="407"/>
    <n v="3"/>
    <n v="0"/>
    <n v="0.27250914087201472"/>
    <x v="408"/>
    <n v="1.5246281903752399E-4"/>
    <x v="1"/>
    <n v="0"/>
    <n v="3.5714285714285712"/>
  </r>
  <r>
    <n v="1121372"/>
    <x v="2"/>
    <n v="144585"/>
    <x v="1"/>
    <x v="0"/>
    <x v="3"/>
    <n v="378350"/>
    <n v="55"/>
    <x v="408"/>
    <n v="4"/>
    <n v="0"/>
    <n v="0.25500198422095943"/>
    <x v="409"/>
    <n v="1.4536804546055239E-4"/>
    <x v="1"/>
    <n v="0"/>
    <n v="7.2727272727272725"/>
  </r>
  <r>
    <n v="1121373"/>
    <x v="2"/>
    <n v="144586"/>
    <x v="1"/>
    <x v="0"/>
    <x v="4"/>
    <n v="492784"/>
    <n v="56"/>
    <x v="409"/>
    <n v="7"/>
    <n v="4"/>
    <n v="0.19381717202668916"/>
    <x v="410"/>
    <n v="1.136400532484821E-4"/>
    <x v="210"/>
    <n v="7.1428571428571425E-2"/>
    <n v="12.5"/>
  </r>
  <r>
    <n v="1121374"/>
    <x v="2"/>
    <n v="144586"/>
    <x v="1"/>
    <x v="0"/>
    <x v="4"/>
    <n v="327158"/>
    <n v="43"/>
    <x v="410"/>
    <n v="6"/>
    <n v="2"/>
    <n v="0.22102470457699339"/>
    <x v="411"/>
    <n v="1.3143496414576444E-4"/>
    <x v="211"/>
    <n v="4.6511627906976744E-2"/>
    <n v="13.953488372093023"/>
  </r>
  <r>
    <n v="1121375"/>
    <x v="2"/>
    <n v="144586"/>
    <x v="1"/>
    <x v="0"/>
    <x v="4"/>
    <n v="9921"/>
    <n v="0"/>
    <x v="2"/>
    <n v="1"/>
    <n v="0"/>
    <n v="0"/>
    <x v="2"/>
    <n v="0"/>
    <x v="1"/>
    <n v="0"/>
    <n v="0"/>
  </r>
  <r>
    <n v="1121377"/>
    <x v="2"/>
    <n v="144586"/>
    <x v="1"/>
    <x v="0"/>
    <x v="4"/>
    <n v="59390"/>
    <n v="5"/>
    <x v="411"/>
    <n v="5"/>
    <n v="3"/>
    <n v="0.15507661086041422"/>
    <x v="412"/>
    <n v="8.418925745074928E-5"/>
    <x v="212"/>
    <n v="0.6"/>
    <n v="100"/>
  </r>
  <r>
    <n v="1121378"/>
    <x v="2"/>
    <n v="144586"/>
    <x v="1"/>
    <x v="0"/>
    <x v="4"/>
    <n v="1040330"/>
    <n v="147"/>
    <x v="412"/>
    <n v="13"/>
    <n v="2"/>
    <n v="0.24439360952774603"/>
    <x v="413"/>
    <n v="1.4130131785106649E-4"/>
    <x v="213"/>
    <n v="1.3605442176870748E-2"/>
    <n v="8.8435374149659864"/>
  </r>
  <r>
    <n v="1121379"/>
    <x v="2"/>
    <n v="144587"/>
    <x v="1"/>
    <x v="0"/>
    <x v="8"/>
    <n v="49422"/>
    <n v="6"/>
    <x v="413"/>
    <n v="1"/>
    <n v="0"/>
    <n v="0.2260127131641779"/>
    <x v="414"/>
    <n v="1.2140342357654485E-4"/>
    <x v="1"/>
    <n v="0"/>
    <n v="16.666666666666664"/>
  </r>
  <r>
    <n v="1121380"/>
    <x v="2"/>
    <n v="144587"/>
    <x v="1"/>
    <x v="0"/>
    <x v="8"/>
    <n v="131091"/>
    <n v="18"/>
    <x v="414"/>
    <n v="3"/>
    <n v="1"/>
    <n v="0.26111632575844262"/>
    <x v="415"/>
    <n v="1.3730919742774102E-4"/>
    <x v="214"/>
    <n v="5.5555555555555552E-2"/>
    <n v="16.666666666666664"/>
  </r>
  <r>
    <n v="1121381"/>
    <x v="2"/>
    <n v="144587"/>
    <x v="1"/>
    <x v="0"/>
    <x v="8"/>
    <n v="95691"/>
    <n v="15"/>
    <x v="415"/>
    <n v="1"/>
    <n v="1"/>
    <n v="0.26397466961365229"/>
    <x v="416"/>
    <n v="1.5675455371978557E-4"/>
    <x v="215"/>
    <n v="6.6666666666666666E-2"/>
    <n v="6.666666666666667"/>
  </r>
  <r>
    <n v="1121390"/>
    <x v="2"/>
    <n v="144588"/>
    <x v="1"/>
    <x v="0"/>
    <x v="6"/>
    <n v="15513"/>
    <n v="1"/>
    <x v="4"/>
    <n v="1"/>
    <n v="0"/>
    <n v="8.3156060207567842E-2"/>
    <x v="4"/>
    <n v="6.4462064075291697E-5"/>
    <x v="1"/>
    <n v="0"/>
    <n v="100"/>
  </r>
  <r>
    <n v="1121391"/>
    <x v="2"/>
    <n v="144589"/>
    <x v="1"/>
    <x v="0"/>
    <x v="11"/>
    <n v="382537"/>
    <n v="63"/>
    <x v="416"/>
    <n v="4"/>
    <n v="3"/>
    <n v="0.29798425041237836"/>
    <x v="417"/>
    <n v="1.6468995156024123E-4"/>
    <x v="216"/>
    <n v="4.7619047619047616E-2"/>
    <n v="6.3492063492063489"/>
  </r>
  <r>
    <n v="1121394"/>
    <x v="2"/>
    <n v="144589"/>
    <x v="1"/>
    <x v="0"/>
    <x v="11"/>
    <n v="461356"/>
    <n v="64"/>
    <x v="417"/>
    <n v="6"/>
    <n v="3"/>
    <n v="0.26248709933326975"/>
    <x v="418"/>
    <n v="1.3872150790279091E-4"/>
    <x v="217"/>
    <n v="4.6875E-2"/>
    <n v="9.375"/>
  </r>
  <r>
    <n v="1121395"/>
    <x v="2"/>
    <n v="144589"/>
    <x v="1"/>
    <x v="0"/>
    <x v="11"/>
    <n v="392541"/>
    <n v="53"/>
    <x v="418"/>
    <n v="3"/>
    <n v="2"/>
    <n v="0.2514387036513383"/>
    <x v="419"/>
    <n v="1.3501774336948242E-4"/>
    <x v="218"/>
    <n v="3.7735849056603772E-2"/>
    <n v="5.6603773584905666"/>
  </r>
  <r>
    <n v="1121398"/>
    <x v="2"/>
    <n v="144590"/>
    <x v="1"/>
    <x v="0"/>
    <x v="19"/>
    <n v="35088"/>
    <n v="5"/>
    <x v="419"/>
    <n v="1"/>
    <n v="1"/>
    <n v="0.25079799566803462"/>
    <x v="420"/>
    <n v="1.4249886000911993E-4"/>
    <x v="219"/>
    <n v="0.2"/>
    <n v="20"/>
  </r>
  <r>
    <n v="1121400"/>
    <x v="2"/>
    <n v="144590"/>
    <x v="1"/>
    <x v="0"/>
    <x v="19"/>
    <n v="53933"/>
    <n v="6"/>
    <x v="420"/>
    <n v="3"/>
    <n v="1"/>
    <n v="0.18411732979808282"/>
    <x v="421"/>
    <n v="1.1124914245452691E-4"/>
    <x v="220"/>
    <n v="0.16666666666666666"/>
    <n v="50"/>
  </r>
  <r>
    <n v="1121403"/>
    <x v="2"/>
    <n v="144591"/>
    <x v="1"/>
    <x v="0"/>
    <x v="13"/>
    <n v="228861"/>
    <n v="33"/>
    <x v="421"/>
    <n v="4"/>
    <n v="2"/>
    <n v="0.23328570350562131"/>
    <x v="422"/>
    <n v="1.4419232634655971E-4"/>
    <x v="221"/>
    <n v="6.0606060606060608E-2"/>
    <n v="12.121212121212121"/>
  </r>
  <r>
    <n v="1121405"/>
    <x v="2"/>
    <n v="144591"/>
    <x v="1"/>
    <x v="0"/>
    <x v="13"/>
    <n v="20959"/>
    <n v="2"/>
    <x v="422"/>
    <n v="1"/>
    <n v="1"/>
    <n v="0.17987499312944319"/>
    <x v="423"/>
    <n v="9.5424400019084886E-5"/>
    <x v="222"/>
    <n v="0.5"/>
    <n v="50"/>
  </r>
  <r>
    <n v="1121410"/>
    <x v="2"/>
    <n v="144592"/>
    <x v="1"/>
    <x v="0"/>
    <x v="21"/>
    <n v="24992"/>
    <n v="2"/>
    <x v="90"/>
    <n v="1"/>
    <n v="0"/>
    <n v="0.12764084735115236"/>
    <x v="90"/>
    <n v="8.0025608194622276E-5"/>
    <x v="1"/>
    <n v="0"/>
    <n v="50"/>
  </r>
  <r>
    <n v="1121411"/>
    <x v="2"/>
    <n v="144592"/>
    <x v="1"/>
    <x v="0"/>
    <x v="21"/>
    <n v="100351"/>
    <n v="15"/>
    <x v="423"/>
    <n v="2"/>
    <n v="1"/>
    <n v="0.24095425008221144"/>
    <x v="424"/>
    <n v="1.4947534155115546E-4"/>
    <x v="223"/>
    <n v="6.6666666666666666E-2"/>
    <n v="13.333333333333334"/>
  </r>
  <r>
    <n v="1121412"/>
    <x v="2"/>
    <n v="144592"/>
    <x v="1"/>
    <x v="0"/>
    <x v="21"/>
    <n v="292448"/>
    <n v="43"/>
    <x v="424"/>
    <n v="2"/>
    <n v="1"/>
    <n v="0.26295272896378158"/>
    <x v="425"/>
    <n v="1.4703468650837073E-4"/>
    <x v="224"/>
    <n v="2.3255813953488372E-2"/>
    <n v="4.6511627906976747"/>
  </r>
  <r>
    <n v="1121413"/>
    <x v="2"/>
    <n v="144592"/>
    <x v="1"/>
    <x v="0"/>
    <x v="21"/>
    <n v="65060"/>
    <n v="7"/>
    <x v="425"/>
    <n v="1"/>
    <n v="1"/>
    <n v="0.22317860590224411"/>
    <x v="426"/>
    <n v="1.0759299108515216E-4"/>
    <x v="225"/>
    <n v="0.14285714285714285"/>
    <n v="14.285714285714285"/>
  </r>
  <r>
    <n v="1121414"/>
    <x v="2"/>
    <n v="144592"/>
    <x v="1"/>
    <x v="0"/>
    <x v="21"/>
    <n v="133316"/>
    <n v="21"/>
    <x v="426"/>
    <n v="2"/>
    <n v="0"/>
    <n v="0.27131027446067985"/>
    <x v="427"/>
    <n v="1.5752047766209607E-4"/>
    <x v="1"/>
    <n v="0"/>
    <n v="9.5238095238095237"/>
  </r>
  <r>
    <n v="1121415"/>
    <x v="2"/>
    <n v="144593"/>
    <x v="1"/>
    <x v="0"/>
    <x v="14"/>
    <n v="113501"/>
    <n v="26"/>
    <x v="427"/>
    <n v="5"/>
    <n v="4"/>
    <n v="0.3386754369565026"/>
    <x v="428"/>
    <n v="2.2907287160465545E-4"/>
    <x v="226"/>
    <n v="0.15384615384615385"/>
    <n v="19.230769230769234"/>
  </r>
  <r>
    <n v="1121418"/>
    <x v="2"/>
    <n v="144593"/>
    <x v="1"/>
    <x v="0"/>
    <x v="14"/>
    <n v="192810"/>
    <n v="41"/>
    <x v="428"/>
    <n v="4"/>
    <n v="3"/>
    <n v="0.32119703308957004"/>
    <x v="429"/>
    <n v="2.126445723769514E-4"/>
    <x v="227"/>
    <n v="7.3170731707317069E-2"/>
    <n v="9.7560975609756095"/>
  </r>
  <r>
    <n v="1121421"/>
    <x v="2"/>
    <n v="144594"/>
    <x v="1"/>
    <x v="0"/>
    <x v="23"/>
    <n v="233404"/>
    <n v="43"/>
    <x v="429"/>
    <n v="2"/>
    <n v="1"/>
    <n v="0.30166578464807803"/>
    <x v="430"/>
    <n v="1.8422991893883567E-4"/>
    <x v="228"/>
    <n v="2.3255813953488372E-2"/>
    <n v="4.6511627906976747"/>
  </r>
  <r>
    <n v="1121422"/>
    <x v="2"/>
    <n v="144594"/>
    <x v="1"/>
    <x v="0"/>
    <x v="23"/>
    <n v="128843"/>
    <n v="24"/>
    <x v="430"/>
    <n v="2"/>
    <n v="0"/>
    <n v="0.29182803799973611"/>
    <x v="431"/>
    <n v="1.8627321623991992E-4"/>
    <x v="1"/>
    <n v="0"/>
    <n v="8.3333333333333321"/>
  </r>
  <r>
    <n v="1121423"/>
    <x v="2"/>
    <n v="144594"/>
    <x v="1"/>
    <x v="0"/>
    <x v="23"/>
    <n v="63564"/>
    <n v="12"/>
    <x v="431"/>
    <n v="2"/>
    <n v="0"/>
    <n v="0.32392549666477882"/>
    <x v="432"/>
    <n v="1.8878610534264677E-4"/>
    <x v="1"/>
    <n v="0"/>
    <n v="16.666666666666664"/>
  </r>
  <r>
    <n v="1121425"/>
    <x v="2"/>
    <n v="144594"/>
    <x v="1"/>
    <x v="0"/>
    <x v="23"/>
    <n v="85970"/>
    <n v="14"/>
    <x v="432"/>
    <n v="1"/>
    <n v="1"/>
    <n v="0.28824008619285796"/>
    <x v="433"/>
    <n v="1.6284750494358497E-4"/>
    <x v="229"/>
    <n v="7.1428571428571425E-2"/>
    <n v="7.1428571428571423"/>
  </r>
  <r>
    <n v="1121428"/>
    <x v="2"/>
    <n v="144595"/>
    <x v="1"/>
    <x v="0"/>
    <x v="7"/>
    <n v="131232"/>
    <n v="16"/>
    <x v="433"/>
    <n v="1"/>
    <n v="1"/>
    <n v="0.22509753238539379"/>
    <x v="434"/>
    <n v="1.21921482565228E-4"/>
    <x v="230"/>
    <n v="6.25E-2"/>
    <n v="6.25"/>
  </r>
  <r>
    <n v="1121429"/>
    <x v="2"/>
    <n v="144595"/>
    <x v="1"/>
    <x v="0"/>
    <x v="7"/>
    <n v="152454"/>
    <n v="22"/>
    <x v="434"/>
    <n v="1"/>
    <n v="1"/>
    <n v="0.24827160841958884"/>
    <x v="435"/>
    <n v="1.443058233959096E-4"/>
    <x v="231"/>
    <n v="4.5454545454545456E-2"/>
    <n v="4.5454545454545459"/>
  </r>
  <r>
    <n v="1121430"/>
    <x v="2"/>
    <n v="144595"/>
    <x v="1"/>
    <x v="0"/>
    <x v="7"/>
    <n v="28989"/>
    <n v="2"/>
    <x v="435"/>
    <n v="1"/>
    <n v="0"/>
    <n v="7.8995481768946843E-2"/>
    <x v="436"/>
    <n v="6.8991686501776532E-5"/>
    <x v="1"/>
    <n v="0"/>
    <n v="50"/>
  </r>
  <r>
    <n v="1121433"/>
    <x v="2"/>
    <n v="144596"/>
    <x v="1"/>
    <x v="0"/>
    <x v="24"/>
    <n v="80248"/>
    <n v="15"/>
    <x v="436"/>
    <n v="1"/>
    <n v="1"/>
    <n v="0.30144053808194593"/>
    <x v="437"/>
    <n v="1.8692054630645001E-4"/>
    <x v="232"/>
    <n v="6.6666666666666666E-2"/>
    <n v="6.666666666666667"/>
  </r>
  <r>
    <n v="1121437"/>
    <x v="2"/>
    <n v="144596"/>
    <x v="1"/>
    <x v="0"/>
    <x v="24"/>
    <n v="38580"/>
    <n v="5"/>
    <x v="437"/>
    <n v="1"/>
    <n v="0"/>
    <n v="0.22083981288232246"/>
    <x v="438"/>
    <n v="1.2960082944530845E-4"/>
    <x v="1"/>
    <n v="0"/>
    <n v="20"/>
  </r>
  <r>
    <n v="1121439"/>
    <x v="2"/>
    <n v="144597"/>
    <x v="2"/>
    <x v="0"/>
    <x v="16"/>
    <n v="621591"/>
    <n v="91"/>
    <x v="438"/>
    <n v="5"/>
    <n v="1"/>
    <n v="0.26280946796205223"/>
    <x v="439"/>
    <n v="1.4639851606603057E-4"/>
    <x v="233"/>
    <n v="1.098901098901099E-2"/>
    <n v="5.4945054945054945"/>
  </r>
  <r>
    <n v="1121440"/>
    <x v="2"/>
    <n v="144597"/>
    <x v="2"/>
    <x v="0"/>
    <x v="16"/>
    <n v="250499"/>
    <n v="36"/>
    <x v="439"/>
    <n v="3"/>
    <n v="1"/>
    <n v="0.23209673511670703"/>
    <x v="440"/>
    <n v="1.4371314855548325E-4"/>
    <x v="234"/>
    <n v="2.7777777777777776E-2"/>
    <n v="8.3333333333333321"/>
  </r>
  <r>
    <n v="1121442"/>
    <x v="2"/>
    <n v="144597"/>
    <x v="2"/>
    <x v="0"/>
    <x v="16"/>
    <n v="131637"/>
    <n v="18"/>
    <x v="440"/>
    <n v="2"/>
    <n v="1"/>
    <n v="0.22265776202739351"/>
    <x v="441"/>
    <n v="1.367396704573942E-4"/>
    <x v="235"/>
    <n v="5.5555555555555552E-2"/>
    <n v="11.111111111111111"/>
  </r>
  <r>
    <n v="1121443"/>
    <x v="2"/>
    <n v="144597"/>
    <x v="2"/>
    <x v="0"/>
    <x v="16"/>
    <n v="463813"/>
    <n v="69"/>
    <x v="441"/>
    <n v="4"/>
    <n v="2"/>
    <n v="0.25083384812413623"/>
    <x v="442"/>
    <n v="1.4876685215808958E-4"/>
    <x v="236"/>
    <n v="2.8985507246376812E-2"/>
    <n v="5.7971014492753623"/>
  </r>
  <r>
    <n v="1121444"/>
    <x v="2"/>
    <n v="144597"/>
    <x v="2"/>
    <x v="0"/>
    <x v="16"/>
    <n v="211767"/>
    <n v="35"/>
    <x v="442"/>
    <n v="5"/>
    <n v="1"/>
    <n v="0.28758021381990584"/>
    <x v="443"/>
    <n v="1.652759872879155E-4"/>
    <x v="237"/>
    <n v="2.8571428571428571E-2"/>
    <n v="14.285714285714285"/>
  </r>
  <r>
    <n v="1121446"/>
    <x v="2"/>
    <n v="144598"/>
    <x v="2"/>
    <x v="0"/>
    <x v="0"/>
    <n v="163181"/>
    <n v="26"/>
    <x v="443"/>
    <n v="1"/>
    <n v="1"/>
    <n v="0.24524914622413149"/>
    <x v="444"/>
    <n v="1.5933227520360826E-4"/>
    <x v="238"/>
    <n v="3.8461538461538464E-2"/>
    <n v="3.8461538461538463"/>
  </r>
  <r>
    <n v="1121451"/>
    <x v="2"/>
    <n v="144599"/>
    <x v="2"/>
    <x v="0"/>
    <x v="1"/>
    <n v="1117385"/>
    <n v="147"/>
    <x v="444"/>
    <n v="11"/>
    <n v="2"/>
    <n v="0.232748782559279"/>
    <x v="445"/>
    <n v="1.3155716248204513E-4"/>
    <x v="239"/>
    <n v="1.3605442176870748E-2"/>
    <n v="7.4829931972789119"/>
  </r>
  <r>
    <n v="1121452"/>
    <x v="2"/>
    <n v="144599"/>
    <x v="2"/>
    <x v="0"/>
    <x v="1"/>
    <n v="1663441"/>
    <n v="205"/>
    <x v="445"/>
    <n v="17"/>
    <n v="6"/>
    <n v="0.21610024046539672"/>
    <x v="446"/>
    <n v="1.2323851582352486E-4"/>
    <x v="240"/>
    <n v="2.9268292682926831E-2"/>
    <n v="8.2926829268292686"/>
  </r>
  <r>
    <n v="1121453"/>
    <x v="2"/>
    <n v="144599"/>
    <x v="2"/>
    <x v="0"/>
    <x v="1"/>
    <n v="455248"/>
    <n v="54"/>
    <x v="446"/>
    <n v="5"/>
    <n v="2"/>
    <n v="0.23220310599936739"/>
    <x v="447"/>
    <n v="1.1861666608090535E-4"/>
    <x v="241"/>
    <n v="3.7037037037037035E-2"/>
    <n v="9.2592592592592595"/>
  </r>
  <r>
    <n v="1121454"/>
    <x v="2"/>
    <n v="144599"/>
    <x v="2"/>
    <x v="0"/>
    <x v="1"/>
    <n v="75589"/>
    <n v="6"/>
    <x v="447"/>
    <n v="1"/>
    <n v="1"/>
    <n v="0.14102581182447183"/>
    <x v="448"/>
    <n v="7.9376628874571701E-5"/>
    <x v="242"/>
    <n v="0.16666666666666666"/>
    <n v="16.666666666666664"/>
  </r>
  <r>
    <n v="1121455"/>
    <x v="2"/>
    <n v="144599"/>
    <x v="2"/>
    <x v="0"/>
    <x v="1"/>
    <n v="594267"/>
    <n v="82"/>
    <x v="448"/>
    <n v="3"/>
    <n v="2"/>
    <n v="0.24113740271628745"/>
    <x v="449"/>
    <n v="1.37985114435094E-4"/>
    <x v="243"/>
    <n v="2.4390243902439025E-2"/>
    <n v="3.6585365853658534"/>
  </r>
  <r>
    <n v="1121456"/>
    <x v="2"/>
    <n v="144599"/>
    <x v="2"/>
    <x v="0"/>
    <x v="1"/>
    <n v="315281"/>
    <n v="35"/>
    <x v="449"/>
    <n v="1"/>
    <n v="0"/>
    <n v="0.20626044239900279"/>
    <x v="450"/>
    <n v="1.1101208128621769E-4"/>
    <x v="1"/>
    <n v="0"/>
    <n v="2.8571428571428572"/>
  </r>
  <r>
    <n v="1121464"/>
    <x v="2"/>
    <n v="144601"/>
    <x v="2"/>
    <x v="0"/>
    <x v="17"/>
    <n v="363456"/>
    <n v="71"/>
    <x v="450"/>
    <n v="7"/>
    <n v="1"/>
    <n v="0.32345043058857192"/>
    <x v="451"/>
    <n v="1.95346892058461E-4"/>
    <x v="244"/>
    <n v="1.4084507042253521E-2"/>
    <n v="9.8591549295774641"/>
  </r>
  <r>
    <n v="1121466"/>
    <x v="2"/>
    <n v="144601"/>
    <x v="2"/>
    <x v="0"/>
    <x v="17"/>
    <n v="438983"/>
    <n v="81"/>
    <x v="451"/>
    <n v="3"/>
    <n v="1"/>
    <n v="0.3267324705056916"/>
    <x v="452"/>
    <n v="1.8451739589004585E-4"/>
    <x v="245"/>
    <n v="1.2345679012345678E-2"/>
    <n v="3.7037037037037033"/>
  </r>
  <r>
    <n v="1121467"/>
    <x v="2"/>
    <n v="144601"/>
    <x v="2"/>
    <x v="0"/>
    <x v="17"/>
    <n v="42563"/>
    <n v="5"/>
    <x v="452"/>
    <n v="1"/>
    <n v="1"/>
    <n v="0.22695768265864719"/>
    <x v="453"/>
    <n v="1.1747292249136574E-4"/>
    <x v="246"/>
    <n v="0.2"/>
    <n v="20"/>
  </r>
  <r>
    <n v="1121469"/>
    <x v="2"/>
    <n v="144602"/>
    <x v="2"/>
    <x v="0"/>
    <x v="2"/>
    <n v="399035"/>
    <n v="75"/>
    <x v="453"/>
    <n v="7"/>
    <n v="3"/>
    <n v="0.31275451902715301"/>
    <x v="454"/>
    <n v="1.8795343766837497E-4"/>
    <x v="247"/>
    <n v="0.04"/>
    <n v="9.3333333333333339"/>
  </r>
  <r>
    <n v="1121471"/>
    <x v="2"/>
    <n v="144602"/>
    <x v="2"/>
    <x v="0"/>
    <x v="2"/>
    <n v="304680"/>
    <n v="59"/>
    <x v="454"/>
    <n v="3"/>
    <n v="0"/>
    <n v="0.32345411641722466"/>
    <x v="455"/>
    <n v="1.9364579230668241E-4"/>
    <x v="1"/>
    <n v="0"/>
    <n v="5.0847457627118651"/>
  </r>
  <r>
    <n v="1121472"/>
    <x v="2"/>
    <n v="144602"/>
    <x v="2"/>
    <x v="0"/>
    <x v="2"/>
    <n v="140596"/>
    <n v="23"/>
    <x v="455"/>
    <n v="1"/>
    <n v="0"/>
    <n v="0.28997980184358019"/>
    <x v="456"/>
    <n v="1.6358929130273978E-4"/>
    <x v="1"/>
    <n v="0"/>
    <n v="4.3478260869565215"/>
  </r>
  <r>
    <n v="1121473"/>
    <x v="2"/>
    <n v="144602"/>
    <x v="2"/>
    <x v="0"/>
    <x v="2"/>
    <n v="439986"/>
    <n v="80"/>
    <x v="456"/>
    <n v="4"/>
    <n v="3"/>
    <n v="0.30655520834753835"/>
    <x v="457"/>
    <n v="1.8182396712622674E-4"/>
    <x v="248"/>
    <n v="3.7499999999999999E-2"/>
    <n v="5"/>
  </r>
  <r>
    <n v="1121474"/>
    <x v="2"/>
    <n v="144602"/>
    <x v="2"/>
    <x v="0"/>
    <x v="2"/>
    <n v="75803"/>
    <n v="11"/>
    <x v="457"/>
    <n v="2"/>
    <n v="2"/>
    <n v="0.25539886152263103"/>
    <x v="458"/>
    <n v="1.4511299025104547E-4"/>
    <x v="249"/>
    <n v="0.18181818181818182"/>
    <n v="18.181818181818183"/>
  </r>
  <r>
    <n v="1121477"/>
    <x v="2"/>
    <n v="144603"/>
    <x v="2"/>
    <x v="0"/>
    <x v="10"/>
    <n v="7073"/>
    <n v="0"/>
    <x v="2"/>
    <n v="1"/>
    <n v="0"/>
    <n v="0"/>
    <x v="2"/>
    <n v="0"/>
    <x v="1"/>
    <n v="0"/>
    <n v="0"/>
  </r>
  <r>
    <n v="1121481"/>
    <x v="2"/>
    <n v="144604"/>
    <x v="2"/>
    <x v="0"/>
    <x v="22"/>
    <n v="153586"/>
    <n v="28"/>
    <x v="458"/>
    <n v="2"/>
    <n v="0"/>
    <n v="0.28003854745875273"/>
    <x v="459"/>
    <n v="1.8230828330707225E-4"/>
    <x v="1"/>
    <n v="0"/>
    <n v="7.1428571428571423"/>
  </r>
  <r>
    <n v="1121482"/>
    <x v="2"/>
    <n v="144604"/>
    <x v="2"/>
    <x v="0"/>
    <x v="22"/>
    <n v="180815"/>
    <n v="31"/>
    <x v="459"/>
    <n v="1"/>
    <n v="0"/>
    <n v="0.23576583668390341"/>
    <x v="460"/>
    <n v="1.7144595304593093E-4"/>
    <x v="1"/>
    <n v="0"/>
    <n v="3.225806451612903"/>
  </r>
  <r>
    <n v="1121483"/>
    <x v="2"/>
    <n v="144604"/>
    <x v="2"/>
    <x v="0"/>
    <x v="22"/>
    <n v="253169"/>
    <n v="51"/>
    <x v="460"/>
    <n v="1"/>
    <n v="0"/>
    <n v="0.2993652455079413"/>
    <x v="461"/>
    <n v="2.0144646461454601E-4"/>
    <x v="1"/>
    <n v="0"/>
    <n v="1.9607843137254901"/>
  </r>
  <r>
    <n v="1121484"/>
    <x v="2"/>
    <n v="144604"/>
    <x v="2"/>
    <x v="0"/>
    <x v="22"/>
    <n v="34453"/>
    <n v="5"/>
    <x v="461"/>
    <n v="1"/>
    <n v="1"/>
    <n v="0.22378312593968597"/>
    <x v="462"/>
    <n v="1.4512524308478217E-4"/>
    <x v="250"/>
    <n v="0.2"/>
    <n v="20"/>
  </r>
  <r>
    <n v="1121487"/>
    <x v="2"/>
    <n v="144605"/>
    <x v="2"/>
    <x v="0"/>
    <x v="20"/>
    <n v="51550"/>
    <n v="8"/>
    <x v="462"/>
    <n v="1"/>
    <n v="0"/>
    <n v="0.27235693191076626"/>
    <x v="463"/>
    <n v="1.5518913676042676E-4"/>
    <x v="1"/>
    <n v="0"/>
    <n v="12.5"/>
  </r>
  <r>
    <n v="1121489"/>
    <x v="2"/>
    <n v="144605"/>
    <x v="2"/>
    <x v="0"/>
    <x v="20"/>
    <n v="110018"/>
    <n v="24"/>
    <x v="463"/>
    <n v="1"/>
    <n v="0"/>
    <n v="0.36230434710683707"/>
    <x v="464"/>
    <n v="2.1814612154374738E-4"/>
    <x v="1"/>
    <n v="0"/>
    <n v="4.1666666666666661"/>
  </r>
  <r>
    <n v="1121493"/>
    <x v="2"/>
    <n v="144606"/>
    <x v="2"/>
    <x v="0"/>
    <x v="9"/>
    <n v="137584"/>
    <n v="21"/>
    <x v="464"/>
    <n v="1"/>
    <n v="0"/>
    <n v="0.26732759339748807"/>
    <x v="465"/>
    <n v="1.5263402721246656E-4"/>
    <x v="1"/>
    <n v="0"/>
    <n v="4.7619047619047619"/>
  </r>
  <r>
    <n v="1121497"/>
    <x v="2"/>
    <n v="144606"/>
    <x v="2"/>
    <x v="0"/>
    <x v="9"/>
    <n v="209825"/>
    <n v="30"/>
    <x v="465"/>
    <n v="1"/>
    <n v="0"/>
    <n v="0.26150363174073632"/>
    <x v="466"/>
    <n v="1.429762897652806E-4"/>
    <x v="1"/>
    <n v="0"/>
    <n v="3.3333333333333335"/>
  </r>
  <r>
    <n v="1121499"/>
    <x v="2"/>
    <n v="144607"/>
    <x v="2"/>
    <x v="0"/>
    <x v="15"/>
    <n v="264222"/>
    <n v="63"/>
    <x v="466"/>
    <n v="1"/>
    <n v="1"/>
    <n v="0.33225847809796305"/>
    <x v="467"/>
    <n v="2.3843586075345731E-4"/>
    <x v="251"/>
    <n v="1.5873015873015872E-2"/>
    <n v="1.5873015873015872"/>
  </r>
  <r>
    <n v="1121510"/>
    <x v="2"/>
    <n v="144608"/>
    <x v="2"/>
    <x v="0"/>
    <x v="18"/>
    <n v="31202"/>
    <n v="5"/>
    <x v="467"/>
    <n v="1"/>
    <n v="0"/>
    <n v="0.215691302448561"/>
    <x v="468"/>
    <n v="1.6024613806807256E-4"/>
    <x v="1"/>
    <n v="0"/>
    <n v="20"/>
  </r>
  <r>
    <n v="1121511"/>
    <x v="2"/>
    <n v="144609"/>
    <x v="2"/>
    <x v="0"/>
    <x v="5"/>
    <n v="252991"/>
    <n v="49"/>
    <x v="468"/>
    <n v="3"/>
    <n v="0"/>
    <n v="0.30372621682194229"/>
    <x v="469"/>
    <n v="1.9368277922930064E-4"/>
    <x v="1"/>
    <n v="0"/>
    <n v="6.1224489795918364"/>
  </r>
  <r>
    <n v="1121514"/>
    <x v="2"/>
    <n v="144609"/>
    <x v="2"/>
    <x v="0"/>
    <x v="5"/>
    <n v="56265"/>
    <n v="9"/>
    <x v="469"/>
    <n v="1"/>
    <n v="0"/>
    <n v="0.27619301021949705"/>
    <x v="470"/>
    <n v="1.5995734470807785E-4"/>
    <x v="1"/>
    <n v="0"/>
    <n v="11.111111111111111"/>
  </r>
  <r>
    <n v="1121523"/>
    <x v="2"/>
    <n v="144611"/>
    <x v="2"/>
    <x v="0"/>
    <x v="4"/>
    <n v="76923"/>
    <n v="11"/>
    <x v="470"/>
    <n v="2"/>
    <n v="2"/>
    <n v="0.22971023075023075"/>
    <x v="471"/>
    <n v="1.4300014300014301E-4"/>
    <x v="252"/>
    <n v="0.18181818181818182"/>
    <n v="18.181818181818183"/>
  </r>
  <r>
    <n v="1121524"/>
    <x v="2"/>
    <n v="144611"/>
    <x v="2"/>
    <x v="0"/>
    <x v="4"/>
    <n v="209332"/>
    <n v="30"/>
    <x v="471"/>
    <n v="3"/>
    <n v="1"/>
    <n v="0.23694418502665621"/>
    <x v="472"/>
    <n v="1.4331301473257793E-4"/>
    <x v="253"/>
    <n v="3.3333333333333333E-2"/>
    <n v="10"/>
  </r>
  <r>
    <n v="1121525"/>
    <x v="2"/>
    <n v="144611"/>
    <x v="2"/>
    <x v="0"/>
    <x v="4"/>
    <n v="214094"/>
    <n v="31"/>
    <x v="472"/>
    <n v="1"/>
    <n v="0"/>
    <n v="0.24881593613085842"/>
    <x v="473"/>
    <n v="1.4479621101011705E-4"/>
    <x v="1"/>
    <n v="0"/>
    <n v="3.225806451612903"/>
  </r>
  <r>
    <n v="1121526"/>
    <x v="2"/>
    <n v="144611"/>
    <x v="2"/>
    <x v="0"/>
    <x v="4"/>
    <n v="526209"/>
    <n v="85"/>
    <x v="473"/>
    <n v="3"/>
    <n v="2"/>
    <n v="0.24121594195462259"/>
    <x v="474"/>
    <n v="1.6153277500004752E-4"/>
    <x v="254"/>
    <n v="2.3529411764705882E-2"/>
    <n v="3.5294117647058822"/>
  </r>
  <r>
    <n v="1121527"/>
    <x v="2"/>
    <n v="144611"/>
    <x v="2"/>
    <x v="0"/>
    <x v="4"/>
    <n v="741143"/>
    <n v="120"/>
    <x v="474"/>
    <n v="4"/>
    <n v="1"/>
    <n v="0.24235539025532185"/>
    <x v="475"/>
    <n v="1.6191207364840522E-4"/>
    <x v="255"/>
    <n v="8.3333333333333332E-3"/>
    <n v="3.3333333333333335"/>
  </r>
  <r>
    <n v="1121528"/>
    <x v="2"/>
    <n v="144611"/>
    <x v="2"/>
    <x v="0"/>
    <x v="4"/>
    <n v="172827"/>
    <n v="25"/>
    <x v="475"/>
    <n v="2"/>
    <n v="0"/>
    <n v="0.22230323057161208"/>
    <x v="476"/>
    <n v="1.4465332384407529E-4"/>
    <x v="1"/>
    <n v="0"/>
    <n v="8"/>
  </r>
  <r>
    <n v="1121530"/>
    <x v="2"/>
    <n v="144612"/>
    <x v="2"/>
    <x v="0"/>
    <x v="8"/>
    <n v="188873"/>
    <n v="38"/>
    <x v="476"/>
    <n v="1"/>
    <n v="1"/>
    <n v="0.31026139204650743"/>
    <x v="477"/>
    <n v="2.0119339450318469E-4"/>
    <x v="256"/>
    <n v="2.6315789473684209E-2"/>
    <n v="2.6315789473684208"/>
  </r>
  <r>
    <n v="1121532"/>
    <x v="2"/>
    <n v="144612"/>
    <x v="2"/>
    <x v="0"/>
    <x v="8"/>
    <n v="123126"/>
    <n v="25"/>
    <x v="477"/>
    <n v="2"/>
    <n v="1"/>
    <n v="0.32267758052726475"/>
    <x v="478"/>
    <n v="2.03044036190569E-4"/>
    <x v="257"/>
    <n v="0.04"/>
    <n v="8"/>
  </r>
  <r>
    <n v="1121535"/>
    <x v="2"/>
    <n v="144613"/>
    <x v="2"/>
    <x v="0"/>
    <x v="6"/>
    <n v="77794"/>
    <n v="14"/>
    <x v="478"/>
    <n v="1"/>
    <n v="1"/>
    <n v="0.24564876481476719"/>
    <x v="479"/>
    <n v="1.7996246497159165E-4"/>
    <x v="258"/>
    <n v="7.1428571428571425E-2"/>
    <n v="7.1428571428571423"/>
  </r>
  <r>
    <n v="1121541"/>
    <x v="2"/>
    <n v="144614"/>
    <x v="2"/>
    <x v="0"/>
    <x v="11"/>
    <n v="56630"/>
    <n v="9"/>
    <x v="479"/>
    <n v="1"/>
    <n v="1"/>
    <n v="0.27918064947907473"/>
    <x v="480"/>
    <n v="1.5892636411795867E-4"/>
    <x v="259"/>
    <n v="0.1111111111111111"/>
    <n v="11.111111111111111"/>
  </r>
  <r>
    <n v="1121544"/>
    <x v="2"/>
    <n v="144614"/>
    <x v="2"/>
    <x v="0"/>
    <x v="11"/>
    <n v="400844"/>
    <n v="85"/>
    <x v="480"/>
    <n v="4"/>
    <n v="2"/>
    <n v="0.35168295446607661"/>
    <x v="481"/>
    <n v="2.120525690792428E-4"/>
    <x v="260"/>
    <n v="2.3529411764705882E-2"/>
    <n v="4.7058823529411766"/>
  </r>
  <r>
    <n v="1121545"/>
    <x v="2"/>
    <n v="144614"/>
    <x v="2"/>
    <x v="0"/>
    <x v="11"/>
    <n v="208572"/>
    <n v="36"/>
    <x v="481"/>
    <n v="2"/>
    <n v="1"/>
    <n v="0.29131427147459871"/>
    <x v="482"/>
    <n v="1.7260226684310455E-4"/>
    <x v="261"/>
    <n v="2.7777777777777776E-2"/>
    <n v="5.5555555555555554"/>
  </r>
  <r>
    <n v="1121548"/>
    <x v="2"/>
    <n v="144615"/>
    <x v="2"/>
    <x v="0"/>
    <x v="19"/>
    <n v="59004"/>
    <n v="8"/>
    <x v="482"/>
    <n v="1"/>
    <n v="0"/>
    <n v="0.22896752948952612"/>
    <x v="483"/>
    <n v="1.3558402820147786E-4"/>
    <x v="1"/>
    <n v="0"/>
    <n v="12.5"/>
  </r>
  <r>
    <n v="1121551"/>
    <x v="2"/>
    <n v="144615"/>
    <x v="2"/>
    <x v="0"/>
    <x v="19"/>
    <n v="196253"/>
    <n v="32"/>
    <x v="483"/>
    <n v="1"/>
    <n v="0"/>
    <n v="0.28076003943888755"/>
    <x v="484"/>
    <n v="1.6305483228281861E-4"/>
    <x v="1"/>
    <n v="0"/>
    <n v="3.125"/>
  </r>
  <r>
    <n v="1121554"/>
    <x v="2"/>
    <n v="144616"/>
    <x v="2"/>
    <x v="0"/>
    <x v="13"/>
    <n v="51858"/>
    <n v="8"/>
    <x v="484"/>
    <n v="1"/>
    <n v="1"/>
    <n v="0.24354969551467467"/>
    <x v="485"/>
    <n v="1.5426742257703731E-4"/>
    <x v="262"/>
    <n v="0.125"/>
    <n v="12.5"/>
  </r>
  <r>
    <n v="1121557"/>
    <x v="2"/>
    <n v="144616"/>
    <x v="2"/>
    <x v="0"/>
    <x v="13"/>
    <n v="280764"/>
    <n v="49"/>
    <x v="485"/>
    <n v="2"/>
    <n v="1"/>
    <n v="0.28978074201108406"/>
    <x v="486"/>
    <n v="1.7452379934749469E-4"/>
    <x v="263"/>
    <n v="2.0408163265306121E-2"/>
    <n v="4.0816326530612246"/>
  </r>
  <r>
    <n v="1121561"/>
    <x v="2"/>
    <n v="144617"/>
    <x v="2"/>
    <x v="0"/>
    <x v="21"/>
    <n v="63660"/>
    <n v="11"/>
    <x v="486"/>
    <n v="1"/>
    <n v="1"/>
    <n v="0.25871819085768144"/>
    <x v="487"/>
    <n v="1.7279296261388626E-4"/>
    <x v="264"/>
    <n v="9.0909090909090912E-2"/>
    <n v="9.0909090909090917"/>
  </r>
  <r>
    <n v="1121562"/>
    <x v="2"/>
    <n v="144617"/>
    <x v="2"/>
    <x v="0"/>
    <x v="21"/>
    <n v="109289"/>
    <n v="19"/>
    <x v="487"/>
    <n v="1"/>
    <n v="0"/>
    <n v="0.28392610390798706"/>
    <x v="488"/>
    <n v="1.7385098225804977E-4"/>
    <x v="1"/>
    <n v="0"/>
    <n v="5.2631578947368416"/>
  </r>
  <r>
    <n v="1121568"/>
    <x v="2"/>
    <n v="144618"/>
    <x v="2"/>
    <x v="0"/>
    <x v="14"/>
    <n v="188440"/>
    <n v="40"/>
    <x v="488"/>
    <n v="2"/>
    <n v="1"/>
    <n v="0.32227764625344935"/>
    <x v="489"/>
    <n v="2.1226915729144556E-4"/>
    <x v="265"/>
    <n v="2.5000000000000001E-2"/>
    <n v="5"/>
  </r>
  <r>
    <n v="1121571"/>
    <x v="2"/>
    <n v="144619"/>
    <x v="2"/>
    <x v="0"/>
    <x v="23"/>
    <n v="212496"/>
    <n v="44"/>
    <x v="489"/>
    <n v="2"/>
    <n v="1"/>
    <n v="0.35214781148821628"/>
    <x v="490"/>
    <n v="2.07062721180634E-4"/>
    <x v="266"/>
    <n v="2.2727272727272728E-2"/>
    <n v="4.5454545454545459"/>
  </r>
  <r>
    <n v="1121572"/>
    <x v="2"/>
    <n v="144619"/>
    <x v="2"/>
    <x v="0"/>
    <x v="23"/>
    <n v="32574"/>
    <n v="5"/>
    <x v="490"/>
    <n v="1"/>
    <n v="0"/>
    <n v="0.22963099462761713"/>
    <x v="491"/>
    <n v="1.5349665377294776E-4"/>
    <x v="1"/>
    <n v="0"/>
    <n v="20"/>
  </r>
  <r>
    <n v="1121575"/>
    <x v="2"/>
    <n v="144619"/>
    <x v="2"/>
    <x v="0"/>
    <x v="23"/>
    <n v="128595"/>
    <n v="23"/>
    <x v="491"/>
    <n v="1"/>
    <n v="1"/>
    <n v="0.28368132897857617"/>
    <x v="492"/>
    <n v="1.7885609860414478E-4"/>
    <x v="267"/>
    <n v="4.3478260869565216E-2"/>
    <n v="4.3478260869565215"/>
  </r>
  <r>
    <n v="1121577"/>
    <x v="2"/>
    <n v="144620"/>
    <x v="2"/>
    <x v="0"/>
    <x v="7"/>
    <n v="242234"/>
    <n v="48"/>
    <x v="492"/>
    <n v="2"/>
    <n v="0"/>
    <n v="0.28096799185911148"/>
    <x v="493"/>
    <n v="1.9815550253061089E-4"/>
    <x v="1"/>
    <n v="0"/>
    <n v="4.1666666666666661"/>
  </r>
  <r>
    <n v="1121584"/>
    <x v="2"/>
    <n v="144621"/>
    <x v="2"/>
    <x v="0"/>
    <x v="24"/>
    <n v="33154"/>
    <n v="5"/>
    <x v="493"/>
    <n v="1"/>
    <n v="1"/>
    <n v="0.23767871131688487"/>
    <x v="494"/>
    <n v="1.5081136514447728E-4"/>
    <x v="268"/>
    <n v="0.2"/>
    <n v="20"/>
  </r>
  <r>
    <n v="1121585"/>
    <x v="2"/>
    <n v="144621"/>
    <x v="2"/>
    <x v="0"/>
    <x v="24"/>
    <n v="9773"/>
    <n v="1"/>
    <x v="38"/>
    <n v="1"/>
    <n v="0"/>
    <n v="0.14939118366929297"/>
    <x v="39"/>
    <n v="1.0232272587741738E-4"/>
    <x v="1"/>
    <n v="0"/>
    <n v="100"/>
  </r>
  <r>
    <n v="1121589"/>
    <x v="2"/>
    <n v="144622"/>
    <x v="3"/>
    <x v="0"/>
    <x v="16"/>
    <n v="464036"/>
    <n v="77"/>
    <x v="494"/>
    <n v="3"/>
    <n v="1"/>
    <n v="0.26625089518916639"/>
    <x v="495"/>
    <n v="1.6593540156367178E-4"/>
    <x v="269"/>
    <n v="1.2987012987012988E-2"/>
    <n v="3.8961038961038961"/>
  </r>
  <r>
    <n v="1121590"/>
    <x v="2"/>
    <n v="144622"/>
    <x v="3"/>
    <x v="0"/>
    <x v="16"/>
    <n v="478480"/>
    <n v="75"/>
    <x v="495"/>
    <n v="3"/>
    <n v="1"/>
    <n v="0.28371092041464641"/>
    <x v="496"/>
    <n v="1.5674636348436715E-4"/>
    <x v="270"/>
    <n v="1.3333333333333334E-2"/>
    <n v="4"/>
  </r>
  <r>
    <n v="1121592"/>
    <x v="2"/>
    <n v="144622"/>
    <x v="3"/>
    <x v="0"/>
    <x v="16"/>
    <n v="428812"/>
    <n v="66"/>
    <x v="496"/>
    <n v="4"/>
    <n v="2"/>
    <n v="0.27256699929106465"/>
    <x v="497"/>
    <n v="1.5391360316409055E-4"/>
    <x v="271"/>
    <n v="3.0303030303030304E-2"/>
    <n v="6.0606060606060606"/>
  </r>
  <r>
    <n v="1121593"/>
    <x v="2"/>
    <n v="144622"/>
    <x v="3"/>
    <x v="0"/>
    <x v="16"/>
    <n v="1177535"/>
    <n v="221"/>
    <x v="497"/>
    <n v="15"/>
    <n v="3"/>
    <n v="0.31053004870343554"/>
    <x v="498"/>
    <n v="1.8768019634235925E-4"/>
    <x v="272"/>
    <n v="1.3574660633484163E-2"/>
    <n v="6.7873303167420813"/>
  </r>
  <r>
    <n v="1121594"/>
    <x v="2"/>
    <n v="144622"/>
    <x v="3"/>
    <x v="0"/>
    <x v="16"/>
    <n v="426500"/>
    <n v="72"/>
    <x v="498"/>
    <n v="4"/>
    <n v="1"/>
    <n v="0.30077373692848763"/>
    <x v="499"/>
    <n v="1.6881594372801875E-4"/>
    <x v="273"/>
    <n v="1.3888888888888888E-2"/>
    <n v="5.5555555555555554"/>
  </r>
  <r>
    <n v="1121597"/>
    <x v="2"/>
    <n v="144623"/>
    <x v="3"/>
    <x v="0"/>
    <x v="0"/>
    <n v="54237"/>
    <n v="7"/>
    <x v="499"/>
    <n v="2"/>
    <n v="1"/>
    <n v="0.19875730313254789"/>
    <x v="500"/>
    <n v="1.2906318564817376E-4"/>
    <x v="274"/>
    <n v="0.14285714285714285"/>
    <n v="28.571428571428569"/>
  </r>
  <r>
    <n v="1121598"/>
    <x v="2"/>
    <n v="144623"/>
    <x v="3"/>
    <x v="0"/>
    <x v="0"/>
    <n v="506916"/>
    <n v="89"/>
    <x v="500"/>
    <n v="2"/>
    <n v="2"/>
    <n v="0.2637517825438534"/>
    <x v="501"/>
    <n v="1.7557149508005271E-4"/>
    <x v="275"/>
    <n v="2.247191011235955E-2"/>
    <n v="2.2471910112359552"/>
  </r>
  <r>
    <n v="1121599"/>
    <x v="2"/>
    <n v="144623"/>
    <x v="3"/>
    <x v="0"/>
    <x v="0"/>
    <n v="250960"/>
    <n v="42"/>
    <x v="501"/>
    <n v="2"/>
    <n v="0"/>
    <n v="0.25852725342684091"/>
    <x v="502"/>
    <n v="1.673573477845075E-4"/>
    <x v="1"/>
    <n v="0"/>
    <n v="4.7619047619047619"/>
  </r>
  <r>
    <n v="1121601"/>
    <x v="2"/>
    <n v="144624"/>
    <x v="3"/>
    <x v="0"/>
    <x v="1"/>
    <n v="2286228"/>
    <n v="353"/>
    <x v="502"/>
    <n v="16"/>
    <n v="7"/>
    <n v="0.26391943498198783"/>
    <x v="503"/>
    <n v="1.5440279797115599E-4"/>
    <x v="276"/>
    <n v="1.9830028328611898E-2"/>
    <n v="4.5325779036827196"/>
  </r>
  <r>
    <n v="1121602"/>
    <x v="2"/>
    <n v="144624"/>
    <x v="3"/>
    <x v="0"/>
    <x v="1"/>
    <n v="915451"/>
    <n v="125"/>
    <x v="503"/>
    <n v="6"/>
    <n v="1"/>
    <n v="0.24093042554981098"/>
    <x v="504"/>
    <n v="1.3654471948799007E-4"/>
    <x v="277"/>
    <n v="8.0000000000000002E-3"/>
    <n v="4.8"/>
  </r>
  <r>
    <n v="1121603"/>
    <x v="2"/>
    <n v="144624"/>
    <x v="3"/>
    <x v="0"/>
    <x v="1"/>
    <n v="159478"/>
    <n v="20"/>
    <x v="504"/>
    <n v="3"/>
    <n v="1"/>
    <n v="0.21256850462132706"/>
    <x v="505"/>
    <n v="1.2540914734320721E-4"/>
    <x v="278"/>
    <n v="0.05"/>
    <n v="15"/>
  </r>
  <r>
    <n v="1121605"/>
    <x v="2"/>
    <n v="144624"/>
    <x v="3"/>
    <x v="0"/>
    <x v="1"/>
    <n v="1228924"/>
    <n v="190"/>
    <x v="505"/>
    <n v="6"/>
    <n v="3"/>
    <n v="0.25955226132779569"/>
    <x v="506"/>
    <n v="1.5460679423625871E-4"/>
    <x v="279"/>
    <n v="1.5789473684210527E-2"/>
    <n v="3.1578947368421053"/>
  </r>
  <r>
    <n v="1121606"/>
    <x v="2"/>
    <n v="144624"/>
    <x v="3"/>
    <x v="0"/>
    <x v="1"/>
    <n v="938283"/>
    <n v="134"/>
    <x v="506"/>
    <n v="7"/>
    <n v="2"/>
    <n v="0.26499467655280978"/>
    <x v="507"/>
    <n v="1.4281405503456846E-4"/>
    <x v="280"/>
    <n v="1.4925373134328358E-2"/>
    <n v="5.2238805970149249"/>
  </r>
  <r>
    <n v="1121607"/>
    <x v="2"/>
    <n v="144625"/>
    <x v="3"/>
    <x v="0"/>
    <x v="12"/>
    <n v="154572"/>
    <n v="26"/>
    <x v="507"/>
    <n v="1"/>
    <n v="1"/>
    <n v="0.26479569436896716"/>
    <x v="508"/>
    <n v="1.6820640219444659E-4"/>
    <x v="281"/>
    <n v="3.8461538461538464E-2"/>
    <n v="3.8461538461538463"/>
  </r>
  <r>
    <n v="1121609"/>
    <x v="2"/>
    <n v="144625"/>
    <x v="3"/>
    <x v="0"/>
    <x v="12"/>
    <n v="378171"/>
    <n v="70"/>
    <x v="508"/>
    <n v="1"/>
    <n v="0"/>
    <n v="0.28889047758818098"/>
    <x v="509"/>
    <n v="1.8510144881548295E-4"/>
    <x v="1"/>
    <n v="0"/>
    <n v="1.4285714285714286"/>
  </r>
  <r>
    <n v="1121612"/>
    <x v="2"/>
    <n v="144625"/>
    <x v="3"/>
    <x v="0"/>
    <x v="12"/>
    <n v="468749"/>
    <n v="84"/>
    <x v="509"/>
    <n v="6"/>
    <n v="1"/>
    <n v="0.28612327172964636"/>
    <x v="510"/>
    <n v="1.7920038229414888E-4"/>
    <x v="282"/>
    <n v="1.1904761904761904E-2"/>
    <n v="7.1428571428571423"/>
  </r>
  <r>
    <n v="1121613"/>
    <x v="2"/>
    <n v="144626"/>
    <x v="3"/>
    <x v="0"/>
    <x v="17"/>
    <n v="309823"/>
    <n v="60"/>
    <x v="510"/>
    <n v="4"/>
    <n v="4"/>
    <n v="0.33370666348205263"/>
    <x v="511"/>
    <n v="1.9365896011593717E-4"/>
    <x v="283"/>
    <n v="6.6666666666666666E-2"/>
    <n v="6.666666666666667"/>
  </r>
  <r>
    <n v="1121615"/>
    <x v="2"/>
    <n v="144626"/>
    <x v="3"/>
    <x v="0"/>
    <x v="17"/>
    <n v="327227"/>
    <n v="65"/>
    <x v="511"/>
    <n v="5"/>
    <n v="0"/>
    <n v="0.35620532413278855"/>
    <x v="512"/>
    <n v="1.9863886537480098E-4"/>
    <x v="1"/>
    <n v="0"/>
    <n v="7.6923076923076925"/>
  </r>
  <r>
    <n v="1121616"/>
    <x v="2"/>
    <n v="144626"/>
    <x v="3"/>
    <x v="0"/>
    <x v="17"/>
    <n v="334945"/>
    <n v="72"/>
    <x v="512"/>
    <n v="2"/>
    <n v="1"/>
    <n v="0.3591634429533207"/>
    <x v="513"/>
    <n v="2.1496066518383614E-4"/>
    <x v="284"/>
    <n v="1.3888888888888888E-2"/>
    <n v="2.7777777777777777"/>
  </r>
  <r>
    <n v="1121617"/>
    <x v="2"/>
    <n v="144626"/>
    <x v="3"/>
    <x v="0"/>
    <x v="17"/>
    <n v="68859"/>
    <n v="15"/>
    <x v="513"/>
    <n v="1"/>
    <n v="0"/>
    <n v="0.36974106042783078"/>
    <x v="514"/>
    <n v="2.1783644839454538E-4"/>
    <x v="1"/>
    <n v="0"/>
    <n v="6.666666666666667"/>
  </r>
  <r>
    <n v="1121619"/>
    <x v="2"/>
    <n v="144627"/>
    <x v="3"/>
    <x v="0"/>
    <x v="2"/>
    <n v="127125"/>
    <n v="20"/>
    <x v="514"/>
    <n v="2"/>
    <n v="0"/>
    <n v="0.28066863189773844"/>
    <x v="515"/>
    <n v="1.5732546705998033E-4"/>
    <x v="1"/>
    <n v="0"/>
    <n v="10"/>
  </r>
  <r>
    <n v="1121620"/>
    <x v="2"/>
    <n v="144627"/>
    <x v="3"/>
    <x v="0"/>
    <x v="2"/>
    <n v="415798"/>
    <n v="80"/>
    <x v="515"/>
    <n v="3"/>
    <n v="1"/>
    <n v="0.31693274282223577"/>
    <x v="516"/>
    <n v="1.9240111785049472E-4"/>
    <x v="285"/>
    <n v="1.2500000000000001E-2"/>
    <n v="3.75"/>
  </r>
  <r>
    <n v="1121622"/>
    <x v="2"/>
    <n v="144627"/>
    <x v="3"/>
    <x v="0"/>
    <x v="2"/>
    <n v="107671"/>
    <n v="20"/>
    <x v="516"/>
    <n v="1"/>
    <n v="1"/>
    <n v="0.27779067910579447"/>
    <x v="517"/>
    <n v="1.8575103788392416E-4"/>
    <x v="286"/>
    <n v="0.05"/>
    <n v="5"/>
  </r>
  <r>
    <n v="1121623"/>
    <x v="2"/>
    <n v="144627"/>
    <x v="3"/>
    <x v="0"/>
    <x v="2"/>
    <n v="164356"/>
    <n v="28"/>
    <x v="517"/>
    <n v="2"/>
    <n v="1"/>
    <n v="0.28468690038696487"/>
    <x v="518"/>
    <n v="1.7036189734478813E-4"/>
    <x v="287"/>
    <n v="3.5714285714285712E-2"/>
    <n v="7.1428571428571423"/>
  </r>
  <r>
    <n v="1121624"/>
    <x v="2"/>
    <n v="144627"/>
    <x v="3"/>
    <x v="0"/>
    <x v="2"/>
    <n v="17662"/>
    <n v="2"/>
    <x v="518"/>
    <n v="1"/>
    <n v="0"/>
    <n v="0.18061374351715548"/>
    <x v="519"/>
    <n v="1.1323745895142112E-4"/>
    <x v="1"/>
    <n v="0"/>
    <n v="50"/>
  </r>
  <r>
    <n v="1121627"/>
    <x v="2"/>
    <n v="144628"/>
    <x v="3"/>
    <x v="0"/>
    <x v="10"/>
    <n v="65339"/>
    <n v="10"/>
    <x v="519"/>
    <n v="2"/>
    <n v="0"/>
    <n v="0.25528397786926643"/>
    <x v="520"/>
    <n v="1.5304794992271079E-4"/>
    <x v="1"/>
    <n v="0"/>
    <n v="20"/>
  </r>
  <r>
    <n v="1121628"/>
    <x v="2"/>
    <n v="144628"/>
    <x v="3"/>
    <x v="0"/>
    <x v="10"/>
    <n v="59838"/>
    <n v="7"/>
    <x v="520"/>
    <n v="1"/>
    <n v="0"/>
    <n v="0.1856679723587018"/>
    <x v="521"/>
    <n v="1.1698251946923359E-4"/>
    <x v="1"/>
    <n v="0"/>
    <n v="14.285714285714285"/>
  </r>
  <r>
    <n v="1121629"/>
    <x v="2"/>
    <n v="144628"/>
    <x v="3"/>
    <x v="0"/>
    <x v="10"/>
    <n v="381577"/>
    <n v="81"/>
    <x v="521"/>
    <n v="2"/>
    <n v="0"/>
    <n v="0.33432308367642705"/>
    <x v="522"/>
    <n v="2.1227694541337658E-4"/>
    <x v="1"/>
    <n v="0"/>
    <n v="2.4691358024691357"/>
  </r>
  <r>
    <n v="1121635"/>
    <x v="2"/>
    <n v="144629"/>
    <x v="3"/>
    <x v="0"/>
    <x v="22"/>
    <n v="45491"/>
    <n v="8"/>
    <x v="522"/>
    <n v="1"/>
    <n v="0"/>
    <n v="0.24202589501220023"/>
    <x v="523"/>
    <n v="1.7585896111318723E-4"/>
    <x v="1"/>
    <n v="0"/>
    <n v="12.5"/>
  </r>
  <r>
    <n v="1121638"/>
    <x v="2"/>
    <n v="144630"/>
    <x v="3"/>
    <x v="0"/>
    <x v="20"/>
    <n v="18946"/>
    <n v="2"/>
    <x v="523"/>
    <n v="1"/>
    <n v="0"/>
    <n v="0.19001371819909216"/>
    <x v="524"/>
    <n v="1.0556317956296844E-4"/>
    <x v="1"/>
    <n v="0"/>
    <n v="50"/>
  </r>
  <r>
    <n v="1121641"/>
    <x v="2"/>
    <n v="144630"/>
    <x v="3"/>
    <x v="0"/>
    <x v="20"/>
    <n v="114370"/>
    <n v="18"/>
    <x v="524"/>
    <n v="1"/>
    <n v="0"/>
    <n v="0.29430794762612572"/>
    <x v="525"/>
    <n v="1.5738392935210282E-4"/>
    <x v="1"/>
    <n v="0"/>
    <n v="5.5555555555555554"/>
  </r>
  <r>
    <n v="1121642"/>
    <x v="2"/>
    <n v="144630"/>
    <x v="3"/>
    <x v="0"/>
    <x v="20"/>
    <n v="99698"/>
    <n v="21"/>
    <x v="525"/>
    <n v="1"/>
    <n v="0"/>
    <n v="0.33451021986398927"/>
    <x v="526"/>
    <n v="2.1063612108567875E-4"/>
    <x v="1"/>
    <n v="0"/>
    <n v="4.7619047619047619"/>
  </r>
  <r>
    <n v="1121644"/>
    <x v="2"/>
    <n v="144631"/>
    <x v="3"/>
    <x v="0"/>
    <x v="9"/>
    <n v="355165"/>
    <n v="81"/>
    <x v="526"/>
    <n v="4"/>
    <n v="3"/>
    <n v="0.36211338307547197"/>
    <x v="527"/>
    <n v="2.2806301296580462E-4"/>
    <x v="288"/>
    <n v="3.7037037037037035E-2"/>
    <n v="4.9382716049382713"/>
  </r>
  <r>
    <n v="1121650"/>
    <x v="2"/>
    <n v="144632"/>
    <x v="3"/>
    <x v="0"/>
    <x v="15"/>
    <n v="101431"/>
    <n v="23"/>
    <x v="527"/>
    <n v="1"/>
    <n v="1"/>
    <n v="0.3345131203478226"/>
    <x v="528"/>
    <n v="2.2675513403200206E-4"/>
    <x v="289"/>
    <n v="4.3478260869565216E-2"/>
    <n v="4.3478260869565215"/>
  </r>
  <r>
    <n v="1121652"/>
    <x v="2"/>
    <n v="144632"/>
    <x v="3"/>
    <x v="0"/>
    <x v="15"/>
    <n v="123151"/>
    <n v="24"/>
    <x v="528"/>
    <n v="2"/>
    <n v="1"/>
    <n v="0.29589690948510367"/>
    <x v="529"/>
    <n v="1.9488270497194501E-4"/>
    <x v="290"/>
    <n v="4.1666666666666664E-2"/>
    <n v="8.3333333333333321"/>
  </r>
  <r>
    <n v="1121660"/>
    <x v="2"/>
    <n v="144633"/>
    <x v="3"/>
    <x v="0"/>
    <x v="18"/>
    <n v="24078"/>
    <n v="4"/>
    <x v="529"/>
    <n v="1"/>
    <n v="0"/>
    <n v="0.2396378428856217"/>
    <x v="530"/>
    <n v="1.6612675471384668E-4"/>
    <x v="1"/>
    <n v="0"/>
    <n v="25"/>
  </r>
  <r>
    <n v="1121661"/>
    <x v="2"/>
    <n v="144634"/>
    <x v="3"/>
    <x v="0"/>
    <x v="5"/>
    <n v="517801"/>
    <n v="105"/>
    <x v="530"/>
    <n v="3"/>
    <n v="0"/>
    <n v="0.35094563567857151"/>
    <x v="531"/>
    <n v="2.0278060490420066E-4"/>
    <x v="1"/>
    <n v="0"/>
    <n v="2.8571428571428572"/>
  </r>
  <r>
    <n v="1121662"/>
    <x v="2"/>
    <n v="144634"/>
    <x v="3"/>
    <x v="0"/>
    <x v="5"/>
    <n v="145104"/>
    <n v="25"/>
    <x v="531"/>
    <n v="2"/>
    <n v="1"/>
    <n v="0.2854504361010034"/>
    <x v="532"/>
    <n v="1.7229021942882346E-4"/>
    <x v="291"/>
    <n v="0.04"/>
    <n v="8"/>
  </r>
  <r>
    <n v="1121664"/>
    <x v="2"/>
    <n v="144634"/>
    <x v="3"/>
    <x v="0"/>
    <x v="5"/>
    <n v="179950"/>
    <n v="35"/>
    <x v="532"/>
    <n v="1"/>
    <n v="0"/>
    <n v="0.32609057910530703"/>
    <x v="533"/>
    <n v="1.9449847179772158E-4"/>
    <x v="1"/>
    <n v="0"/>
    <n v="2.8571428571428572"/>
  </r>
  <r>
    <n v="1121665"/>
    <x v="2"/>
    <n v="144634"/>
    <x v="3"/>
    <x v="0"/>
    <x v="5"/>
    <n v="258531"/>
    <n v="46"/>
    <x v="533"/>
    <n v="2"/>
    <n v="0"/>
    <n v="0.31075576928878934"/>
    <x v="534"/>
    <n v="1.7792837222615471E-4"/>
    <x v="1"/>
    <n v="0"/>
    <n v="4.3478260869565215"/>
  </r>
  <r>
    <n v="1121666"/>
    <x v="2"/>
    <n v="144634"/>
    <x v="3"/>
    <x v="0"/>
    <x v="5"/>
    <n v="272500"/>
    <n v="62"/>
    <x v="534"/>
    <n v="3"/>
    <n v="0"/>
    <n v="0.38333944807339454"/>
    <x v="535"/>
    <n v="2.275229357798165E-4"/>
    <x v="1"/>
    <n v="0"/>
    <n v="4.838709677419355"/>
  </r>
  <r>
    <n v="1121667"/>
    <x v="2"/>
    <n v="144635"/>
    <x v="3"/>
    <x v="0"/>
    <x v="3"/>
    <n v="273197"/>
    <n v="57"/>
    <x v="535"/>
    <n v="3"/>
    <n v="0"/>
    <n v="0.32112358664260587"/>
    <x v="536"/>
    <n v="2.086406512516609E-4"/>
    <x v="1"/>
    <n v="0"/>
    <n v="5.2631578947368416"/>
  </r>
  <r>
    <n v="1121668"/>
    <x v="2"/>
    <n v="144635"/>
    <x v="3"/>
    <x v="0"/>
    <x v="3"/>
    <n v="775904"/>
    <n v="172"/>
    <x v="536"/>
    <n v="4"/>
    <n v="2"/>
    <n v="0.32734720016909308"/>
    <x v="537"/>
    <n v="2.2167690848352373E-4"/>
    <x v="292"/>
    <n v="1.1627906976744186E-2"/>
    <n v="2.3255813953488373"/>
  </r>
  <r>
    <n v="1121669"/>
    <x v="2"/>
    <n v="144635"/>
    <x v="3"/>
    <x v="0"/>
    <x v="3"/>
    <n v="120251"/>
    <n v="26"/>
    <x v="537"/>
    <n v="1"/>
    <n v="0"/>
    <n v="0.3279806409925905"/>
    <x v="538"/>
    <n v="2.1621441817531664E-4"/>
    <x v="1"/>
    <n v="0"/>
    <n v="3.8461538461538463"/>
  </r>
  <r>
    <n v="1121671"/>
    <x v="2"/>
    <n v="144635"/>
    <x v="3"/>
    <x v="0"/>
    <x v="3"/>
    <n v="139406"/>
    <n v="24"/>
    <x v="538"/>
    <n v="1"/>
    <n v="0"/>
    <n v="0.28011706440181916"/>
    <x v="539"/>
    <n v="1.7215901754587322E-4"/>
    <x v="1"/>
    <n v="0"/>
    <n v="4.1666666666666661"/>
  </r>
  <r>
    <n v="1121672"/>
    <x v="2"/>
    <n v="144635"/>
    <x v="3"/>
    <x v="0"/>
    <x v="3"/>
    <n v="60314"/>
    <n v="11"/>
    <x v="539"/>
    <n v="2"/>
    <n v="1"/>
    <n v="0.28086347415193813"/>
    <x v="540"/>
    <n v="1.8237888384123088E-4"/>
    <x v="293"/>
    <n v="9.0909090909090912E-2"/>
    <n v="18.181818181818183"/>
  </r>
  <r>
    <n v="1121673"/>
    <x v="2"/>
    <n v="144636"/>
    <x v="3"/>
    <x v="0"/>
    <x v="4"/>
    <n v="563074"/>
    <n v="86"/>
    <x v="540"/>
    <n v="4"/>
    <n v="2"/>
    <n v="0.25344803436138058"/>
    <x v="541"/>
    <n v="1.5273303331356092E-4"/>
    <x v="294"/>
    <n v="2.3255813953488372E-2"/>
    <n v="4.6511627906976747"/>
  </r>
  <r>
    <n v="1121674"/>
    <x v="2"/>
    <n v="144636"/>
    <x v="3"/>
    <x v="0"/>
    <x v="4"/>
    <n v="168655"/>
    <n v="18"/>
    <x v="541"/>
    <n v="2"/>
    <n v="0"/>
    <n v="0.16186890296759657"/>
    <x v="542"/>
    <n v="1.0672674987400314E-4"/>
    <x v="1"/>
    <n v="0"/>
    <n v="11.111111111111111"/>
  </r>
  <r>
    <n v="1121675"/>
    <x v="2"/>
    <n v="144636"/>
    <x v="3"/>
    <x v="0"/>
    <x v="4"/>
    <n v="111963"/>
    <n v="17"/>
    <x v="542"/>
    <n v="2"/>
    <n v="1"/>
    <n v="0.26240811160829913"/>
    <x v="543"/>
    <n v="1.5183587435134823E-4"/>
    <x v="295"/>
    <n v="5.8823529411764705E-2"/>
    <n v="11.76470588235294"/>
  </r>
  <r>
    <n v="1121676"/>
    <x v="2"/>
    <n v="144636"/>
    <x v="3"/>
    <x v="0"/>
    <x v="4"/>
    <n v="1026304"/>
    <n v="168"/>
    <x v="543"/>
    <n v="17"/>
    <n v="8"/>
    <n v="0.2704656696261537"/>
    <x v="544"/>
    <n v="1.6369418807682715E-4"/>
    <x v="296"/>
    <n v="4.7619047619047616E-2"/>
    <n v="10.119047619047619"/>
  </r>
  <r>
    <n v="1121677"/>
    <x v="2"/>
    <n v="144636"/>
    <x v="3"/>
    <x v="0"/>
    <x v="4"/>
    <n v="1391924"/>
    <n v="258"/>
    <x v="544"/>
    <n v="17"/>
    <n v="10"/>
    <n v="0.30378095628784324"/>
    <x v="545"/>
    <n v="1.8535494754023927E-4"/>
    <x v="297"/>
    <n v="3.875968992248062E-2"/>
    <n v="6.5891472868217065"/>
  </r>
  <r>
    <n v="1121678"/>
    <x v="2"/>
    <n v="144636"/>
    <x v="3"/>
    <x v="0"/>
    <x v="4"/>
    <n v="147551"/>
    <n v="22"/>
    <x v="545"/>
    <n v="1"/>
    <n v="0"/>
    <n v="0.26092673604380856"/>
    <x v="546"/>
    <n v="1.4910098881064853E-4"/>
    <x v="1"/>
    <n v="0"/>
    <n v="4.5454545454545459"/>
  </r>
  <r>
    <n v="1121685"/>
    <x v="2"/>
    <n v="144638"/>
    <x v="3"/>
    <x v="0"/>
    <x v="6"/>
    <n v="66794"/>
    <n v="9"/>
    <x v="546"/>
    <n v="1"/>
    <n v="1"/>
    <n v="0.25945443902146897"/>
    <x v="547"/>
    <n v="1.3474264155463066E-4"/>
    <x v="298"/>
    <n v="0.1111111111111111"/>
    <n v="11.111111111111111"/>
  </r>
  <r>
    <n v="1121687"/>
    <x v="2"/>
    <n v="144638"/>
    <x v="3"/>
    <x v="0"/>
    <x v="6"/>
    <n v="118882"/>
    <n v="19"/>
    <x v="547"/>
    <n v="2"/>
    <n v="1"/>
    <n v="0.27178210275735598"/>
    <x v="548"/>
    <n v="1.5982234484614996E-4"/>
    <x v="299"/>
    <n v="5.2631578947368418E-2"/>
    <n v="10.526315789473683"/>
  </r>
  <r>
    <n v="1121689"/>
    <x v="2"/>
    <n v="144638"/>
    <x v="3"/>
    <x v="0"/>
    <x v="6"/>
    <n v="148010"/>
    <n v="24"/>
    <x v="548"/>
    <n v="1"/>
    <n v="0"/>
    <n v="0.28356191764069999"/>
    <x v="549"/>
    <n v="1.6215120599959463E-4"/>
    <x v="1"/>
    <n v="0"/>
    <n v="4.1666666666666661"/>
  </r>
  <r>
    <n v="1121691"/>
    <x v="2"/>
    <n v="144639"/>
    <x v="3"/>
    <x v="0"/>
    <x v="11"/>
    <n v="932890"/>
    <n v="197"/>
    <x v="549"/>
    <n v="3"/>
    <n v="1"/>
    <n v="0.37780445593799916"/>
    <x v="550"/>
    <n v="2.1117173514562275E-4"/>
    <x v="300"/>
    <n v="5.076142131979695E-3"/>
    <n v="1.5228426395939088"/>
  </r>
  <r>
    <n v="1121692"/>
    <x v="2"/>
    <n v="144639"/>
    <x v="3"/>
    <x v="0"/>
    <x v="11"/>
    <n v="718359"/>
    <n v="147"/>
    <x v="550"/>
    <n v="4"/>
    <n v="1"/>
    <n v="0.36832558609274757"/>
    <x v="551"/>
    <n v="2.0463305951481085E-4"/>
    <x v="301"/>
    <n v="6.8027210884353739E-3"/>
    <n v="2.7210884353741496"/>
  </r>
  <r>
    <n v="1121693"/>
    <x v="2"/>
    <n v="144639"/>
    <x v="3"/>
    <x v="0"/>
    <x v="11"/>
    <n v="433658"/>
    <n v="82"/>
    <x v="551"/>
    <n v="5"/>
    <n v="2"/>
    <n v="0.36572598637636111"/>
    <x v="552"/>
    <n v="1.8908909786052603E-4"/>
    <x v="302"/>
    <n v="2.4390243902439025E-2"/>
    <n v="6.0975609756097562"/>
  </r>
  <r>
    <n v="1121695"/>
    <x v="2"/>
    <n v="144639"/>
    <x v="3"/>
    <x v="0"/>
    <x v="11"/>
    <n v="29455"/>
    <n v="3"/>
    <x v="5"/>
    <n v="1"/>
    <n v="0"/>
    <n v="0.16194194469529791"/>
    <x v="5"/>
    <n v="1.0185028008827024E-4"/>
    <x v="1"/>
    <n v="0"/>
    <n v="33.333333333333329"/>
  </r>
  <r>
    <n v="1121701"/>
    <x v="2"/>
    <n v="144640"/>
    <x v="3"/>
    <x v="0"/>
    <x v="19"/>
    <n v="23973"/>
    <n v="3"/>
    <x v="552"/>
    <n v="1"/>
    <n v="1"/>
    <n v="0.20105952746840194"/>
    <x v="553"/>
    <n v="1.2514078338130396E-4"/>
    <x v="303"/>
    <n v="0.33333333333333331"/>
    <n v="33.333333333333329"/>
  </r>
  <r>
    <n v="1121705"/>
    <x v="2"/>
    <n v="144641"/>
    <x v="3"/>
    <x v="0"/>
    <x v="13"/>
    <n v="126480"/>
    <n v="25"/>
    <x v="553"/>
    <n v="1"/>
    <n v="1"/>
    <n v="0.29459203028146741"/>
    <x v="554"/>
    <n v="1.9765970904490828E-4"/>
    <x v="304"/>
    <n v="0.04"/>
    <n v="4"/>
  </r>
  <r>
    <n v="1121706"/>
    <x v="2"/>
    <n v="144641"/>
    <x v="3"/>
    <x v="0"/>
    <x v="13"/>
    <n v="138959"/>
    <n v="28"/>
    <x v="554"/>
    <n v="1"/>
    <n v="0"/>
    <n v="0.28440043969804041"/>
    <x v="555"/>
    <n v="2.0149828366640519E-4"/>
    <x v="1"/>
    <n v="0"/>
    <n v="3.5714285714285712"/>
  </r>
  <r>
    <n v="1121708"/>
    <x v="2"/>
    <n v="144641"/>
    <x v="3"/>
    <x v="0"/>
    <x v="13"/>
    <n v="68829"/>
    <n v="12"/>
    <x v="555"/>
    <n v="1"/>
    <n v="0"/>
    <n v="0.28302023536590681"/>
    <x v="556"/>
    <n v="1.7434511615743365E-4"/>
    <x v="1"/>
    <n v="0"/>
    <n v="8.3333333333333321"/>
  </r>
  <r>
    <n v="1121711"/>
    <x v="2"/>
    <n v="144642"/>
    <x v="3"/>
    <x v="0"/>
    <x v="21"/>
    <n v="49916"/>
    <n v="10"/>
    <x v="556"/>
    <n v="1"/>
    <n v="1"/>
    <n v="0.32815129417421268"/>
    <x v="557"/>
    <n v="2.0033656542992227E-4"/>
    <x v="305"/>
    <n v="0.1"/>
    <n v="10"/>
  </r>
  <r>
    <n v="1121716"/>
    <x v="2"/>
    <n v="144643"/>
    <x v="3"/>
    <x v="0"/>
    <x v="14"/>
    <n v="76014"/>
    <n v="16"/>
    <x v="557"/>
    <n v="1"/>
    <n v="1"/>
    <n v="0.2982345398216118"/>
    <x v="558"/>
    <n v="2.1048754176862156E-4"/>
    <x v="306"/>
    <n v="6.25E-2"/>
    <n v="6.25"/>
  </r>
  <r>
    <n v="1121723"/>
    <x v="2"/>
    <n v="144644"/>
    <x v="3"/>
    <x v="0"/>
    <x v="23"/>
    <n v="50947"/>
    <n v="10"/>
    <x v="558"/>
    <n v="1"/>
    <n v="0"/>
    <n v="0.3138555803089485"/>
    <x v="559"/>
    <n v="1.9628241113313835E-4"/>
    <x v="1"/>
    <n v="0"/>
    <n v="10"/>
  </r>
  <r>
    <n v="1121733"/>
    <x v="2"/>
    <n v="144646"/>
    <x v="3"/>
    <x v="0"/>
    <x v="24"/>
    <n v="55536"/>
    <n v="11"/>
    <x v="559"/>
    <n v="1"/>
    <n v="0"/>
    <n v="0.30700806593921059"/>
    <x v="560"/>
    <n v="1.9806972054163066E-4"/>
    <x v="1"/>
    <n v="0"/>
    <n v="9.0909090909090917"/>
  </r>
  <r>
    <n v="1121741"/>
    <x v="2"/>
    <n v="144647"/>
    <x v="0"/>
    <x v="1"/>
    <x v="16"/>
    <n v="318042"/>
    <n v="46"/>
    <x v="560"/>
    <n v="8"/>
    <n v="4"/>
    <n v="0.20252042173675175"/>
    <x v="561"/>
    <n v="1.4463498531640476E-4"/>
    <x v="307"/>
    <n v="8.6956521739130432E-2"/>
    <n v="17.391304347826086"/>
  </r>
  <r>
    <n v="1121742"/>
    <x v="2"/>
    <n v="144647"/>
    <x v="0"/>
    <x v="1"/>
    <x v="16"/>
    <n v="213016"/>
    <n v="30"/>
    <x v="561"/>
    <n v="8"/>
    <n v="2"/>
    <n v="0.20759003807225745"/>
    <x v="562"/>
    <n v="1.408344913058174E-4"/>
    <x v="308"/>
    <n v="6.6666666666666666E-2"/>
    <n v="26.666666666666668"/>
  </r>
  <r>
    <n v="1121745"/>
    <x v="2"/>
    <n v="144648"/>
    <x v="0"/>
    <x v="1"/>
    <x v="0"/>
    <n v="182265"/>
    <n v="27"/>
    <x v="562"/>
    <n v="2"/>
    <n v="1"/>
    <n v="0.20947521504402927"/>
    <x v="563"/>
    <n v="1.4813595588840424E-4"/>
    <x v="309"/>
    <n v="3.7037037037037035E-2"/>
    <n v="7.4074074074074066"/>
  </r>
  <r>
    <n v="1121746"/>
    <x v="2"/>
    <n v="144648"/>
    <x v="0"/>
    <x v="1"/>
    <x v="0"/>
    <n v="1117371"/>
    <n v="177"/>
    <x v="563"/>
    <n v="26"/>
    <n v="5"/>
    <n v="0.23989346600189193"/>
    <x v="564"/>
    <n v="1.5840754771691767E-4"/>
    <x v="310"/>
    <n v="2.8248587570621469E-2"/>
    <n v="14.689265536723164"/>
  </r>
  <r>
    <n v="1121749"/>
    <x v="2"/>
    <n v="144648"/>
    <x v="0"/>
    <x v="1"/>
    <x v="0"/>
    <n v="333345"/>
    <n v="52"/>
    <x v="564"/>
    <n v="5"/>
    <n v="1"/>
    <n v="0.23276185414510495"/>
    <x v="565"/>
    <n v="1.5599454019109331E-4"/>
    <x v="311"/>
    <n v="1.9230769230769232E-2"/>
    <n v="9.6153846153846168"/>
  </r>
  <r>
    <n v="1121751"/>
    <x v="2"/>
    <n v="144649"/>
    <x v="0"/>
    <x v="1"/>
    <x v="1"/>
    <n v="275930"/>
    <n v="30"/>
    <x v="565"/>
    <n v="5"/>
    <n v="2"/>
    <n v="0.16953575171239083"/>
    <x v="566"/>
    <n v="1.0872322690537456E-4"/>
    <x v="312"/>
    <n v="6.6666666666666666E-2"/>
    <n v="16.666666666666664"/>
  </r>
  <r>
    <n v="1121753"/>
    <x v="2"/>
    <n v="144649"/>
    <x v="0"/>
    <x v="1"/>
    <x v="1"/>
    <n v="740631"/>
    <n v="101"/>
    <x v="566"/>
    <n v="9"/>
    <n v="1"/>
    <n v="0.20674262554497452"/>
    <x v="567"/>
    <n v="1.3637020324561085E-4"/>
    <x v="313"/>
    <n v="9.9009900990099011E-3"/>
    <n v="8.9108910891089099"/>
  </r>
  <r>
    <n v="1121754"/>
    <x v="2"/>
    <n v="144649"/>
    <x v="0"/>
    <x v="1"/>
    <x v="1"/>
    <n v="328272"/>
    <n v="35"/>
    <x v="567"/>
    <n v="2"/>
    <n v="1"/>
    <n v="0.17055978045645073"/>
    <x v="568"/>
    <n v="1.0661890139883998E-4"/>
    <x v="314"/>
    <n v="2.8571428571428571E-2"/>
    <n v="5.7142857142857144"/>
  </r>
  <r>
    <n v="1121755"/>
    <x v="2"/>
    <n v="144649"/>
    <x v="0"/>
    <x v="1"/>
    <x v="1"/>
    <n v="178455"/>
    <n v="20"/>
    <x v="568"/>
    <n v="6"/>
    <n v="3"/>
    <n v="0.17673923510128606"/>
    <x v="569"/>
    <n v="1.1207307164271105E-4"/>
    <x v="315"/>
    <n v="0.15"/>
    <n v="30"/>
  </r>
  <r>
    <n v="1121756"/>
    <x v="2"/>
    <n v="144649"/>
    <x v="0"/>
    <x v="1"/>
    <x v="1"/>
    <n v="705712"/>
    <n v="98"/>
    <x v="569"/>
    <n v="6"/>
    <n v="1"/>
    <n v="0.20878205131838484"/>
    <x v="570"/>
    <n v="1.3886684653229646E-4"/>
    <x v="316"/>
    <n v="1.020408163265306E-2"/>
    <n v="6.1224489795918364"/>
  </r>
  <r>
    <n v="1121758"/>
    <x v="2"/>
    <n v="144650"/>
    <x v="0"/>
    <x v="1"/>
    <x v="12"/>
    <n v="690373"/>
    <n v="91"/>
    <x v="570"/>
    <n v="5"/>
    <n v="2"/>
    <n v="0.23113592521723766"/>
    <x v="571"/>
    <n v="1.3181280264436761E-4"/>
    <x v="317"/>
    <n v="2.197802197802198E-2"/>
    <n v="5.4945054945054945"/>
  </r>
  <r>
    <n v="1121759"/>
    <x v="2"/>
    <n v="144650"/>
    <x v="0"/>
    <x v="1"/>
    <x v="12"/>
    <n v="515812"/>
    <n v="69"/>
    <x v="571"/>
    <n v="3"/>
    <n v="1"/>
    <n v="0.22804820263972145"/>
    <x v="572"/>
    <n v="1.3376966801858042E-4"/>
    <x v="318"/>
    <n v="1.4492753623188406E-2"/>
    <n v="4.3478260869565215"/>
  </r>
  <r>
    <n v="1121760"/>
    <x v="2"/>
    <n v="144650"/>
    <x v="0"/>
    <x v="1"/>
    <x v="12"/>
    <n v="764793"/>
    <n v="101"/>
    <x v="572"/>
    <n v="4"/>
    <n v="2"/>
    <n v="0.22487130190783647"/>
    <x v="573"/>
    <n v="1.3206187818141642E-4"/>
    <x v="319"/>
    <n v="1.9801980198019802E-2"/>
    <n v="3.9603960396039604"/>
  </r>
  <r>
    <n v="1121763"/>
    <x v="2"/>
    <n v="144651"/>
    <x v="0"/>
    <x v="1"/>
    <x v="17"/>
    <n v="87832"/>
    <n v="11"/>
    <x v="573"/>
    <n v="1"/>
    <n v="1"/>
    <n v="0.20607523886510612"/>
    <x v="574"/>
    <n v="1.2523909281355315E-4"/>
    <x v="320"/>
    <n v="9.0909090909090912E-2"/>
    <n v="9.0909090909090917"/>
  </r>
  <r>
    <n v="1121764"/>
    <x v="2"/>
    <n v="144651"/>
    <x v="0"/>
    <x v="1"/>
    <x v="17"/>
    <n v="23368"/>
    <n v="3"/>
    <x v="250"/>
    <n v="1"/>
    <n v="0"/>
    <n v="0.1840123327199589"/>
    <x v="252"/>
    <n v="1.2838069154399179E-4"/>
    <x v="1"/>
    <n v="0"/>
    <n v="33.333333333333329"/>
  </r>
  <r>
    <n v="1121765"/>
    <x v="2"/>
    <n v="144651"/>
    <x v="0"/>
    <x v="1"/>
    <x v="17"/>
    <n v="51509"/>
    <n v="7"/>
    <x v="574"/>
    <n v="1"/>
    <n v="0"/>
    <n v="0.22462094100060184"/>
    <x v="575"/>
    <n v="1.3589858083053446E-4"/>
    <x v="1"/>
    <n v="0"/>
    <n v="14.285714285714285"/>
  </r>
  <r>
    <n v="1121767"/>
    <x v="2"/>
    <n v="144651"/>
    <x v="0"/>
    <x v="1"/>
    <x v="17"/>
    <n v="87043"/>
    <n v="16"/>
    <x v="575"/>
    <n v="2"/>
    <n v="0"/>
    <n v="0.28124030674494216"/>
    <x v="576"/>
    <n v="1.8381719380076514E-4"/>
    <x v="1"/>
    <n v="0"/>
    <n v="12.5"/>
  </r>
  <r>
    <n v="1121768"/>
    <x v="2"/>
    <n v="144651"/>
    <x v="0"/>
    <x v="1"/>
    <x v="17"/>
    <n v="565565"/>
    <n v="113"/>
    <x v="576"/>
    <n v="7"/>
    <n v="4"/>
    <n v="0.30000088088902249"/>
    <x v="577"/>
    <n v="1.998001998001998E-4"/>
    <x v="321"/>
    <n v="3.5398230088495575E-2"/>
    <n v="6.1946902654867255"/>
  </r>
  <r>
    <n v="1121769"/>
    <x v="2"/>
    <n v="144652"/>
    <x v="0"/>
    <x v="1"/>
    <x v="2"/>
    <n v="253758"/>
    <n v="43"/>
    <x v="577"/>
    <n v="4"/>
    <n v="1"/>
    <n v="0.2448789805247519"/>
    <x v="578"/>
    <n v="1.6945278572498207E-4"/>
    <x v="322"/>
    <n v="2.3255813953488372E-2"/>
    <n v="9.3023255813953494"/>
  </r>
  <r>
    <n v="1121773"/>
    <x v="2"/>
    <n v="144652"/>
    <x v="0"/>
    <x v="1"/>
    <x v="2"/>
    <n v="319131"/>
    <n v="51"/>
    <x v="578"/>
    <n v="6"/>
    <n v="1"/>
    <n v="0.24027750437907947"/>
    <x v="579"/>
    <n v="1.5980898126474708E-4"/>
    <x v="323"/>
    <n v="1.9607843137254902E-2"/>
    <n v="11.76470588235294"/>
  </r>
  <r>
    <n v="1121774"/>
    <x v="2"/>
    <n v="144652"/>
    <x v="0"/>
    <x v="1"/>
    <x v="2"/>
    <n v="670608"/>
    <n v="130"/>
    <x v="579"/>
    <n v="11"/>
    <n v="3"/>
    <n v="0.29100457763700999"/>
    <x v="580"/>
    <n v="1.9385393553312814E-4"/>
    <x v="324"/>
    <n v="2.3076923076923078E-2"/>
    <n v="8.4615384615384617"/>
  </r>
  <r>
    <n v="1121775"/>
    <x v="2"/>
    <n v="144653"/>
    <x v="0"/>
    <x v="1"/>
    <x v="10"/>
    <n v="159123"/>
    <n v="25"/>
    <x v="580"/>
    <n v="5"/>
    <n v="3"/>
    <n v="0.2410713732772761"/>
    <x v="581"/>
    <n v="1.5711116557631517E-4"/>
    <x v="325"/>
    <n v="0.12"/>
    <n v="20"/>
  </r>
  <r>
    <n v="1121776"/>
    <x v="2"/>
    <n v="144653"/>
    <x v="0"/>
    <x v="1"/>
    <x v="10"/>
    <n v="103709"/>
    <n v="15"/>
    <x v="581"/>
    <n v="3"/>
    <n v="1"/>
    <n v="0.23691289753059039"/>
    <x v="582"/>
    <n v="1.4463547040276158E-4"/>
    <x v="326"/>
    <n v="6.6666666666666666E-2"/>
    <n v="20"/>
  </r>
  <r>
    <n v="1121779"/>
    <x v="2"/>
    <n v="144653"/>
    <x v="0"/>
    <x v="1"/>
    <x v="10"/>
    <n v="271589"/>
    <n v="45"/>
    <x v="582"/>
    <n v="9"/>
    <n v="3"/>
    <n v="0.27398016974177891"/>
    <x v="583"/>
    <n v="1.6569154126271681E-4"/>
    <x v="327"/>
    <n v="6.6666666666666666E-2"/>
    <n v="20"/>
  </r>
  <r>
    <n v="1121780"/>
    <x v="2"/>
    <n v="144653"/>
    <x v="0"/>
    <x v="1"/>
    <x v="10"/>
    <n v="119772"/>
    <n v="20"/>
    <x v="583"/>
    <n v="5"/>
    <n v="2"/>
    <n v="0.27944760937447816"/>
    <x v="584"/>
    <n v="1.6698393614534283E-4"/>
    <x v="328"/>
    <n v="0.1"/>
    <n v="25"/>
  </r>
  <r>
    <n v="1121782"/>
    <x v="2"/>
    <n v="144654"/>
    <x v="0"/>
    <x v="1"/>
    <x v="22"/>
    <n v="26340"/>
    <n v="3"/>
    <x v="584"/>
    <n v="1"/>
    <n v="1"/>
    <n v="0.16021260550493546"/>
    <x v="585"/>
    <n v="1.1389521640091117E-4"/>
    <x v="329"/>
    <n v="0.33333333333333331"/>
    <n v="33.333333333333329"/>
  </r>
  <r>
    <n v="1121783"/>
    <x v="2"/>
    <n v="144654"/>
    <x v="0"/>
    <x v="1"/>
    <x v="22"/>
    <n v="594968"/>
    <n v="111"/>
    <x v="585"/>
    <n v="4"/>
    <n v="0"/>
    <n v="0.24819822343386536"/>
    <x v="586"/>
    <n v="1.8656465557811513E-4"/>
    <x v="1"/>
    <n v="0"/>
    <n v="3.6036036036036037"/>
  </r>
  <r>
    <n v="1121791"/>
    <x v="2"/>
    <n v="144655"/>
    <x v="0"/>
    <x v="1"/>
    <x v="20"/>
    <n v="6838"/>
    <n v="0"/>
    <x v="2"/>
    <n v="1"/>
    <n v="0"/>
    <n v="0"/>
    <x v="2"/>
    <n v="0"/>
    <x v="1"/>
    <n v="0"/>
    <n v="0"/>
  </r>
  <r>
    <n v="1121793"/>
    <x v="2"/>
    <n v="144656"/>
    <x v="0"/>
    <x v="1"/>
    <x v="9"/>
    <n v="185665"/>
    <n v="39"/>
    <x v="586"/>
    <n v="1"/>
    <n v="0"/>
    <n v="0.33468882438801062"/>
    <x v="587"/>
    <n v="2.1005574556324564E-4"/>
    <x v="1"/>
    <n v="0"/>
    <n v="2.5641025641025639"/>
  </r>
  <r>
    <n v="1121795"/>
    <x v="2"/>
    <n v="144656"/>
    <x v="0"/>
    <x v="1"/>
    <x v="9"/>
    <n v="24959"/>
    <n v="3"/>
    <x v="587"/>
    <n v="1"/>
    <n v="1"/>
    <n v="0.18269962987299171"/>
    <x v="588"/>
    <n v="1.2019712328218278E-4"/>
    <x v="330"/>
    <n v="0.33333333333333331"/>
    <n v="33.333333333333329"/>
  </r>
  <r>
    <n v="1121796"/>
    <x v="2"/>
    <n v="144656"/>
    <x v="0"/>
    <x v="1"/>
    <x v="9"/>
    <n v="136967"/>
    <n v="23"/>
    <x v="588"/>
    <n v="3"/>
    <n v="1"/>
    <n v="0.25597406543181939"/>
    <x v="589"/>
    <n v="1.6792366044375651E-4"/>
    <x v="331"/>
    <n v="4.3478260869565216E-2"/>
    <n v="13.043478260869565"/>
  </r>
  <r>
    <n v="1121798"/>
    <x v="2"/>
    <n v="144656"/>
    <x v="0"/>
    <x v="1"/>
    <x v="9"/>
    <n v="107548"/>
    <n v="19"/>
    <x v="589"/>
    <n v="1"/>
    <n v="0"/>
    <n v="0.27252947688473983"/>
    <x v="590"/>
    <n v="1.7666530293450366E-4"/>
    <x v="1"/>
    <n v="0"/>
    <n v="5.2631578947368416"/>
  </r>
  <r>
    <n v="1121803"/>
    <x v="2"/>
    <n v="144657"/>
    <x v="0"/>
    <x v="1"/>
    <x v="15"/>
    <n v="588617"/>
    <n v="119"/>
    <x v="590"/>
    <n v="2"/>
    <n v="0"/>
    <n v="0.2886766731168145"/>
    <x v="591"/>
    <n v="2.0216881265746657E-4"/>
    <x v="1"/>
    <n v="0"/>
    <n v="1.680672268907563"/>
  </r>
  <r>
    <n v="1121806"/>
    <x v="2"/>
    <n v="144658"/>
    <x v="0"/>
    <x v="1"/>
    <x v="18"/>
    <n v="190560"/>
    <n v="26"/>
    <x v="591"/>
    <n v="3"/>
    <n v="1"/>
    <n v="0.21846137699412257"/>
    <x v="592"/>
    <n v="1.3643996641477749E-4"/>
    <x v="332"/>
    <n v="3.8461538461538464E-2"/>
    <n v="11.538461538461538"/>
  </r>
  <r>
    <n v="1121807"/>
    <x v="2"/>
    <n v="144658"/>
    <x v="0"/>
    <x v="1"/>
    <x v="18"/>
    <n v="373110"/>
    <n v="49"/>
    <x v="592"/>
    <n v="4"/>
    <n v="2"/>
    <n v="0.20288923041462303"/>
    <x v="593"/>
    <n v="1.3132856262228296E-4"/>
    <x v="333"/>
    <n v="4.0816326530612242E-2"/>
    <n v="8.1632653061224492"/>
  </r>
  <r>
    <n v="1121812"/>
    <x v="2"/>
    <n v="144659"/>
    <x v="0"/>
    <x v="1"/>
    <x v="5"/>
    <n v="935646"/>
    <n v="170"/>
    <x v="593"/>
    <n v="19"/>
    <n v="6"/>
    <n v="0.27411007817059019"/>
    <x v="594"/>
    <n v="1.8169264871543297E-4"/>
    <x v="334"/>
    <n v="3.5294117647058823E-2"/>
    <n v="11.176470588235295"/>
  </r>
  <r>
    <n v="1121814"/>
    <x v="2"/>
    <n v="144659"/>
    <x v="0"/>
    <x v="1"/>
    <x v="5"/>
    <n v="2223278"/>
    <n v="421"/>
    <x v="594"/>
    <n v="38"/>
    <n v="13"/>
    <n v="0.27540415692504494"/>
    <x v="595"/>
    <n v="1.8936003504734899E-4"/>
    <x v="335"/>
    <n v="3.0878859857482184E-2"/>
    <n v="9.026128266033254"/>
  </r>
  <r>
    <n v="1121815"/>
    <x v="2"/>
    <n v="144659"/>
    <x v="0"/>
    <x v="1"/>
    <x v="5"/>
    <n v="240497"/>
    <n v="36"/>
    <x v="595"/>
    <n v="1"/>
    <n v="0"/>
    <n v="0.2155536279870435"/>
    <x v="596"/>
    <n v="1.4969001692328803E-4"/>
    <x v="1"/>
    <n v="0"/>
    <n v="2.7777777777777777"/>
  </r>
  <r>
    <n v="1121816"/>
    <x v="2"/>
    <n v="144659"/>
    <x v="0"/>
    <x v="1"/>
    <x v="5"/>
    <n v="259984"/>
    <n v="37"/>
    <x v="596"/>
    <n v="5"/>
    <n v="0"/>
    <n v="0.2107437388454674"/>
    <x v="597"/>
    <n v="1.4231645024309188E-4"/>
    <x v="1"/>
    <n v="0"/>
    <n v="13.513513513513514"/>
  </r>
  <r>
    <n v="1121817"/>
    <x v="2"/>
    <n v="144660"/>
    <x v="0"/>
    <x v="1"/>
    <x v="3"/>
    <n v="606786"/>
    <n v="127"/>
    <x v="597"/>
    <n v="11"/>
    <n v="3"/>
    <n v="0.29507932121044322"/>
    <x v="598"/>
    <n v="2.0929948944108795E-4"/>
    <x v="336"/>
    <n v="2.3622047244094488E-2"/>
    <n v="8.6614173228346463"/>
  </r>
  <r>
    <n v="1121818"/>
    <x v="2"/>
    <n v="144660"/>
    <x v="0"/>
    <x v="1"/>
    <x v="3"/>
    <n v="83270"/>
    <n v="13"/>
    <x v="598"/>
    <n v="1"/>
    <n v="0"/>
    <n v="0.21304191197309955"/>
    <x v="599"/>
    <n v="1.5611865017413235E-4"/>
    <x v="1"/>
    <n v="0"/>
    <n v="7.6923076923076925"/>
  </r>
  <r>
    <n v="1121819"/>
    <x v="2"/>
    <n v="144660"/>
    <x v="0"/>
    <x v="1"/>
    <x v="3"/>
    <n v="1189509"/>
    <n v="268"/>
    <x v="599"/>
    <n v="7"/>
    <n v="3"/>
    <n v="0.31586141534027906"/>
    <x v="600"/>
    <n v="2.2530304520604721E-4"/>
    <x v="337"/>
    <n v="1.1194029850746268E-2"/>
    <n v="2.6119402985074625"/>
  </r>
  <r>
    <n v="1121820"/>
    <x v="2"/>
    <n v="144660"/>
    <x v="0"/>
    <x v="1"/>
    <x v="3"/>
    <n v="11471"/>
    <n v="1"/>
    <x v="51"/>
    <n v="0"/>
    <n v="0"/>
    <n v="0.1368668862348531"/>
    <x v="52"/>
    <n v="8.7176357771772298E-5"/>
    <x v="1"/>
    <n v="0"/>
    <n v="0"/>
  </r>
  <r>
    <n v="1121824"/>
    <x v="2"/>
    <n v="144661"/>
    <x v="0"/>
    <x v="1"/>
    <x v="4"/>
    <n v="1705246"/>
    <n v="295"/>
    <x v="600"/>
    <n v="23"/>
    <n v="10"/>
    <n v="0.2518580885690393"/>
    <x v="601"/>
    <n v="1.7299556779491054E-4"/>
    <x v="338"/>
    <n v="3.3898305084745763E-2"/>
    <n v="7.796610169491526"/>
  </r>
  <r>
    <n v="1121826"/>
    <x v="2"/>
    <n v="144661"/>
    <x v="0"/>
    <x v="1"/>
    <x v="4"/>
    <n v="418016"/>
    <n v="63"/>
    <x v="601"/>
    <n v="3"/>
    <n v="1"/>
    <n v="0.22929744435619689"/>
    <x v="602"/>
    <n v="1.5071193447140779E-4"/>
    <x v="339"/>
    <n v="1.5873015873015872E-2"/>
    <n v="4.7619047619047619"/>
  </r>
  <r>
    <n v="1121827"/>
    <x v="2"/>
    <n v="144661"/>
    <x v="0"/>
    <x v="1"/>
    <x v="4"/>
    <n v="30155"/>
    <n v="3"/>
    <x v="602"/>
    <n v="1"/>
    <n v="0"/>
    <n v="0.12667882384347537"/>
    <x v="603"/>
    <n v="9.9485989056541203E-5"/>
    <x v="1"/>
    <n v="0"/>
    <n v="33.333333333333329"/>
  </r>
  <r>
    <n v="1121828"/>
    <x v="2"/>
    <n v="144661"/>
    <x v="0"/>
    <x v="1"/>
    <x v="4"/>
    <n v="990404"/>
    <n v="153"/>
    <x v="603"/>
    <n v="12"/>
    <n v="6"/>
    <n v="0.22873493968118064"/>
    <x v="604"/>
    <n v="1.5448241323742635E-4"/>
    <x v="340"/>
    <n v="3.9215686274509803E-2"/>
    <n v="7.8431372549019605"/>
  </r>
  <r>
    <n v="1121829"/>
    <x v="2"/>
    <n v="144662"/>
    <x v="0"/>
    <x v="1"/>
    <x v="8"/>
    <n v="187468"/>
    <n v="34"/>
    <x v="604"/>
    <n v="2"/>
    <n v="1"/>
    <n v="0.27055284432543153"/>
    <x v="605"/>
    <n v="1.813642861715066E-4"/>
    <x v="341"/>
    <n v="2.9411764705882353E-2"/>
    <n v="5.8823529411764701"/>
  </r>
  <r>
    <n v="1121832"/>
    <x v="2"/>
    <n v="144662"/>
    <x v="0"/>
    <x v="1"/>
    <x v="8"/>
    <n v="208301"/>
    <n v="33"/>
    <x v="605"/>
    <n v="1"/>
    <n v="0"/>
    <n v="0.26197666305010542"/>
    <x v="606"/>
    <n v="1.5842458749597938E-4"/>
    <x v="1"/>
    <n v="0"/>
    <n v="3.0303030303030303"/>
  </r>
  <r>
    <n v="1121833"/>
    <x v="2"/>
    <n v="144662"/>
    <x v="0"/>
    <x v="1"/>
    <x v="8"/>
    <n v="101856"/>
    <n v="16"/>
    <x v="606"/>
    <n v="4"/>
    <n v="1"/>
    <n v="0.24760446502906064"/>
    <x v="607"/>
    <n v="1.5708451146716933E-4"/>
    <x v="342"/>
    <n v="6.25E-2"/>
    <n v="25"/>
  </r>
  <r>
    <n v="1121835"/>
    <x v="2"/>
    <n v="144663"/>
    <x v="0"/>
    <x v="1"/>
    <x v="6"/>
    <n v="48935"/>
    <n v="7"/>
    <x v="607"/>
    <n v="1"/>
    <n v="1"/>
    <n v="0.20373966010013281"/>
    <x v="608"/>
    <n v="1.4304689894758353E-4"/>
    <x v="343"/>
    <n v="0.14285714285714285"/>
    <n v="14.285714285714285"/>
  </r>
  <r>
    <n v="1121839"/>
    <x v="2"/>
    <n v="144663"/>
    <x v="0"/>
    <x v="1"/>
    <x v="6"/>
    <n v="13911"/>
    <n v="1"/>
    <x v="202"/>
    <n v="1"/>
    <n v="1"/>
    <n v="0.1243620170368773"/>
    <x v="609"/>
    <n v="7.1885558191359353E-5"/>
    <x v="87"/>
    <n v="1"/>
    <n v="100"/>
  </r>
  <r>
    <n v="1121841"/>
    <x v="2"/>
    <n v="144664"/>
    <x v="0"/>
    <x v="1"/>
    <x v="11"/>
    <n v="511726"/>
    <n v="77"/>
    <x v="608"/>
    <n v="8"/>
    <n v="4"/>
    <n v="0.24053888584906769"/>
    <x v="610"/>
    <n v="1.5047115057667581E-4"/>
    <x v="344"/>
    <n v="5.1948051948051951E-2"/>
    <n v="10.38961038961039"/>
  </r>
  <r>
    <n v="1121843"/>
    <x v="2"/>
    <n v="144664"/>
    <x v="0"/>
    <x v="1"/>
    <x v="11"/>
    <n v="177452"/>
    <n v="24"/>
    <x v="609"/>
    <n v="2"/>
    <n v="0"/>
    <n v="0.21318441133376911"/>
    <x v="611"/>
    <n v="1.3524784166986002E-4"/>
    <x v="1"/>
    <n v="0"/>
    <n v="8.3333333333333321"/>
  </r>
  <r>
    <n v="1121844"/>
    <x v="2"/>
    <n v="144664"/>
    <x v="0"/>
    <x v="1"/>
    <x v="11"/>
    <n v="149808"/>
    <n v="20"/>
    <x v="610"/>
    <n v="1"/>
    <n v="1"/>
    <n v="0.22054896514204847"/>
    <x v="612"/>
    <n v="1.3350421873331198E-4"/>
    <x v="345"/>
    <n v="0.05"/>
    <n v="5"/>
  </r>
  <r>
    <n v="1121845"/>
    <x v="2"/>
    <n v="144664"/>
    <x v="0"/>
    <x v="1"/>
    <x v="11"/>
    <n v="390339"/>
    <n v="60"/>
    <x v="611"/>
    <n v="9"/>
    <n v="6"/>
    <n v="0.26904818555153343"/>
    <x v="613"/>
    <n v="1.5371254217487877E-4"/>
    <x v="346"/>
    <n v="0.1"/>
    <n v="15"/>
  </r>
  <r>
    <n v="1121846"/>
    <x v="2"/>
    <n v="144664"/>
    <x v="0"/>
    <x v="1"/>
    <x v="11"/>
    <n v="8350"/>
    <n v="0"/>
    <x v="2"/>
    <n v="1"/>
    <n v="0"/>
    <n v="0"/>
    <x v="2"/>
    <n v="0"/>
    <x v="1"/>
    <n v="0"/>
    <n v="0"/>
  </r>
  <r>
    <n v="1121847"/>
    <x v="2"/>
    <n v="144665"/>
    <x v="0"/>
    <x v="1"/>
    <x v="19"/>
    <n v="39339"/>
    <n v="4"/>
    <x v="612"/>
    <n v="1"/>
    <n v="0"/>
    <n v="0.15074099361956328"/>
    <x v="614"/>
    <n v="1.0168026640229797E-4"/>
    <x v="1"/>
    <n v="0"/>
    <n v="25"/>
  </r>
  <r>
    <n v="1121854"/>
    <x v="2"/>
    <n v="144666"/>
    <x v="0"/>
    <x v="1"/>
    <x v="13"/>
    <n v="8587"/>
    <n v="0"/>
    <x v="2"/>
    <n v="1"/>
    <n v="0"/>
    <n v="0"/>
    <x v="2"/>
    <n v="0"/>
    <x v="1"/>
    <n v="0"/>
    <n v="0"/>
  </r>
  <r>
    <n v="1121855"/>
    <x v="2"/>
    <n v="144666"/>
    <x v="0"/>
    <x v="1"/>
    <x v="13"/>
    <n v="24893"/>
    <n v="2"/>
    <x v="613"/>
    <n v="1"/>
    <n v="0"/>
    <n v="0.15064475957096374"/>
    <x v="615"/>
    <n v="8.0343871771180648E-5"/>
    <x v="1"/>
    <n v="0"/>
    <n v="50"/>
  </r>
  <r>
    <n v="1121856"/>
    <x v="2"/>
    <n v="144666"/>
    <x v="0"/>
    <x v="1"/>
    <x v="13"/>
    <n v="1296189"/>
    <n v="212"/>
    <x v="614"/>
    <n v="14"/>
    <n v="4"/>
    <n v="0.26482248684412535"/>
    <x v="616"/>
    <n v="1.6355639493931826E-4"/>
    <x v="347"/>
    <n v="1.8867924528301886E-2"/>
    <n v="6.6037735849056602"/>
  </r>
  <r>
    <n v="1121857"/>
    <x v="2"/>
    <n v="144666"/>
    <x v="0"/>
    <x v="1"/>
    <x v="13"/>
    <n v="91607"/>
    <n v="12"/>
    <x v="615"/>
    <n v="2"/>
    <n v="1"/>
    <n v="0.20948180488390628"/>
    <x v="617"/>
    <n v="1.3099435632648161E-4"/>
    <x v="348"/>
    <n v="8.3333333333333329E-2"/>
    <n v="16.666666666666664"/>
  </r>
  <r>
    <n v="1121859"/>
    <x v="2"/>
    <n v="144667"/>
    <x v="0"/>
    <x v="1"/>
    <x v="21"/>
    <n v="238036"/>
    <n v="38"/>
    <x v="616"/>
    <n v="6"/>
    <n v="3"/>
    <n v="0.25638978015930364"/>
    <x v="618"/>
    <n v="1.5963971836192845E-4"/>
    <x v="349"/>
    <n v="7.8947368421052627E-2"/>
    <n v="15.789473684210526"/>
  </r>
  <r>
    <n v="1121860"/>
    <x v="2"/>
    <n v="144667"/>
    <x v="0"/>
    <x v="1"/>
    <x v="21"/>
    <n v="254344"/>
    <n v="35"/>
    <x v="617"/>
    <n v="2"/>
    <n v="1"/>
    <n v="0.22084263815934324"/>
    <x v="619"/>
    <n v="1.3760890762117448E-4"/>
    <x v="350"/>
    <n v="2.8571428571428571E-2"/>
    <n v="5.7142857142857144"/>
  </r>
  <r>
    <n v="1121861"/>
    <x v="2"/>
    <n v="144667"/>
    <x v="0"/>
    <x v="1"/>
    <x v="21"/>
    <n v="157705"/>
    <n v="23"/>
    <x v="618"/>
    <n v="2"/>
    <n v="0"/>
    <n v="0.2487555896135189"/>
    <x v="620"/>
    <n v="1.4584192004058209E-4"/>
    <x v="1"/>
    <n v="0"/>
    <n v="8.695652173913043"/>
  </r>
  <r>
    <n v="1121862"/>
    <x v="2"/>
    <n v="144667"/>
    <x v="0"/>
    <x v="1"/>
    <x v="21"/>
    <n v="411571"/>
    <n v="60"/>
    <x v="619"/>
    <n v="6"/>
    <n v="1"/>
    <n v="0.24097907384145142"/>
    <x v="621"/>
    <n v="1.4578286613974259E-4"/>
    <x v="351"/>
    <n v="1.6666666666666666E-2"/>
    <n v="10"/>
  </r>
  <r>
    <n v="1121863"/>
    <x v="2"/>
    <n v="144667"/>
    <x v="0"/>
    <x v="1"/>
    <x v="21"/>
    <n v="94136"/>
    <n v="11"/>
    <x v="620"/>
    <n v="1"/>
    <n v="0"/>
    <n v="0.17187898051754907"/>
    <x v="622"/>
    <n v="1.1685221381830543E-4"/>
    <x v="1"/>
    <n v="0"/>
    <n v="9.0909090909090917"/>
  </r>
  <r>
    <n v="1121867"/>
    <x v="2"/>
    <n v="144668"/>
    <x v="0"/>
    <x v="1"/>
    <x v="14"/>
    <n v="82640"/>
    <n v="16"/>
    <x v="621"/>
    <n v="1"/>
    <n v="1"/>
    <n v="0.29005324770087121"/>
    <x v="623"/>
    <n v="1.9361084220716361E-4"/>
    <x v="352"/>
    <n v="6.25E-2"/>
    <n v="6.25"/>
  </r>
  <r>
    <n v="1121869"/>
    <x v="2"/>
    <n v="144668"/>
    <x v="0"/>
    <x v="1"/>
    <x v="14"/>
    <n v="17870"/>
    <n v="2"/>
    <x v="622"/>
    <n v="1"/>
    <n v="1"/>
    <n v="0.146614437884723"/>
    <x v="624"/>
    <n v="1.1191941801902631E-4"/>
    <x v="353"/>
    <n v="0.5"/>
    <n v="50"/>
  </r>
  <r>
    <n v="1121871"/>
    <x v="2"/>
    <n v="144669"/>
    <x v="0"/>
    <x v="1"/>
    <x v="23"/>
    <n v="19178"/>
    <n v="2"/>
    <x v="623"/>
    <n v="1"/>
    <n v="1"/>
    <n v="0.14495776259255397"/>
    <x v="625"/>
    <n v="1.0428616122640526E-4"/>
    <x v="354"/>
    <n v="0.5"/>
    <n v="50"/>
  </r>
  <r>
    <n v="1121873"/>
    <x v="2"/>
    <n v="144669"/>
    <x v="0"/>
    <x v="1"/>
    <x v="23"/>
    <n v="5264"/>
    <n v="0"/>
    <x v="2"/>
    <n v="1"/>
    <n v="0"/>
    <n v="0"/>
    <x v="2"/>
    <n v="0"/>
    <x v="1"/>
    <n v="0"/>
    <n v="0"/>
  </r>
  <r>
    <n v="1121874"/>
    <x v="2"/>
    <n v="144669"/>
    <x v="0"/>
    <x v="1"/>
    <x v="23"/>
    <n v="145548"/>
    <n v="28"/>
    <x v="624"/>
    <n v="2"/>
    <n v="1"/>
    <n v="0.29110671640970676"/>
    <x v="626"/>
    <n v="1.9237639816417951E-4"/>
    <x v="355"/>
    <n v="3.5714285714285712E-2"/>
    <n v="7.1428571428571423"/>
  </r>
  <r>
    <n v="1121876"/>
    <x v="2"/>
    <n v="144669"/>
    <x v="0"/>
    <x v="1"/>
    <x v="23"/>
    <n v="82455"/>
    <n v="15"/>
    <x v="625"/>
    <n v="1"/>
    <n v="0"/>
    <n v="0.26741858844218064"/>
    <x v="627"/>
    <n v="1.8191740949608878E-4"/>
    <x v="1"/>
    <n v="0"/>
    <n v="6.666666666666667"/>
  </r>
  <r>
    <n v="1121877"/>
    <x v="2"/>
    <n v="144670"/>
    <x v="0"/>
    <x v="1"/>
    <x v="7"/>
    <n v="44189"/>
    <n v="7"/>
    <x v="626"/>
    <n v="2"/>
    <n v="0"/>
    <n v="0.23354227997918034"/>
    <x v="628"/>
    <n v="1.5841046414265993E-4"/>
    <x v="1"/>
    <n v="0"/>
    <n v="28.571428571428569"/>
  </r>
  <r>
    <n v="1121878"/>
    <x v="2"/>
    <n v="144670"/>
    <x v="0"/>
    <x v="1"/>
    <x v="7"/>
    <n v="45199"/>
    <n v="7"/>
    <x v="627"/>
    <n v="1"/>
    <n v="0"/>
    <n v="0.21704019874333502"/>
    <x v="629"/>
    <n v="1.5487068297971194E-4"/>
    <x v="1"/>
    <n v="0"/>
    <n v="14.285714285714285"/>
  </r>
  <r>
    <n v="1121881"/>
    <x v="2"/>
    <n v="144670"/>
    <x v="0"/>
    <x v="1"/>
    <x v="7"/>
    <n v="221843"/>
    <n v="43"/>
    <x v="628"/>
    <n v="5"/>
    <n v="0"/>
    <n v="0.2860130847491244"/>
    <x v="630"/>
    <n v="1.9383077221278111E-4"/>
    <x v="1"/>
    <n v="0"/>
    <n v="11.627906976744185"/>
  </r>
  <r>
    <n v="1121888"/>
    <x v="2"/>
    <n v="144671"/>
    <x v="0"/>
    <x v="1"/>
    <x v="24"/>
    <n v="41672"/>
    <n v="6"/>
    <x v="629"/>
    <n v="2"/>
    <n v="1"/>
    <n v="0.25316759334805145"/>
    <x v="631"/>
    <n v="1.4398157035899406E-4"/>
    <x v="356"/>
    <n v="0.16666666666666666"/>
    <n v="33.333333333333329"/>
  </r>
  <r>
    <n v="1121889"/>
    <x v="2"/>
    <n v="144672"/>
    <x v="1"/>
    <x v="1"/>
    <x v="16"/>
    <n v="127546"/>
    <n v="25"/>
    <x v="630"/>
    <n v="2"/>
    <n v="0"/>
    <n v="0.30530161988615873"/>
    <x v="632"/>
    <n v="1.9600771486365703E-4"/>
    <x v="1"/>
    <n v="0"/>
    <n v="8"/>
  </r>
  <r>
    <n v="1121890"/>
    <x v="2"/>
    <n v="144672"/>
    <x v="1"/>
    <x v="1"/>
    <x v="16"/>
    <n v="127865"/>
    <n v="28"/>
    <x v="631"/>
    <n v="3"/>
    <n v="1"/>
    <n v="0.29742306033707427"/>
    <x v="633"/>
    <n v="2.1898095647753489E-4"/>
    <x v="357"/>
    <n v="3.5714285714285712E-2"/>
    <n v="10.714285714285714"/>
  </r>
  <r>
    <n v="1121891"/>
    <x v="2"/>
    <n v="144672"/>
    <x v="1"/>
    <x v="1"/>
    <x v="16"/>
    <n v="1025327"/>
    <n v="229"/>
    <x v="632"/>
    <n v="16"/>
    <n v="2"/>
    <n v="0.30653635211010732"/>
    <x v="634"/>
    <n v="2.2334338216003285E-4"/>
    <x v="358"/>
    <n v="8.7336244541484712E-3"/>
    <n v="6.9868995633187767"/>
  </r>
  <r>
    <n v="1121894"/>
    <x v="2"/>
    <n v="144672"/>
    <x v="1"/>
    <x v="1"/>
    <x v="16"/>
    <n v="561415"/>
    <n v="124"/>
    <x v="633"/>
    <n v="3"/>
    <n v="0"/>
    <n v="0.30950366484686015"/>
    <x v="635"/>
    <n v="2.2087047905738178E-4"/>
    <x v="1"/>
    <n v="0"/>
    <n v="2.4193548387096775"/>
  </r>
  <r>
    <n v="1121895"/>
    <x v="2"/>
    <n v="144673"/>
    <x v="1"/>
    <x v="1"/>
    <x v="0"/>
    <n v="132803"/>
    <n v="25"/>
    <x v="634"/>
    <n v="2"/>
    <n v="1"/>
    <n v="0.28101775743017859"/>
    <x v="636"/>
    <n v="1.8824875944067529E-4"/>
    <x v="359"/>
    <n v="0.04"/>
    <n v="8"/>
  </r>
  <r>
    <n v="1121897"/>
    <x v="2"/>
    <n v="144673"/>
    <x v="1"/>
    <x v="1"/>
    <x v="0"/>
    <n v="24664"/>
    <n v="2"/>
    <x v="635"/>
    <n v="1"/>
    <n v="1"/>
    <n v="0.10663314932695427"/>
    <x v="637"/>
    <n v="8.1089847551086601E-5"/>
    <x v="360"/>
    <n v="0.5"/>
    <n v="50"/>
  </r>
  <r>
    <n v="1121901"/>
    <x v="2"/>
    <n v="144674"/>
    <x v="1"/>
    <x v="1"/>
    <x v="1"/>
    <n v="1020561"/>
    <n v="172"/>
    <x v="636"/>
    <n v="7"/>
    <n v="3"/>
    <n v="0.25849508329242449"/>
    <x v="638"/>
    <n v="1.6853475686411689E-4"/>
    <x v="361"/>
    <n v="1.7441860465116279E-2"/>
    <n v="4.0697674418604652"/>
  </r>
  <r>
    <n v="1121902"/>
    <x v="2"/>
    <n v="144674"/>
    <x v="1"/>
    <x v="1"/>
    <x v="1"/>
    <n v="682143"/>
    <n v="114"/>
    <x v="637"/>
    <n v="6"/>
    <n v="2"/>
    <n v="0.25963764093452546"/>
    <x v="639"/>
    <n v="1.6712038384913427E-4"/>
    <x v="362"/>
    <n v="1.7543859649122806E-2"/>
    <n v="5.2631578947368416"/>
  </r>
  <r>
    <n v="1121903"/>
    <x v="2"/>
    <n v="144674"/>
    <x v="1"/>
    <x v="1"/>
    <x v="1"/>
    <n v="1247717"/>
    <n v="222"/>
    <x v="638"/>
    <n v="11"/>
    <n v="4"/>
    <n v="0.27523869547341268"/>
    <x v="640"/>
    <n v="1.7792496215087236E-4"/>
    <x v="363"/>
    <n v="1.8018018018018018E-2"/>
    <n v="4.954954954954955"/>
  </r>
  <r>
    <n v="1121904"/>
    <x v="2"/>
    <n v="144674"/>
    <x v="1"/>
    <x v="1"/>
    <x v="1"/>
    <n v="146406"/>
    <n v="23"/>
    <x v="639"/>
    <n v="1"/>
    <n v="1"/>
    <n v="0.22697156824173872"/>
    <x v="641"/>
    <n v="1.5709738671912352E-4"/>
    <x v="364"/>
    <n v="4.3478260869565216E-2"/>
    <n v="4.3478260869565215"/>
  </r>
  <r>
    <n v="1121905"/>
    <x v="2"/>
    <n v="144674"/>
    <x v="1"/>
    <x v="1"/>
    <x v="1"/>
    <n v="905699"/>
    <n v="161"/>
    <x v="640"/>
    <n v="4"/>
    <n v="1"/>
    <n v="0.25909269878844959"/>
    <x v="642"/>
    <n v="1.7776325247129566E-4"/>
    <x v="365"/>
    <n v="6.2111801242236021E-3"/>
    <n v="2.4844720496894408"/>
  </r>
  <r>
    <n v="1121906"/>
    <x v="2"/>
    <n v="144674"/>
    <x v="1"/>
    <x v="1"/>
    <x v="1"/>
    <n v="1184580"/>
    <n v="194"/>
    <x v="641"/>
    <n v="14"/>
    <n v="3"/>
    <n v="0.25142244348207804"/>
    <x v="643"/>
    <n v="1.6377112563102533E-4"/>
    <x v="366"/>
    <n v="1.5463917525773196E-2"/>
    <n v="7.216494845360824"/>
  </r>
  <r>
    <n v="1121907"/>
    <x v="2"/>
    <n v="144675"/>
    <x v="1"/>
    <x v="1"/>
    <x v="12"/>
    <n v="98057"/>
    <n v="20"/>
    <x v="642"/>
    <n v="1"/>
    <n v="1"/>
    <n v="0.31624462945021775"/>
    <x v="644"/>
    <n v="2.0396300111159835E-4"/>
    <x v="367"/>
    <n v="0.05"/>
    <n v="5"/>
  </r>
  <r>
    <n v="1121917"/>
    <x v="2"/>
    <n v="144676"/>
    <x v="1"/>
    <x v="1"/>
    <x v="17"/>
    <n v="238735"/>
    <n v="56"/>
    <x v="643"/>
    <n v="4"/>
    <n v="1"/>
    <n v="0.3546191337256791"/>
    <x v="645"/>
    <n v="2.3456971118604309E-4"/>
    <x v="368"/>
    <n v="1.7857142857142856E-2"/>
    <n v="7.1428571428571423"/>
  </r>
  <r>
    <n v="1121918"/>
    <x v="2"/>
    <n v="144676"/>
    <x v="1"/>
    <x v="1"/>
    <x v="17"/>
    <n v="320657"/>
    <n v="77"/>
    <x v="644"/>
    <n v="2"/>
    <n v="0"/>
    <n v="0.36138304356368334"/>
    <x v="646"/>
    <n v="2.401319790305529E-4"/>
    <x v="1"/>
    <n v="0"/>
    <n v="2.5974025974025974"/>
  </r>
  <r>
    <n v="1121925"/>
    <x v="2"/>
    <n v="144678"/>
    <x v="1"/>
    <x v="1"/>
    <x v="10"/>
    <n v="244074"/>
    <n v="57"/>
    <x v="645"/>
    <n v="4"/>
    <n v="2"/>
    <n v="0.34624745048632793"/>
    <x v="647"/>
    <n v="2.3353573096683791E-4"/>
    <x v="369"/>
    <n v="3.5087719298245612E-2"/>
    <n v="7.0175438596491224"/>
  </r>
  <r>
    <n v="1121928"/>
    <x v="2"/>
    <n v="144678"/>
    <x v="1"/>
    <x v="1"/>
    <x v="10"/>
    <n v="39146"/>
    <n v="8"/>
    <x v="646"/>
    <n v="1"/>
    <n v="0"/>
    <n v="0.33362283732692993"/>
    <x v="648"/>
    <n v="2.0436315332345579E-4"/>
    <x v="1"/>
    <n v="0"/>
    <n v="12.5"/>
  </r>
  <r>
    <n v="1121931"/>
    <x v="2"/>
    <n v="144679"/>
    <x v="1"/>
    <x v="1"/>
    <x v="22"/>
    <n v="78468"/>
    <n v="15"/>
    <x v="647"/>
    <n v="1"/>
    <n v="0"/>
    <n v="0.30139674287607682"/>
    <x v="649"/>
    <n v="1.9116072794005199E-4"/>
    <x v="1"/>
    <n v="0"/>
    <n v="6.666666666666667"/>
  </r>
  <r>
    <n v="1121933"/>
    <x v="2"/>
    <n v="144679"/>
    <x v="1"/>
    <x v="1"/>
    <x v="22"/>
    <n v="325653"/>
    <n v="63"/>
    <x v="648"/>
    <n v="2"/>
    <n v="0"/>
    <n v="0.27437180145737949"/>
    <x v="650"/>
    <n v="1.934574531786902E-4"/>
    <x v="1"/>
    <n v="0"/>
    <n v="3.1746031746031744"/>
  </r>
  <r>
    <n v="1121935"/>
    <x v="2"/>
    <n v="144679"/>
    <x v="1"/>
    <x v="1"/>
    <x v="22"/>
    <n v="66277"/>
    <n v="12"/>
    <x v="649"/>
    <n v="1"/>
    <n v="0"/>
    <n v="0.2610256980551322"/>
    <x v="651"/>
    <n v="1.8105828567979842E-4"/>
    <x v="1"/>
    <n v="0"/>
    <n v="8.3333333333333321"/>
  </r>
  <r>
    <n v="1121936"/>
    <x v="2"/>
    <n v="144679"/>
    <x v="1"/>
    <x v="1"/>
    <x v="22"/>
    <n v="93002"/>
    <n v="16"/>
    <x v="650"/>
    <n v="1"/>
    <n v="0"/>
    <n v="0.25096234145502244"/>
    <x v="652"/>
    <n v="1.7203931098255953E-4"/>
    <x v="1"/>
    <n v="0"/>
    <n v="6.25"/>
  </r>
  <r>
    <n v="1121944"/>
    <x v="2"/>
    <n v="144681"/>
    <x v="1"/>
    <x v="1"/>
    <x v="9"/>
    <n v="109723"/>
    <n v="27"/>
    <x v="651"/>
    <n v="1"/>
    <n v="0"/>
    <n v="0.37330368655614593"/>
    <x v="653"/>
    <n v="2.4607420504360979E-4"/>
    <x v="1"/>
    <n v="0"/>
    <n v="3.7037037037037033"/>
  </r>
  <r>
    <n v="1121948"/>
    <x v="2"/>
    <n v="144681"/>
    <x v="1"/>
    <x v="1"/>
    <x v="9"/>
    <n v="118941"/>
    <n v="35"/>
    <x v="652"/>
    <n v="4"/>
    <n v="1"/>
    <n v="0.42130131754399242"/>
    <x v="654"/>
    <n v="2.9426354242859906E-4"/>
    <x v="370"/>
    <n v="2.8571428571428571E-2"/>
    <n v="11.428571428571429"/>
  </r>
  <r>
    <n v="1121949"/>
    <x v="2"/>
    <n v="144682"/>
    <x v="1"/>
    <x v="1"/>
    <x v="15"/>
    <n v="221576"/>
    <n v="47"/>
    <x v="653"/>
    <n v="6"/>
    <n v="1"/>
    <n v="0.30143156605408528"/>
    <x v="655"/>
    <n v="2.1211683575838539E-4"/>
    <x v="371"/>
    <n v="2.1276595744680851E-2"/>
    <n v="12.76595744680851"/>
  </r>
  <r>
    <n v="1121953"/>
    <x v="2"/>
    <n v="144682"/>
    <x v="1"/>
    <x v="1"/>
    <x v="15"/>
    <n v="8341"/>
    <n v="1"/>
    <x v="235"/>
    <n v="1"/>
    <n v="0"/>
    <n v="0.19661910873995925"/>
    <x v="236"/>
    <n v="1.1988970147464332E-4"/>
    <x v="1"/>
    <n v="0"/>
    <n v="100"/>
  </r>
  <r>
    <n v="1121954"/>
    <x v="2"/>
    <n v="144682"/>
    <x v="1"/>
    <x v="1"/>
    <x v="15"/>
    <n v="120335"/>
    <n v="26"/>
    <x v="654"/>
    <n v="2"/>
    <n v="0"/>
    <n v="0.30107615656292852"/>
    <x v="656"/>
    <n v="2.1606348942535423E-4"/>
    <x v="1"/>
    <n v="0"/>
    <n v="7.6923076923076925"/>
  </r>
  <r>
    <n v="1121955"/>
    <x v="2"/>
    <n v="144683"/>
    <x v="1"/>
    <x v="1"/>
    <x v="18"/>
    <n v="182098"/>
    <n v="40"/>
    <x v="655"/>
    <n v="1"/>
    <n v="1"/>
    <n v="0.34525365402146097"/>
    <x v="657"/>
    <n v="2.1966194027391844E-4"/>
    <x v="372"/>
    <n v="2.5000000000000001E-2"/>
    <n v="2.5"/>
  </r>
  <r>
    <n v="1121956"/>
    <x v="2"/>
    <n v="144683"/>
    <x v="1"/>
    <x v="1"/>
    <x v="18"/>
    <n v="227473"/>
    <n v="52"/>
    <x v="656"/>
    <n v="1"/>
    <n v="1"/>
    <n v="0.31467471093272609"/>
    <x v="658"/>
    <n v="2.2859855894985338E-4"/>
    <x v="373"/>
    <n v="1.9230769230769232E-2"/>
    <n v="1.9230769230769231"/>
  </r>
  <r>
    <n v="1121962"/>
    <x v="2"/>
    <n v="144684"/>
    <x v="1"/>
    <x v="1"/>
    <x v="5"/>
    <n v="1050947"/>
    <n v="230"/>
    <x v="657"/>
    <n v="6"/>
    <n v="1"/>
    <n v="0.33351824183331796"/>
    <x v="659"/>
    <n v="2.1885023697674574E-4"/>
    <x v="374"/>
    <n v="4.3478260869565218E-3"/>
    <n v="2.6086956521739131"/>
  </r>
  <r>
    <n v="1121963"/>
    <x v="2"/>
    <n v="144684"/>
    <x v="1"/>
    <x v="1"/>
    <x v="5"/>
    <n v="720859"/>
    <n v="162"/>
    <x v="658"/>
    <n v="13"/>
    <n v="5"/>
    <n v="0.29643799772216201"/>
    <x v="660"/>
    <n v="2.2473188237921702E-4"/>
    <x v="375"/>
    <n v="3.0864197530864196E-2"/>
    <n v="8.0246913580246915"/>
  </r>
  <r>
    <n v="1121971"/>
    <x v="2"/>
    <n v="144685"/>
    <x v="1"/>
    <x v="1"/>
    <x v="3"/>
    <n v="41111"/>
    <n v="8"/>
    <x v="659"/>
    <n v="1"/>
    <n v="0"/>
    <n v="0.26659531901437566"/>
    <x v="661"/>
    <n v="1.9459512052735276E-4"/>
    <x v="1"/>
    <n v="0"/>
    <n v="12.5"/>
  </r>
  <r>
    <n v="1121973"/>
    <x v="2"/>
    <n v="144686"/>
    <x v="1"/>
    <x v="1"/>
    <x v="4"/>
    <n v="148616"/>
    <n v="25"/>
    <x v="660"/>
    <n v="6"/>
    <n v="4"/>
    <n v="0.2516552700920493"/>
    <x v="662"/>
    <n v="1.6821876513968887E-4"/>
    <x v="376"/>
    <n v="0.16"/>
    <n v="24"/>
  </r>
  <r>
    <n v="1121976"/>
    <x v="2"/>
    <n v="144686"/>
    <x v="1"/>
    <x v="1"/>
    <x v="4"/>
    <n v="707260"/>
    <n v="135"/>
    <x v="661"/>
    <n v="13"/>
    <n v="6"/>
    <n v="0.2980799179933829"/>
    <x v="663"/>
    <n v="1.9087747080281651E-4"/>
    <x v="377"/>
    <n v="4.4444444444444446E-2"/>
    <n v="9.6296296296296298"/>
  </r>
  <r>
    <n v="1121977"/>
    <x v="2"/>
    <n v="144686"/>
    <x v="1"/>
    <x v="1"/>
    <x v="4"/>
    <n v="139596"/>
    <n v="26"/>
    <x v="662"/>
    <n v="1"/>
    <n v="1"/>
    <n v="0.30380526891888021"/>
    <x v="664"/>
    <n v="1.8625175506461504E-4"/>
    <x v="378"/>
    <n v="3.8461538461538464E-2"/>
    <n v="3.8461538461538463"/>
  </r>
  <r>
    <n v="1121983"/>
    <x v="2"/>
    <n v="144687"/>
    <x v="1"/>
    <x v="1"/>
    <x v="8"/>
    <n v="105399"/>
    <n v="22"/>
    <x v="663"/>
    <n v="2"/>
    <n v="0"/>
    <n v="0.31499349453030856"/>
    <x v="665"/>
    <n v="2.0873063311796126E-4"/>
    <x v="1"/>
    <n v="0"/>
    <n v="9.0909090909090917"/>
  </r>
  <r>
    <n v="1121994"/>
    <x v="2"/>
    <n v="144689"/>
    <x v="1"/>
    <x v="1"/>
    <x v="11"/>
    <n v="222378"/>
    <n v="50"/>
    <x v="664"/>
    <n v="1"/>
    <n v="0"/>
    <n v="0.32786517119499231"/>
    <x v="666"/>
    <n v="2.2484238548777308E-4"/>
    <x v="1"/>
    <n v="0"/>
    <n v="2"/>
  </r>
  <r>
    <n v="1122003"/>
    <x v="2"/>
    <n v="144691"/>
    <x v="1"/>
    <x v="1"/>
    <x v="13"/>
    <n v="975792"/>
    <n v="210"/>
    <x v="665"/>
    <n v="10"/>
    <n v="4"/>
    <n v="0.30117074243281355"/>
    <x v="667"/>
    <n v="2.1520979880958237E-4"/>
    <x v="379"/>
    <n v="1.9047619047619049E-2"/>
    <n v="4.7619047619047619"/>
  </r>
  <r>
    <n v="1122004"/>
    <x v="2"/>
    <n v="144691"/>
    <x v="1"/>
    <x v="1"/>
    <x v="13"/>
    <n v="579150"/>
    <n v="125"/>
    <x v="666"/>
    <n v="5"/>
    <n v="1"/>
    <n v="0.28843995458862126"/>
    <x v="668"/>
    <n v="2.1583354916688251E-4"/>
    <x v="380"/>
    <n v="8.0000000000000002E-3"/>
    <n v="4"/>
  </r>
  <r>
    <n v="1122005"/>
    <x v="2"/>
    <n v="144691"/>
    <x v="1"/>
    <x v="1"/>
    <x v="13"/>
    <n v="449588"/>
    <n v="81"/>
    <x v="667"/>
    <n v="5"/>
    <n v="2"/>
    <n v="0.27536322366255328"/>
    <x v="669"/>
    <n v="1.8016495102182443E-4"/>
    <x v="381"/>
    <n v="2.4691358024691357E-2"/>
    <n v="6.1728395061728394"/>
  </r>
  <r>
    <n v="1122006"/>
    <x v="2"/>
    <n v="144691"/>
    <x v="1"/>
    <x v="1"/>
    <x v="13"/>
    <n v="318157"/>
    <n v="56"/>
    <x v="668"/>
    <n v="3"/>
    <n v="0"/>
    <n v="0.26936387368500453"/>
    <x v="670"/>
    <n v="1.7601372907086752E-4"/>
    <x v="1"/>
    <n v="0"/>
    <n v="5.3571428571428568"/>
  </r>
  <r>
    <n v="1122007"/>
    <x v="2"/>
    <n v="144691"/>
    <x v="1"/>
    <x v="1"/>
    <x v="13"/>
    <n v="196967"/>
    <n v="43"/>
    <x v="669"/>
    <n v="2"/>
    <n v="1"/>
    <n v="0.33091837571775984"/>
    <x v="671"/>
    <n v="2.1831068148471571E-4"/>
    <x v="382"/>
    <n v="2.3255813953488372E-2"/>
    <n v="4.6511627906976747"/>
  </r>
  <r>
    <n v="1122011"/>
    <x v="2"/>
    <n v="144692"/>
    <x v="1"/>
    <x v="1"/>
    <x v="21"/>
    <n v="158298"/>
    <n v="37"/>
    <x v="670"/>
    <n v="4"/>
    <n v="1"/>
    <n v="0.29330755960277455"/>
    <x v="672"/>
    <n v="2.3373637064271185E-4"/>
    <x v="383"/>
    <n v="2.7027027027027029E-2"/>
    <n v="10.810810810810811"/>
  </r>
  <r>
    <n v="1122012"/>
    <x v="2"/>
    <n v="144692"/>
    <x v="1"/>
    <x v="1"/>
    <x v="21"/>
    <n v="222739"/>
    <n v="55"/>
    <x v="671"/>
    <n v="5"/>
    <n v="2"/>
    <n v="0.3078041994890881"/>
    <x v="673"/>
    <n v="2.4692577411230182E-4"/>
    <x v="384"/>
    <n v="3.6363636363636362E-2"/>
    <n v="9.0909090909090917"/>
  </r>
  <r>
    <n v="1122022"/>
    <x v="2"/>
    <n v="144694"/>
    <x v="1"/>
    <x v="1"/>
    <x v="23"/>
    <n v="20780"/>
    <n v="5"/>
    <x v="672"/>
    <n v="1"/>
    <n v="0"/>
    <n v="0.39412896717998075"/>
    <x v="674"/>
    <n v="2.4061597690086623E-4"/>
    <x v="1"/>
    <n v="0"/>
    <n v="20"/>
  </r>
  <r>
    <n v="1122027"/>
    <x v="2"/>
    <n v="144695"/>
    <x v="1"/>
    <x v="1"/>
    <x v="7"/>
    <n v="128616"/>
    <n v="33"/>
    <x v="673"/>
    <n v="2"/>
    <n v="0"/>
    <n v="0.3774802472476208"/>
    <x v="675"/>
    <n v="2.5657771972382906E-4"/>
    <x v="1"/>
    <n v="0"/>
    <n v="6.0606060606060606"/>
  </r>
  <r>
    <n v="1122039"/>
    <x v="2"/>
    <n v="144697"/>
    <x v="2"/>
    <x v="1"/>
    <x v="16"/>
    <n v="258954"/>
    <n v="61"/>
    <x v="674"/>
    <n v="1"/>
    <n v="0"/>
    <n v="0.31773982645566401"/>
    <x v="676"/>
    <n v="2.3556307297821233E-4"/>
    <x v="1"/>
    <n v="0"/>
    <n v="1.639344262295082"/>
  </r>
  <r>
    <n v="1122040"/>
    <x v="2"/>
    <n v="144697"/>
    <x v="2"/>
    <x v="1"/>
    <x v="16"/>
    <n v="205289"/>
    <n v="48"/>
    <x v="675"/>
    <n v="3"/>
    <n v="0"/>
    <n v="0.34843562509437914"/>
    <x v="677"/>
    <n v="2.3381671692102352E-4"/>
    <x v="1"/>
    <n v="0"/>
    <n v="6.25"/>
  </r>
  <r>
    <n v="1122041"/>
    <x v="2"/>
    <n v="144697"/>
    <x v="2"/>
    <x v="1"/>
    <x v="16"/>
    <n v="611601"/>
    <n v="138"/>
    <x v="676"/>
    <n v="8"/>
    <n v="3"/>
    <n v="0.31298182311670514"/>
    <x v="678"/>
    <n v="2.2563730275130354E-4"/>
    <x v="385"/>
    <n v="2.1739130434782608E-2"/>
    <n v="5.7971014492753623"/>
  </r>
  <r>
    <n v="1122043"/>
    <x v="2"/>
    <n v="144697"/>
    <x v="2"/>
    <x v="1"/>
    <x v="16"/>
    <n v="947657"/>
    <n v="233"/>
    <x v="677"/>
    <n v="8"/>
    <n v="4"/>
    <n v="0.33964820647132876"/>
    <x v="679"/>
    <n v="2.4586954984767695E-4"/>
    <x v="386"/>
    <n v="1.7167381974248927E-2"/>
    <n v="3.4334763948497855"/>
  </r>
  <r>
    <n v="1122044"/>
    <x v="2"/>
    <n v="144697"/>
    <x v="2"/>
    <x v="1"/>
    <x v="16"/>
    <n v="233043"/>
    <n v="49"/>
    <x v="678"/>
    <n v="2"/>
    <n v="0"/>
    <n v="0.27904721587861464"/>
    <x v="680"/>
    <n v="2.1026162553691808E-4"/>
    <x v="1"/>
    <n v="0"/>
    <n v="4.0816326530612246"/>
  </r>
  <r>
    <n v="1122047"/>
    <x v="2"/>
    <n v="144698"/>
    <x v="2"/>
    <x v="1"/>
    <x v="0"/>
    <n v="582725"/>
    <n v="142"/>
    <x v="679"/>
    <n v="9"/>
    <n v="2"/>
    <n v="0.33430863408983652"/>
    <x v="681"/>
    <n v="2.4368269767042773E-4"/>
    <x v="387"/>
    <n v="1.4084507042253521E-2"/>
    <n v="6.3380281690140841"/>
  </r>
  <r>
    <n v="1122052"/>
    <x v="2"/>
    <n v="144699"/>
    <x v="2"/>
    <x v="1"/>
    <x v="1"/>
    <n v="265038"/>
    <n v="51"/>
    <x v="680"/>
    <n v="2"/>
    <n v="1"/>
    <n v="0.29603301911424024"/>
    <x v="682"/>
    <n v="1.9242523713580695E-4"/>
    <x v="388"/>
    <n v="1.9607843137254902E-2"/>
    <n v="3.9215686274509802"/>
  </r>
  <r>
    <n v="1122054"/>
    <x v="2"/>
    <n v="144699"/>
    <x v="2"/>
    <x v="1"/>
    <x v="1"/>
    <n v="222273"/>
    <n v="39"/>
    <x v="681"/>
    <n v="6"/>
    <n v="1"/>
    <n v="0.24127986161162174"/>
    <x v="683"/>
    <n v="1.7545990741115654E-4"/>
    <x v="389"/>
    <n v="2.564102564102564E-2"/>
    <n v="15.384615384615385"/>
  </r>
  <r>
    <n v="1122055"/>
    <x v="2"/>
    <n v="144699"/>
    <x v="2"/>
    <x v="1"/>
    <x v="1"/>
    <n v="797234"/>
    <n v="170"/>
    <x v="682"/>
    <n v="4"/>
    <n v="1"/>
    <n v="0.30576969597382953"/>
    <x v="684"/>
    <n v="2.1323726785360384E-4"/>
    <x v="390"/>
    <n v="5.8823529411764705E-3"/>
    <n v="2.3529411764705883"/>
  </r>
  <r>
    <n v="1122056"/>
    <x v="2"/>
    <n v="144699"/>
    <x v="2"/>
    <x v="1"/>
    <x v="1"/>
    <n v="925555"/>
    <n v="182"/>
    <x v="683"/>
    <n v="4"/>
    <n v="2"/>
    <n v="0.2840349823619342"/>
    <x v="685"/>
    <n v="1.9663877349266115E-4"/>
    <x v="391"/>
    <n v="1.098901098901099E-2"/>
    <n v="2.197802197802198"/>
  </r>
  <r>
    <n v="1122058"/>
    <x v="2"/>
    <n v="144700"/>
    <x v="2"/>
    <x v="1"/>
    <x v="12"/>
    <n v="22210"/>
    <n v="3"/>
    <x v="684"/>
    <n v="1"/>
    <n v="1"/>
    <n v="0.18235030126069335"/>
    <x v="686"/>
    <n v="1.3507429085997299E-4"/>
    <x v="392"/>
    <n v="0.33333333333333331"/>
    <n v="33.333333333333329"/>
  </r>
  <r>
    <n v="1122075"/>
    <x v="2"/>
    <n v="144703"/>
    <x v="2"/>
    <x v="1"/>
    <x v="10"/>
    <n v="46391"/>
    <n v="11"/>
    <x v="685"/>
    <n v="3"/>
    <n v="1"/>
    <n v="0.35373240175896181"/>
    <x v="687"/>
    <n v="2.3711495764264619E-4"/>
    <x v="393"/>
    <n v="9.0909090909090912E-2"/>
    <n v="27.27272727272727"/>
  </r>
  <r>
    <n v="1122078"/>
    <x v="2"/>
    <n v="144703"/>
    <x v="2"/>
    <x v="1"/>
    <x v="10"/>
    <n v="190477"/>
    <n v="42"/>
    <x v="686"/>
    <n v="1"/>
    <n v="0"/>
    <n v="0.34854601799692347"/>
    <x v="688"/>
    <n v="2.2049906287898276E-4"/>
    <x v="1"/>
    <n v="0"/>
    <n v="2.3809523809523809"/>
  </r>
  <r>
    <n v="1122079"/>
    <x v="2"/>
    <n v="144703"/>
    <x v="2"/>
    <x v="1"/>
    <x v="10"/>
    <n v="25382"/>
    <n v="7"/>
    <x v="687"/>
    <n v="1"/>
    <n v="0"/>
    <n v="0.37861476223307855"/>
    <x v="689"/>
    <n v="2.7578599007170438E-4"/>
    <x v="1"/>
    <n v="0"/>
    <n v="14.285714285714285"/>
  </r>
  <r>
    <n v="1122085"/>
    <x v="2"/>
    <n v="144704"/>
    <x v="2"/>
    <x v="1"/>
    <x v="22"/>
    <n v="65726"/>
    <n v="17"/>
    <x v="688"/>
    <n v="2"/>
    <n v="0"/>
    <n v="0.33654870401363235"/>
    <x v="690"/>
    <n v="2.5864954508109426E-4"/>
    <x v="1"/>
    <n v="0"/>
    <n v="11.76470588235294"/>
  </r>
  <r>
    <n v="1122089"/>
    <x v="2"/>
    <n v="144705"/>
    <x v="2"/>
    <x v="1"/>
    <x v="20"/>
    <n v="195220"/>
    <n v="51"/>
    <x v="689"/>
    <n v="1"/>
    <n v="0"/>
    <n v="0.39985657422395243"/>
    <x v="691"/>
    <n v="2.6124372502817333E-4"/>
    <x v="1"/>
    <n v="0"/>
    <n v="1.9607843137254901"/>
  </r>
  <r>
    <n v="1122092"/>
    <x v="2"/>
    <n v="144705"/>
    <x v="2"/>
    <x v="1"/>
    <x v="20"/>
    <n v="107501"/>
    <n v="27"/>
    <x v="690"/>
    <n v="2"/>
    <n v="2"/>
    <n v="0.38027552562301747"/>
    <x v="692"/>
    <n v="2.5116045432135517E-4"/>
    <x v="394"/>
    <n v="7.407407407407407E-2"/>
    <n v="7.4074074074074066"/>
  </r>
  <r>
    <n v="1122101"/>
    <x v="2"/>
    <n v="144707"/>
    <x v="2"/>
    <x v="1"/>
    <x v="15"/>
    <n v="197772"/>
    <n v="63"/>
    <x v="691"/>
    <n v="7"/>
    <n v="2"/>
    <n v="0.44601864854478901"/>
    <x v="693"/>
    <n v="3.1854863175778171E-4"/>
    <x v="395"/>
    <n v="3.1746031746031744E-2"/>
    <n v="11.111111111111111"/>
  </r>
  <r>
    <n v="1122102"/>
    <x v="2"/>
    <n v="144707"/>
    <x v="2"/>
    <x v="1"/>
    <x v="15"/>
    <n v="138154"/>
    <n v="35"/>
    <x v="692"/>
    <n v="1"/>
    <n v="0"/>
    <n v="0.35424235729692949"/>
    <x v="694"/>
    <n v="2.5334047512196533E-4"/>
    <x v="1"/>
    <n v="0"/>
    <n v="2.8571428571428572"/>
  </r>
  <r>
    <n v="1122103"/>
    <x v="2"/>
    <n v="144707"/>
    <x v="2"/>
    <x v="1"/>
    <x v="15"/>
    <n v="270124"/>
    <n v="69"/>
    <x v="693"/>
    <n v="2"/>
    <n v="0"/>
    <n v="0.35483703391775628"/>
    <x v="695"/>
    <n v="2.5543824317720751E-4"/>
    <x v="1"/>
    <n v="0"/>
    <n v="2.8985507246376812"/>
  </r>
  <r>
    <n v="1122105"/>
    <x v="2"/>
    <n v="144708"/>
    <x v="2"/>
    <x v="1"/>
    <x v="18"/>
    <n v="303971"/>
    <n v="77"/>
    <x v="694"/>
    <n v="11"/>
    <n v="6"/>
    <n v="0.35177697806698666"/>
    <x v="696"/>
    <n v="2.5331363847209108E-4"/>
    <x v="396"/>
    <n v="7.792207792207792E-2"/>
    <n v="14.285714285714285"/>
  </r>
  <r>
    <n v="1122107"/>
    <x v="2"/>
    <n v="144708"/>
    <x v="2"/>
    <x v="1"/>
    <x v="18"/>
    <n v="682046"/>
    <n v="183"/>
    <x v="695"/>
    <n v="4"/>
    <n v="2"/>
    <n v="0.37302468895059865"/>
    <x v="697"/>
    <n v="2.6831034856886486E-4"/>
    <x v="397"/>
    <n v="1.092896174863388E-2"/>
    <n v="2.1857923497267762"/>
  </r>
  <r>
    <n v="1122109"/>
    <x v="2"/>
    <n v="144708"/>
    <x v="2"/>
    <x v="1"/>
    <x v="18"/>
    <n v="328365"/>
    <n v="83"/>
    <x v="696"/>
    <n v="2"/>
    <n v="1"/>
    <n v="0.3573462473162487"/>
    <x v="698"/>
    <n v="2.5276749958125867E-4"/>
    <x v="398"/>
    <n v="1.2048192771084338E-2"/>
    <n v="2.4096385542168677"/>
  </r>
  <r>
    <n v="1122112"/>
    <x v="2"/>
    <n v="144709"/>
    <x v="2"/>
    <x v="1"/>
    <x v="5"/>
    <n v="1083259"/>
    <n v="276"/>
    <x v="697"/>
    <n v="11"/>
    <n v="0"/>
    <n v="0.36026471896379353"/>
    <x v="699"/>
    <n v="2.5478671305754211E-4"/>
    <x v="1"/>
    <n v="0"/>
    <n v="3.9855072463768111"/>
  </r>
  <r>
    <n v="1122113"/>
    <x v="2"/>
    <n v="144709"/>
    <x v="2"/>
    <x v="1"/>
    <x v="5"/>
    <n v="913929"/>
    <n v="245"/>
    <x v="698"/>
    <n v="7"/>
    <n v="2"/>
    <n v="0.37246875774814014"/>
    <x v="700"/>
    <n v="2.6807334048925026E-4"/>
    <x v="399"/>
    <n v="8.1632653061224497E-3"/>
    <n v="2.8571428571428572"/>
  </r>
  <r>
    <n v="1122118"/>
    <x v="2"/>
    <n v="144710"/>
    <x v="2"/>
    <x v="1"/>
    <x v="3"/>
    <n v="101586"/>
    <n v="24"/>
    <x v="699"/>
    <n v="2"/>
    <n v="1"/>
    <n v="0.3294745377315772"/>
    <x v="701"/>
    <n v="2.3625302699190835E-4"/>
    <x v="400"/>
    <n v="4.1666666666666664E-2"/>
    <n v="8.3333333333333321"/>
  </r>
  <r>
    <n v="1122120"/>
    <x v="2"/>
    <n v="144710"/>
    <x v="2"/>
    <x v="1"/>
    <x v="3"/>
    <n v="181053"/>
    <n v="46"/>
    <x v="700"/>
    <n v="3"/>
    <n v="1"/>
    <n v="0.36608064958879438"/>
    <x v="702"/>
    <n v="2.5406925044047874E-4"/>
    <x v="401"/>
    <n v="2.1739130434782608E-2"/>
    <n v="6.5217391304347823"/>
  </r>
  <r>
    <n v="1122121"/>
    <x v="2"/>
    <n v="144710"/>
    <x v="2"/>
    <x v="1"/>
    <x v="3"/>
    <n v="133419"/>
    <n v="35"/>
    <x v="701"/>
    <n v="2"/>
    <n v="1"/>
    <n v="0.36111798222142272"/>
    <x v="703"/>
    <n v="2.6233145204206299E-4"/>
    <x v="402"/>
    <n v="2.8571428571428571E-2"/>
    <n v="5.7142857142857144"/>
  </r>
  <r>
    <n v="1122125"/>
    <x v="2"/>
    <n v="144711"/>
    <x v="2"/>
    <x v="1"/>
    <x v="4"/>
    <n v="489573"/>
    <n v="113"/>
    <x v="702"/>
    <n v="3"/>
    <n v="2"/>
    <n v="0.31889013344281647"/>
    <x v="704"/>
    <n v="2.3081338227394076E-4"/>
    <x v="403"/>
    <n v="1.7699115044247787E-2"/>
    <n v="2.6548672566371683"/>
  </r>
  <r>
    <n v="1122127"/>
    <x v="2"/>
    <n v="144711"/>
    <x v="2"/>
    <x v="1"/>
    <x v="4"/>
    <n v="822023"/>
    <n v="194"/>
    <x v="703"/>
    <n v="6"/>
    <n v="0"/>
    <n v="0.35075661325777985"/>
    <x v="705"/>
    <n v="2.3600312886622394E-4"/>
    <x v="1"/>
    <n v="0"/>
    <n v="3.0927835051546393"/>
  </r>
  <r>
    <n v="1122131"/>
    <x v="2"/>
    <n v="144712"/>
    <x v="2"/>
    <x v="1"/>
    <x v="8"/>
    <n v="93176"/>
    <n v="29"/>
    <x v="704"/>
    <n v="1"/>
    <n v="1"/>
    <n v="0.43326607967717012"/>
    <x v="706"/>
    <n v="3.1123894565124067E-4"/>
    <x v="404"/>
    <n v="3.4482758620689655E-2"/>
    <n v="3.4482758620689653"/>
  </r>
  <r>
    <n v="1122138"/>
    <x v="2"/>
    <n v="144713"/>
    <x v="2"/>
    <x v="1"/>
    <x v="6"/>
    <n v="47229"/>
    <n v="13"/>
    <x v="705"/>
    <n v="1"/>
    <n v="0"/>
    <n v="0.40822375764890217"/>
    <x v="707"/>
    <n v="2.7525461051472613E-4"/>
    <x v="1"/>
    <n v="0"/>
    <n v="7.6923076923076925"/>
  </r>
  <r>
    <n v="1122139"/>
    <x v="2"/>
    <n v="144713"/>
    <x v="2"/>
    <x v="1"/>
    <x v="6"/>
    <n v="92263"/>
    <n v="24"/>
    <x v="706"/>
    <n v="1"/>
    <n v="0"/>
    <n v="0.36883691349728492"/>
    <x v="708"/>
    <n v="2.6012594431137074E-4"/>
    <x v="1"/>
    <n v="0"/>
    <n v="4.1666666666666661"/>
  </r>
  <r>
    <n v="1122140"/>
    <x v="2"/>
    <n v="144713"/>
    <x v="2"/>
    <x v="1"/>
    <x v="6"/>
    <n v="81551"/>
    <n v="21"/>
    <x v="707"/>
    <n v="1"/>
    <n v="0"/>
    <n v="0.36382141334870205"/>
    <x v="709"/>
    <n v="2.5750757194884183E-4"/>
    <x v="1"/>
    <n v="0"/>
    <n v="4.7619047619047619"/>
  </r>
  <r>
    <n v="1122145"/>
    <x v="2"/>
    <n v="144714"/>
    <x v="2"/>
    <x v="1"/>
    <x v="11"/>
    <n v="141037"/>
    <n v="32"/>
    <x v="708"/>
    <n v="3"/>
    <n v="0"/>
    <n v="0.33884724667994925"/>
    <x v="710"/>
    <n v="2.2689081588519325E-4"/>
    <x v="1"/>
    <n v="0"/>
    <n v="9.375"/>
  </r>
  <r>
    <n v="1122146"/>
    <x v="2"/>
    <n v="144714"/>
    <x v="2"/>
    <x v="1"/>
    <x v="11"/>
    <n v="319501"/>
    <n v="79"/>
    <x v="709"/>
    <n v="0"/>
    <n v="0"/>
    <n v="0.34945117636564521"/>
    <x v="711"/>
    <n v="2.4726057195439136E-4"/>
    <x v="1"/>
    <n v="0"/>
    <n v="0"/>
  </r>
  <r>
    <n v="1122149"/>
    <x v="2"/>
    <n v="144715"/>
    <x v="2"/>
    <x v="1"/>
    <x v="19"/>
    <n v="72741"/>
    <n v="19"/>
    <x v="710"/>
    <n v="2"/>
    <n v="0"/>
    <n v="0.33447437016263182"/>
    <x v="712"/>
    <n v="2.6120069836818301E-4"/>
    <x v="1"/>
    <n v="0"/>
    <n v="10.526315789473683"/>
  </r>
  <r>
    <n v="1122154"/>
    <x v="2"/>
    <n v="144716"/>
    <x v="2"/>
    <x v="1"/>
    <x v="13"/>
    <n v="597419"/>
    <n v="135"/>
    <x v="711"/>
    <n v="2"/>
    <n v="1"/>
    <n v="0.3155406845112057"/>
    <x v="713"/>
    <n v="2.2597205646288451E-4"/>
    <x v="405"/>
    <n v="7.4074074074074077E-3"/>
    <n v="1.4814814814814816"/>
  </r>
  <r>
    <n v="1122157"/>
    <x v="2"/>
    <n v="144716"/>
    <x v="2"/>
    <x v="1"/>
    <x v="13"/>
    <n v="98768"/>
    <n v="21"/>
    <x v="712"/>
    <n v="1"/>
    <n v="1"/>
    <n v="0.3355337795642313"/>
    <x v="714"/>
    <n v="2.1261947189373076E-4"/>
    <x v="406"/>
    <n v="4.7619047619047616E-2"/>
    <n v="4.7619047619047619"/>
  </r>
  <r>
    <n v="1122160"/>
    <x v="2"/>
    <n v="144717"/>
    <x v="2"/>
    <x v="1"/>
    <x v="21"/>
    <n v="173165"/>
    <n v="41"/>
    <x v="713"/>
    <n v="1"/>
    <n v="0"/>
    <n v="0.34562411722923225"/>
    <x v="715"/>
    <n v="2.3676840008084776E-4"/>
    <x v="1"/>
    <n v="0"/>
    <n v="2.4390243902439024"/>
  </r>
  <r>
    <n v="1122165"/>
    <x v="2"/>
    <n v="144718"/>
    <x v="2"/>
    <x v="1"/>
    <x v="14"/>
    <n v="55823"/>
    <n v="13"/>
    <x v="714"/>
    <n v="1"/>
    <n v="1"/>
    <n v="0.37815953388388301"/>
    <x v="716"/>
    <n v="2.328789208749082E-4"/>
    <x v="407"/>
    <n v="7.6923076923076927E-2"/>
    <n v="7.6923076923076925"/>
  </r>
  <r>
    <n v="1122166"/>
    <x v="2"/>
    <n v="144718"/>
    <x v="2"/>
    <x v="1"/>
    <x v="14"/>
    <n v="118451"/>
    <n v="28"/>
    <x v="715"/>
    <n v="4"/>
    <n v="1"/>
    <n v="0.32376257372246753"/>
    <x v="717"/>
    <n v="2.3638466538906383E-4"/>
    <x v="408"/>
    <n v="3.5714285714285712E-2"/>
    <n v="14.285714285714285"/>
  </r>
  <r>
    <n v="1122176"/>
    <x v="2"/>
    <n v="144719"/>
    <x v="2"/>
    <x v="1"/>
    <x v="23"/>
    <n v="74424"/>
    <n v="22"/>
    <x v="716"/>
    <n v="1"/>
    <n v="1"/>
    <n v="0.41438246089970976"/>
    <x v="718"/>
    <n v="2.9560356874126624E-4"/>
    <x v="409"/>
    <n v="4.5454545454545456E-2"/>
    <n v="4.5454545454545459"/>
  </r>
  <r>
    <n v="1122177"/>
    <x v="2"/>
    <n v="144720"/>
    <x v="2"/>
    <x v="1"/>
    <x v="7"/>
    <n v="47929"/>
    <n v="12"/>
    <x v="717"/>
    <n v="1"/>
    <n v="1"/>
    <n v="0.30440860251622193"/>
    <x v="719"/>
    <n v="2.5037033946045191E-4"/>
    <x v="410"/>
    <n v="8.3333333333333329E-2"/>
    <n v="8.3333333333333321"/>
  </r>
  <r>
    <n v="1122182"/>
    <x v="2"/>
    <n v="144720"/>
    <x v="2"/>
    <x v="1"/>
    <x v="7"/>
    <n v="40801"/>
    <n v="12"/>
    <x v="718"/>
    <n v="0"/>
    <n v="0"/>
    <n v="0.39018650817381928"/>
    <x v="720"/>
    <n v="2.9411043846964535E-4"/>
    <x v="1"/>
    <n v="0"/>
    <n v="0"/>
  </r>
  <r>
    <n v="1122183"/>
    <x v="2"/>
    <n v="144721"/>
    <x v="2"/>
    <x v="1"/>
    <x v="24"/>
    <n v="66017"/>
    <n v="17"/>
    <x v="719"/>
    <n v="1"/>
    <n v="0"/>
    <n v="0.36687520108456917"/>
    <x v="721"/>
    <n v="2.5750942938939969E-4"/>
    <x v="1"/>
    <n v="0"/>
    <n v="5.8823529411764701"/>
  </r>
  <r>
    <n v="1122189"/>
    <x v="2"/>
    <n v="144722"/>
    <x v="3"/>
    <x v="1"/>
    <x v="16"/>
    <n v="725043"/>
    <n v="179"/>
    <x v="720"/>
    <n v="5"/>
    <n v="3"/>
    <n v="0.32880808545148354"/>
    <x v="722"/>
    <n v="2.4688190907297912E-4"/>
    <x v="411"/>
    <n v="1.6759776536312849E-2"/>
    <n v="2.7932960893854748"/>
  </r>
  <r>
    <n v="1122191"/>
    <x v="2"/>
    <n v="144722"/>
    <x v="3"/>
    <x v="1"/>
    <x v="16"/>
    <n v="382776"/>
    <n v="97"/>
    <x v="721"/>
    <n v="5"/>
    <n v="1"/>
    <n v="0.34675632928919264"/>
    <x v="723"/>
    <n v="2.5341191715259057E-4"/>
    <x v="412"/>
    <n v="1.0309278350515464E-2"/>
    <n v="5.1546391752577314"/>
  </r>
  <r>
    <n v="1122192"/>
    <x v="2"/>
    <n v="144722"/>
    <x v="3"/>
    <x v="1"/>
    <x v="16"/>
    <n v="548250"/>
    <n v="137"/>
    <x v="722"/>
    <n v="5"/>
    <n v="1"/>
    <n v="0.36771546593707249"/>
    <x v="724"/>
    <n v="2.498860009119927E-4"/>
    <x v="413"/>
    <n v="7.2992700729927005E-3"/>
    <n v="3.6496350364963499"/>
  </r>
  <r>
    <n v="1122193"/>
    <x v="2"/>
    <n v="144722"/>
    <x v="3"/>
    <x v="1"/>
    <x v="16"/>
    <n v="1358324"/>
    <n v="346"/>
    <x v="723"/>
    <n v="8"/>
    <n v="2"/>
    <n v="0.34239253528613206"/>
    <x v="725"/>
    <n v="2.5472567664268613E-4"/>
    <x v="414"/>
    <n v="5.7803468208092483E-3"/>
    <n v="2.3121387283236992"/>
  </r>
  <r>
    <n v="1122197"/>
    <x v="2"/>
    <n v="144723"/>
    <x v="3"/>
    <x v="1"/>
    <x v="0"/>
    <n v="662249"/>
    <n v="163"/>
    <x v="724"/>
    <n v="2"/>
    <n v="0"/>
    <n v="0.35476082138289372"/>
    <x v="726"/>
    <n v="2.4613098698525779E-4"/>
    <x v="1"/>
    <n v="0"/>
    <n v="1.2269938650306749"/>
  </r>
  <r>
    <n v="1122200"/>
    <x v="2"/>
    <n v="144723"/>
    <x v="3"/>
    <x v="1"/>
    <x v="0"/>
    <n v="559554"/>
    <n v="139"/>
    <x v="725"/>
    <n v="2"/>
    <n v="0"/>
    <n v="0.34863480450501649"/>
    <x v="727"/>
    <n v="2.4841212823069803E-4"/>
    <x v="1"/>
    <n v="0"/>
    <n v="1.4388489208633095"/>
  </r>
  <r>
    <n v="1122201"/>
    <x v="2"/>
    <n v="144724"/>
    <x v="3"/>
    <x v="1"/>
    <x v="1"/>
    <n v="320757"/>
    <n v="68"/>
    <x v="726"/>
    <n v="2"/>
    <n v="0"/>
    <n v="0.32638414407168048"/>
    <x v="728"/>
    <n v="2.1199849106956357E-4"/>
    <x v="1"/>
    <n v="0"/>
    <n v="2.9411764705882351"/>
  </r>
  <r>
    <n v="1122202"/>
    <x v="2"/>
    <n v="144724"/>
    <x v="3"/>
    <x v="1"/>
    <x v="1"/>
    <n v="906151"/>
    <n v="202"/>
    <x v="727"/>
    <n v="1"/>
    <n v="0"/>
    <n v="0.32615976332862845"/>
    <x v="729"/>
    <n v="2.2292090391115829E-4"/>
    <x v="1"/>
    <n v="0"/>
    <n v="0.49504950495049505"/>
  </r>
  <r>
    <n v="1122203"/>
    <x v="2"/>
    <n v="144724"/>
    <x v="3"/>
    <x v="1"/>
    <x v="1"/>
    <n v="699314"/>
    <n v="164"/>
    <x v="728"/>
    <n v="3"/>
    <n v="0"/>
    <n v="0.32321675441933095"/>
    <x v="730"/>
    <n v="2.3451553951443844E-4"/>
    <x v="1"/>
    <n v="0"/>
    <n v="1.8292682926829267"/>
  </r>
  <r>
    <n v="1122204"/>
    <x v="2"/>
    <n v="144724"/>
    <x v="3"/>
    <x v="1"/>
    <x v="1"/>
    <n v="850337"/>
    <n v="198"/>
    <x v="729"/>
    <n v="3"/>
    <n v="1"/>
    <n v="0.33832469126946141"/>
    <x v="731"/>
    <n v="2.3284885874659105E-4"/>
    <x v="415"/>
    <n v="5.0505050505050509E-3"/>
    <n v="1.5151515151515151"/>
  </r>
  <r>
    <n v="1122205"/>
    <x v="2"/>
    <n v="144724"/>
    <x v="3"/>
    <x v="1"/>
    <x v="1"/>
    <n v="1015460"/>
    <n v="247"/>
    <x v="730"/>
    <n v="9"/>
    <n v="2"/>
    <n v="0.31109054527012392"/>
    <x v="732"/>
    <n v="2.4323951706615722E-4"/>
    <x v="416"/>
    <n v="8.0971659919028341E-3"/>
    <n v="3.6437246963562751"/>
  </r>
  <r>
    <n v="1122209"/>
    <x v="2"/>
    <n v="144725"/>
    <x v="3"/>
    <x v="1"/>
    <x v="12"/>
    <n v="890295"/>
    <n v="227"/>
    <x v="731"/>
    <n v="1"/>
    <n v="0"/>
    <n v="0.37402209256482405"/>
    <x v="733"/>
    <n v="2.5497166669474726E-4"/>
    <x v="1"/>
    <n v="0"/>
    <n v="0.44052863436123352"/>
  </r>
  <r>
    <n v="1122210"/>
    <x v="2"/>
    <n v="144725"/>
    <x v="3"/>
    <x v="1"/>
    <x v="12"/>
    <n v="791817"/>
    <n v="194"/>
    <x v="732"/>
    <n v="4"/>
    <n v="2"/>
    <n v="0.35676172777295767"/>
    <x v="734"/>
    <n v="2.4500610620888411E-4"/>
    <x v="417"/>
    <n v="1.0309278350515464E-2"/>
    <n v="2.0618556701030926"/>
  </r>
  <r>
    <n v="1122211"/>
    <x v="2"/>
    <n v="144725"/>
    <x v="3"/>
    <x v="1"/>
    <x v="12"/>
    <n v="317601"/>
    <n v="76"/>
    <x v="733"/>
    <n v="1"/>
    <n v="0"/>
    <n v="0.36416762163847094"/>
    <x v="735"/>
    <n v="2.3929395688300731E-4"/>
    <x v="1"/>
    <n v="0"/>
    <n v="1.3157894736842104"/>
  </r>
  <r>
    <n v="1122212"/>
    <x v="2"/>
    <n v="144725"/>
    <x v="3"/>
    <x v="1"/>
    <x v="12"/>
    <n v="685211"/>
    <n v="164"/>
    <x v="734"/>
    <n v="4"/>
    <n v="3"/>
    <n v="0.36093991865279457"/>
    <x v="736"/>
    <n v="2.3934233396720133E-4"/>
    <x v="418"/>
    <n v="1.8292682926829267E-2"/>
    <n v="2.4390243902439024"/>
  </r>
  <r>
    <n v="1122213"/>
    <x v="2"/>
    <n v="144726"/>
    <x v="3"/>
    <x v="1"/>
    <x v="17"/>
    <n v="32781"/>
    <n v="7"/>
    <x v="735"/>
    <n v="2"/>
    <n v="2"/>
    <n v="0.34166133339434424"/>
    <x v="737"/>
    <n v="2.1353833013025838E-4"/>
    <x v="419"/>
    <n v="0.2857142857142857"/>
    <n v="28.571428571428569"/>
  </r>
  <r>
    <n v="1122216"/>
    <x v="2"/>
    <n v="144726"/>
    <x v="3"/>
    <x v="1"/>
    <x v="17"/>
    <n v="76785"/>
    <n v="19"/>
    <x v="736"/>
    <n v="3"/>
    <n v="0"/>
    <n v="0.33157517718304352"/>
    <x v="738"/>
    <n v="2.4744416227127697E-4"/>
    <x v="1"/>
    <n v="0"/>
    <n v="15.789473684210526"/>
  </r>
  <r>
    <n v="1122217"/>
    <x v="2"/>
    <n v="144726"/>
    <x v="3"/>
    <x v="1"/>
    <x v="17"/>
    <n v="719083"/>
    <n v="206"/>
    <x v="737"/>
    <n v="12"/>
    <n v="5"/>
    <n v="0.41654440210657179"/>
    <x v="739"/>
    <n v="2.8647597008968367E-4"/>
    <x v="420"/>
    <n v="2.4271844660194174E-2"/>
    <n v="5.825242718446602"/>
  </r>
  <r>
    <n v="1122223"/>
    <x v="2"/>
    <n v="144727"/>
    <x v="3"/>
    <x v="1"/>
    <x v="2"/>
    <n v="368480"/>
    <n v="107"/>
    <x v="738"/>
    <n v="5"/>
    <n v="4"/>
    <n v="0.38107903034085977"/>
    <x v="740"/>
    <n v="2.9038211029092488E-4"/>
    <x v="421"/>
    <n v="3.7383177570093455E-2"/>
    <n v="4.6728971962616823"/>
  </r>
  <r>
    <n v="1122224"/>
    <x v="2"/>
    <n v="144727"/>
    <x v="3"/>
    <x v="1"/>
    <x v="2"/>
    <n v="260945"/>
    <n v="73"/>
    <x v="739"/>
    <n v="2"/>
    <n v="2"/>
    <n v="0.38659488053037999"/>
    <x v="741"/>
    <n v="2.7975243825327175E-4"/>
    <x v="422"/>
    <n v="2.7397260273972601E-2"/>
    <n v="2.7397260273972601"/>
  </r>
  <r>
    <n v="1122225"/>
    <x v="2"/>
    <n v="144728"/>
    <x v="3"/>
    <x v="1"/>
    <x v="10"/>
    <n v="40998"/>
    <n v="10"/>
    <x v="740"/>
    <n v="1"/>
    <n v="0"/>
    <n v="0.32562564954388024"/>
    <x v="742"/>
    <n v="2.4391433728474559E-4"/>
    <x v="1"/>
    <n v="0"/>
    <n v="10"/>
  </r>
  <r>
    <n v="1122227"/>
    <x v="2"/>
    <n v="144728"/>
    <x v="3"/>
    <x v="1"/>
    <x v="10"/>
    <n v="183293"/>
    <n v="53"/>
    <x v="741"/>
    <n v="2"/>
    <n v="1"/>
    <n v="0.40236124478294316"/>
    <x v="743"/>
    <n v="2.8915452308598801E-4"/>
    <x v="423"/>
    <n v="1.8867924528301886E-2"/>
    <n v="3.7735849056603774"/>
  </r>
  <r>
    <n v="1122232"/>
    <x v="2"/>
    <n v="144729"/>
    <x v="3"/>
    <x v="1"/>
    <x v="22"/>
    <n v="221561"/>
    <n v="55"/>
    <x v="742"/>
    <n v="1"/>
    <n v="0"/>
    <n v="0.34645086075618003"/>
    <x v="744"/>
    <n v="2.4823863405563256E-4"/>
    <x v="1"/>
    <n v="0"/>
    <n v="1.8181818181818181"/>
  </r>
  <r>
    <n v="1122233"/>
    <x v="2"/>
    <n v="144729"/>
    <x v="3"/>
    <x v="1"/>
    <x v="22"/>
    <n v="436943"/>
    <n v="109"/>
    <x v="743"/>
    <n v="1"/>
    <n v="1"/>
    <n v="0.33372773428113051"/>
    <x v="745"/>
    <n v="2.4946045594047734E-4"/>
    <x v="424"/>
    <n v="9.1743119266055051E-3"/>
    <n v="0.91743119266055051"/>
  </r>
  <r>
    <n v="1122240"/>
    <x v="2"/>
    <n v="144730"/>
    <x v="3"/>
    <x v="1"/>
    <x v="20"/>
    <n v="284488"/>
    <n v="90"/>
    <x v="744"/>
    <n v="1"/>
    <n v="1"/>
    <n v="0.44033492133235852"/>
    <x v="746"/>
    <n v="3.163578077106943E-4"/>
    <x v="425"/>
    <n v="1.1111111111111112E-2"/>
    <n v="1.1111111111111112"/>
  </r>
  <r>
    <n v="1122244"/>
    <x v="2"/>
    <n v="144731"/>
    <x v="3"/>
    <x v="1"/>
    <x v="9"/>
    <n v="85083"/>
    <n v="32"/>
    <x v="745"/>
    <n v="1"/>
    <n v="1"/>
    <n v="0.45402724116450993"/>
    <x v="747"/>
    <n v="3.7610333439112398E-4"/>
    <x v="426"/>
    <n v="3.125E-2"/>
    <n v="3.125"/>
  </r>
  <r>
    <n v="1122246"/>
    <x v="2"/>
    <n v="144731"/>
    <x v="3"/>
    <x v="1"/>
    <x v="9"/>
    <n v="14167"/>
    <n v="5"/>
    <x v="746"/>
    <n v="1"/>
    <n v="0"/>
    <n v="0.50398814046728313"/>
    <x v="748"/>
    <n v="3.5293287216771368E-4"/>
    <x v="1"/>
    <n v="0"/>
    <n v="20"/>
  </r>
  <r>
    <n v="1122249"/>
    <x v="2"/>
    <n v="144732"/>
    <x v="3"/>
    <x v="1"/>
    <x v="15"/>
    <n v="300637"/>
    <n v="84"/>
    <x v="747"/>
    <n v="2"/>
    <n v="0"/>
    <n v="0.38914038558128239"/>
    <x v="749"/>
    <n v="2.7940672638431067E-4"/>
    <x v="1"/>
    <n v="0"/>
    <n v="2.3809523809523809"/>
  </r>
  <r>
    <n v="1122253"/>
    <x v="2"/>
    <n v="144732"/>
    <x v="3"/>
    <x v="1"/>
    <x v="15"/>
    <n v="449921"/>
    <n v="129"/>
    <x v="748"/>
    <n v="5"/>
    <n v="1"/>
    <n v="0.3911131076344514"/>
    <x v="750"/>
    <n v="2.8671700142913976E-4"/>
    <x v="427"/>
    <n v="7.7519379844961239E-3"/>
    <n v="3.8759689922480618"/>
  </r>
  <r>
    <n v="1122254"/>
    <x v="2"/>
    <n v="144732"/>
    <x v="3"/>
    <x v="1"/>
    <x v="15"/>
    <n v="282899"/>
    <n v="71"/>
    <x v="749"/>
    <n v="1"/>
    <n v="0"/>
    <n v="0.37349018801763173"/>
    <x v="751"/>
    <n v="2.5097296208187372E-4"/>
    <x v="1"/>
    <n v="0"/>
    <n v="1.4084507042253522"/>
  </r>
  <r>
    <n v="1122257"/>
    <x v="2"/>
    <n v="144733"/>
    <x v="3"/>
    <x v="1"/>
    <x v="18"/>
    <n v="669671"/>
    <n v="186"/>
    <x v="750"/>
    <n v="4"/>
    <n v="1"/>
    <n v="0.38702586613426598"/>
    <x v="752"/>
    <n v="2.7774832716363708E-4"/>
    <x v="428"/>
    <n v="5.3763440860215058E-3"/>
    <n v="2.1505376344086025"/>
  </r>
  <r>
    <n v="1122258"/>
    <x v="2"/>
    <n v="144733"/>
    <x v="3"/>
    <x v="1"/>
    <x v="18"/>
    <n v="108655"/>
    <n v="28"/>
    <x v="751"/>
    <n v="1"/>
    <n v="0"/>
    <n v="0.43182551985642631"/>
    <x v="753"/>
    <n v="2.5769637844553865E-4"/>
    <x v="1"/>
    <n v="0"/>
    <n v="3.5714285714285712"/>
  </r>
  <r>
    <n v="1122260"/>
    <x v="2"/>
    <n v="144733"/>
    <x v="3"/>
    <x v="1"/>
    <x v="18"/>
    <n v="536248"/>
    <n v="146"/>
    <x v="752"/>
    <n v="3"/>
    <n v="0"/>
    <n v="0.35009920372663395"/>
    <x v="754"/>
    <n v="2.7226208769076996E-4"/>
    <x v="1"/>
    <n v="0"/>
    <n v="2.054794520547945"/>
  </r>
  <r>
    <n v="1122262"/>
    <x v="2"/>
    <n v="144734"/>
    <x v="3"/>
    <x v="1"/>
    <x v="5"/>
    <n v="1055017"/>
    <n v="265"/>
    <x v="753"/>
    <n v="16"/>
    <n v="2"/>
    <n v="0.36080934733753112"/>
    <x v="755"/>
    <n v="2.5118078666030975E-4"/>
    <x v="429"/>
    <n v="7.5471698113207548E-3"/>
    <n v="6.0377358490566042"/>
  </r>
  <r>
    <n v="1122265"/>
    <x v="2"/>
    <n v="144734"/>
    <x v="3"/>
    <x v="1"/>
    <x v="5"/>
    <n v="1428421"/>
    <n v="367"/>
    <x v="754"/>
    <n v="10"/>
    <n v="0"/>
    <n v="0.37922993452210524"/>
    <x v="756"/>
    <n v="2.5692705441883028E-4"/>
    <x v="1"/>
    <n v="0"/>
    <n v="2.7247956403269753"/>
  </r>
  <r>
    <n v="1122266"/>
    <x v="2"/>
    <n v="144734"/>
    <x v="3"/>
    <x v="1"/>
    <x v="5"/>
    <n v="1088027"/>
    <n v="272"/>
    <x v="755"/>
    <n v="9"/>
    <n v="4"/>
    <n v="0.3764244845026824"/>
    <x v="757"/>
    <n v="2.4999379610983919E-4"/>
    <x v="430"/>
    <n v="1.4705882352941176E-2"/>
    <n v="3.3088235294117649"/>
  </r>
  <r>
    <n v="1122267"/>
    <x v="2"/>
    <n v="144735"/>
    <x v="3"/>
    <x v="1"/>
    <x v="3"/>
    <n v="288517"/>
    <n v="78"/>
    <x v="756"/>
    <n v="3"/>
    <n v="0"/>
    <n v="0.35488376837413399"/>
    <x v="758"/>
    <n v="2.7034802108714565E-4"/>
    <x v="1"/>
    <n v="0"/>
    <n v="3.8461538461538463"/>
  </r>
  <r>
    <n v="1122268"/>
    <x v="2"/>
    <n v="144735"/>
    <x v="3"/>
    <x v="1"/>
    <x v="3"/>
    <n v="202231"/>
    <n v="53"/>
    <x v="757"/>
    <n v="3"/>
    <n v="1"/>
    <n v="0.33194713505842327"/>
    <x v="759"/>
    <n v="2.6207653623826221E-4"/>
    <x v="431"/>
    <n v="1.8867924528301886E-2"/>
    <n v="5.6603773584905666"/>
  </r>
  <r>
    <n v="1122270"/>
    <x v="2"/>
    <n v="144735"/>
    <x v="3"/>
    <x v="1"/>
    <x v="3"/>
    <n v="73222"/>
    <n v="16"/>
    <x v="758"/>
    <n v="1"/>
    <n v="0"/>
    <n v="0.31220125440441393"/>
    <x v="760"/>
    <n v="2.1851356149791046E-4"/>
    <x v="1"/>
    <n v="0"/>
    <n v="6.25"/>
  </r>
  <r>
    <n v="1122271"/>
    <x v="2"/>
    <n v="144735"/>
    <x v="3"/>
    <x v="1"/>
    <x v="3"/>
    <n v="348542"/>
    <n v="96"/>
    <x v="759"/>
    <n v="2"/>
    <n v="0"/>
    <n v="0.38701217930694148"/>
    <x v="761"/>
    <n v="2.7543308984283099E-4"/>
    <x v="1"/>
    <n v="0"/>
    <n v="2.083333333333333"/>
  </r>
  <r>
    <n v="1122273"/>
    <x v="2"/>
    <n v="144736"/>
    <x v="3"/>
    <x v="1"/>
    <x v="4"/>
    <n v="1097966"/>
    <n v="266"/>
    <x v="760"/>
    <n v="16"/>
    <n v="8"/>
    <n v="0.33613973201355962"/>
    <x v="762"/>
    <n v="2.422661539610516E-4"/>
    <x v="432"/>
    <n v="3.007518796992481E-2"/>
    <n v="6.0150375939849621"/>
  </r>
  <r>
    <n v="1122274"/>
    <x v="2"/>
    <n v="144736"/>
    <x v="3"/>
    <x v="1"/>
    <x v="4"/>
    <n v="526923"/>
    <n v="138"/>
    <x v="761"/>
    <n v="2"/>
    <n v="1"/>
    <n v="0.37593727584485775"/>
    <x v="763"/>
    <n v="2.6189784845224062E-4"/>
    <x v="433"/>
    <n v="7.246376811594203E-3"/>
    <n v="1.4492753623188406"/>
  </r>
  <r>
    <n v="1122276"/>
    <x v="2"/>
    <n v="144736"/>
    <x v="3"/>
    <x v="1"/>
    <x v="4"/>
    <n v="264386"/>
    <n v="66"/>
    <x v="762"/>
    <n v="4"/>
    <n v="1"/>
    <n v="0.34419371880508048"/>
    <x v="764"/>
    <n v="2.4963500336629022E-4"/>
    <x v="434"/>
    <n v="1.5151515151515152E-2"/>
    <n v="6.0606060606060606"/>
  </r>
  <r>
    <n v="1122277"/>
    <x v="2"/>
    <n v="144736"/>
    <x v="3"/>
    <x v="1"/>
    <x v="4"/>
    <n v="854940"/>
    <n v="227"/>
    <x v="763"/>
    <n v="8"/>
    <n v="3"/>
    <n v="0.34845720249374224"/>
    <x v="765"/>
    <n v="2.6551570870470443E-4"/>
    <x v="435"/>
    <n v="1.3215859030837005E-2"/>
    <n v="3.5242290748898681"/>
  </r>
  <r>
    <n v="1122279"/>
    <x v="2"/>
    <n v="144737"/>
    <x v="3"/>
    <x v="1"/>
    <x v="8"/>
    <n v="113567"/>
    <n v="34"/>
    <x v="764"/>
    <n v="3"/>
    <n v="0"/>
    <n v="0.44282230260551042"/>
    <x v="766"/>
    <n v="2.9938274322646545E-4"/>
    <x v="1"/>
    <n v="0"/>
    <n v="8.8235294117647065"/>
  </r>
  <r>
    <n v="1122282"/>
    <x v="2"/>
    <n v="144737"/>
    <x v="3"/>
    <x v="1"/>
    <x v="8"/>
    <n v="22859"/>
    <n v="6"/>
    <x v="765"/>
    <n v="1"/>
    <n v="0"/>
    <n v="0.41209151047727371"/>
    <x v="767"/>
    <n v="2.6247867360776935E-4"/>
    <x v="1"/>
    <n v="0"/>
    <n v="16.666666666666664"/>
  </r>
  <r>
    <n v="1122288"/>
    <x v="2"/>
    <n v="144738"/>
    <x v="3"/>
    <x v="1"/>
    <x v="6"/>
    <n v="51754"/>
    <n v="13"/>
    <x v="766"/>
    <n v="1"/>
    <n v="0"/>
    <n v="0.39649109208950034"/>
    <x v="768"/>
    <n v="2.5118831394674806E-4"/>
    <x v="1"/>
    <n v="0"/>
    <n v="7.6923076923076925"/>
  </r>
  <r>
    <n v="1122290"/>
    <x v="2"/>
    <n v="144738"/>
    <x v="3"/>
    <x v="1"/>
    <x v="6"/>
    <n v="104347"/>
    <n v="28"/>
    <x v="767"/>
    <n v="4"/>
    <n v="3"/>
    <n v="0.3655112262930415"/>
    <x v="769"/>
    <n v="2.6833545765570643E-4"/>
    <x v="436"/>
    <n v="0.10714285714285714"/>
    <n v="14.285714285714285"/>
  </r>
  <r>
    <n v="1122303"/>
    <x v="2"/>
    <n v="144741"/>
    <x v="3"/>
    <x v="1"/>
    <x v="13"/>
    <n v="391998"/>
    <n v="97"/>
    <x v="768"/>
    <n v="3"/>
    <n v="1"/>
    <n v="0.36237430420563371"/>
    <x v="770"/>
    <n v="2.4745024209307191E-4"/>
    <x v="437"/>
    <n v="1.0309278350515464E-2"/>
    <n v="3.0927835051546393"/>
  </r>
  <r>
    <n v="1122304"/>
    <x v="2"/>
    <n v="144741"/>
    <x v="3"/>
    <x v="1"/>
    <x v="13"/>
    <n v="1111156"/>
    <n v="282"/>
    <x v="769"/>
    <n v="5"/>
    <n v="0"/>
    <n v="0.36205537530283782"/>
    <x v="771"/>
    <n v="2.5378974689422548E-4"/>
    <x v="1"/>
    <n v="0"/>
    <n v="1.773049645390071"/>
  </r>
  <r>
    <n v="1122308"/>
    <x v="2"/>
    <n v="144741"/>
    <x v="3"/>
    <x v="1"/>
    <x v="13"/>
    <n v="427772"/>
    <n v="117"/>
    <x v="770"/>
    <n v="3"/>
    <n v="1"/>
    <n v="0.37239463779770532"/>
    <x v="772"/>
    <n v="2.7351018767006723E-4"/>
    <x v="438"/>
    <n v="8.5470085470085479E-3"/>
    <n v="2.5641025641025639"/>
  </r>
  <r>
    <n v="1122310"/>
    <x v="2"/>
    <n v="144742"/>
    <x v="3"/>
    <x v="1"/>
    <x v="21"/>
    <n v="536457"/>
    <n v="136"/>
    <x v="771"/>
    <n v="2"/>
    <n v="1"/>
    <n v="0.36099817711391596"/>
    <x v="773"/>
    <n v="2.5351519320281031E-4"/>
    <x v="439"/>
    <n v="7.3529411764705881E-3"/>
    <n v="1.4705882352941175"/>
  </r>
  <r>
    <n v="1122311"/>
    <x v="2"/>
    <n v="144742"/>
    <x v="3"/>
    <x v="1"/>
    <x v="21"/>
    <n v="179894"/>
    <n v="43"/>
    <x v="772"/>
    <n v="2"/>
    <n v="0"/>
    <n v="0.37155212914271735"/>
    <x v="774"/>
    <n v="2.3902965079435667E-4"/>
    <x v="1"/>
    <n v="0"/>
    <n v="4.6511627906976747"/>
  </r>
  <r>
    <n v="1122312"/>
    <x v="2"/>
    <n v="144742"/>
    <x v="3"/>
    <x v="1"/>
    <x v="21"/>
    <n v="479882"/>
    <n v="131"/>
    <x v="773"/>
    <n v="6"/>
    <n v="0"/>
    <n v="0.37232069696300341"/>
    <x v="775"/>
    <n v="2.7298377517806461E-4"/>
    <x v="1"/>
    <n v="0"/>
    <n v="4.5801526717557248"/>
  </r>
  <r>
    <n v="1122313"/>
    <x v="2"/>
    <n v="144742"/>
    <x v="3"/>
    <x v="1"/>
    <x v="21"/>
    <n v="358261"/>
    <n v="91"/>
    <x v="774"/>
    <n v="1"/>
    <n v="0"/>
    <n v="0.36386880263271748"/>
    <x v="776"/>
    <n v="2.5400476189147016E-4"/>
    <x v="1"/>
    <n v="0"/>
    <n v="1.098901098901099"/>
  </r>
  <r>
    <n v="1122316"/>
    <x v="2"/>
    <n v="144743"/>
    <x v="3"/>
    <x v="1"/>
    <x v="14"/>
    <n v="346688"/>
    <n v="88"/>
    <x v="775"/>
    <n v="2"/>
    <n v="0"/>
    <n v="0.33130653440557506"/>
    <x v="777"/>
    <n v="2.5383053350563043E-4"/>
    <x v="1"/>
    <n v="0"/>
    <n v="2.2727272727272729"/>
  </r>
  <r>
    <n v="1314296"/>
    <x v="2"/>
    <n v="179863"/>
    <x v="0"/>
    <x v="0"/>
    <x v="25"/>
    <n v="33445"/>
    <n v="2"/>
    <x v="776"/>
    <n v="1"/>
    <n v="0"/>
    <n v="9.5679471610106134E-2"/>
    <x v="778"/>
    <n v="5.9799671101808939E-5"/>
    <x v="1"/>
    <n v="0"/>
    <n v="50"/>
  </r>
  <r>
    <n v="1314297"/>
    <x v="2"/>
    <n v="179864"/>
    <x v="0"/>
    <x v="0"/>
    <x v="26"/>
    <n v="72228"/>
    <n v="5"/>
    <x v="777"/>
    <n v="4"/>
    <n v="4"/>
    <n v="0.10425319615661517"/>
    <x v="779"/>
    <n v="6.9225231212272244E-5"/>
    <x v="440"/>
    <n v="0.8"/>
    <n v="80"/>
  </r>
  <r>
    <n v="1314298"/>
    <x v="2"/>
    <n v="179865"/>
    <x v="0"/>
    <x v="0"/>
    <x v="27"/>
    <n v="49699"/>
    <n v="2"/>
    <x v="778"/>
    <n v="2"/>
    <n v="1"/>
    <n v="5.4125838688907218E-2"/>
    <x v="780"/>
    <n v="4.0242258395541155E-5"/>
    <x v="441"/>
    <n v="0.5"/>
    <n v="100"/>
  </r>
  <r>
    <n v="1314299"/>
    <x v="2"/>
    <n v="179866"/>
    <x v="0"/>
    <x v="0"/>
    <x v="28"/>
    <n v="189761"/>
    <n v="18"/>
    <x v="779"/>
    <n v="4"/>
    <n v="1"/>
    <n v="0.14402326974457344"/>
    <x v="781"/>
    <n v="9.4856161171157408E-5"/>
    <x v="442"/>
    <n v="5.5555555555555552E-2"/>
    <n v="22.222222222222221"/>
  </r>
  <r>
    <n v="1314301"/>
    <x v="2"/>
    <n v="179868"/>
    <x v="0"/>
    <x v="0"/>
    <x v="29"/>
    <n v="312524"/>
    <n v="37"/>
    <x v="780"/>
    <n v="2"/>
    <n v="0"/>
    <n v="0.17211478068884309"/>
    <x v="782"/>
    <n v="1.1839090757829799E-4"/>
    <x v="1"/>
    <n v="0"/>
    <n v="5.4054054054054053"/>
  </r>
  <r>
    <n v="1314303"/>
    <x v="2"/>
    <n v="179870"/>
    <x v="0"/>
    <x v="0"/>
    <x v="30"/>
    <n v="496760"/>
    <n v="42"/>
    <x v="781"/>
    <n v="10"/>
    <n v="3"/>
    <n v="0.12281584475400595"/>
    <x v="783"/>
    <n v="8.4547870198888793E-5"/>
    <x v="443"/>
    <n v="7.1428571428571425E-2"/>
    <n v="23.809523809523807"/>
  </r>
  <r>
    <n v="1314306"/>
    <x v="2"/>
    <n v="179873"/>
    <x v="0"/>
    <x v="0"/>
    <x v="31"/>
    <n v="310988"/>
    <n v="34"/>
    <x v="782"/>
    <n v="11"/>
    <n v="3"/>
    <n v="0.15007009710985633"/>
    <x v="784"/>
    <n v="1.0932897732388388E-4"/>
    <x v="444"/>
    <n v="8.8235294117647065E-2"/>
    <n v="32.352941176470587"/>
  </r>
  <r>
    <n v="1314307"/>
    <x v="2"/>
    <n v="179874"/>
    <x v="0"/>
    <x v="0"/>
    <x v="32"/>
    <n v="98606"/>
    <n v="9"/>
    <x v="783"/>
    <n v="1"/>
    <n v="0"/>
    <n v="0.12281199764720201"/>
    <x v="785"/>
    <n v="9.1272336368983627E-5"/>
    <x v="1"/>
    <n v="0"/>
    <n v="11.111111111111111"/>
  </r>
  <r>
    <n v="1314308"/>
    <x v="2"/>
    <n v="179875"/>
    <x v="0"/>
    <x v="0"/>
    <x v="33"/>
    <n v="51104"/>
    <n v="2"/>
    <x v="776"/>
    <n v="3"/>
    <n v="1"/>
    <n v="6.2617406230432063E-2"/>
    <x v="778"/>
    <n v="3.9135879774577331E-5"/>
    <x v="445"/>
    <n v="0.5"/>
    <n v="150"/>
  </r>
  <r>
    <n v="1314309"/>
    <x v="2"/>
    <n v="179876"/>
    <x v="0"/>
    <x v="0"/>
    <x v="34"/>
    <n v="276762"/>
    <n v="22"/>
    <x v="784"/>
    <n v="5"/>
    <n v="1"/>
    <n v="0.11594799918341391"/>
    <x v="786"/>
    <n v="7.9490681524197685E-5"/>
    <x v="446"/>
    <n v="4.5454545454545456E-2"/>
    <n v="22.727272727272727"/>
  </r>
  <r>
    <n v="1314312"/>
    <x v="2"/>
    <n v="179879"/>
    <x v="1"/>
    <x v="0"/>
    <x v="26"/>
    <n v="33534"/>
    <n v="2"/>
    <x v="270"/>
    <n v="1"/>
    <n v="1"/>
    <n v="8.8268624023379247E-2"/>
    <x v="51"/>
    <n v="5.9640961412297963E-5"/>
    <x v="447"/>
    <n v="0.5"/>
    <n v="50"/>
  </r>
  <r>
    <n v="1314313"/>
    <x v="2"/>
    <n v="179880"/>
    <x v="1"/>
    <x v="0"/>
    <x v="27"/>
    <n v="128859"/>
    <n v="16"/>
    <x v="785"/>
    <n v="1"/>
    <n v="0"/>
    <n v="0.18392195787643856"/>
    <x v="787"/>
    <n v="1.2416672486981894E-4"/>
    <x v="1"/>
    <n v="0"/>
    <n v="6.25"/>
  </r>
  <r>
    <n v="1314314"/>
    <x v="2"/>
    <n v="179881"/>
    <x v="1"/>
    <x v="0"/>
    <x v="28"/>
    <n v="92080"/>
    <n v="12"/>
    <x v="786"/>
    <n v="3"/>
    <n v="2"/>
    <n v="0.18397046242397913"/>
    <x v="788"/>
    <n v="1.3032145960034753E-4"/>
    <x v="448"/>
    <n v="0.16666666666666666"/>
    <n v="25"/>
  </r>
  <r>
    <n v="1314316"/>
    <x v="2"/>
    <n v="179883"/>
    <x v="1"/>
    <x v="0"/>
    <x v="29"/>
    <n v="211882"/>
    <n v="33"/>
    <x v="787"/>
    <n v="3"/>
    <n v="1"/>
    <n v="0.22016971361418147"/>
    <x v="789"/>
    <n v="1.5574706676357595E-4"/>
    <x v="449"/>
    <n v="3.0303030303030304E-2"/>
    <n v="9.0909090909090917"/>
  </r>
  <r>
    <n v="1314318"/>
    <x v="2"/>
    <n v="179885"/>
    <x v="1"/>
    <x v="0"/>
    <x v="30"/>
    <n v="112776"/>
    <n v="9"/>
    <x v="788"/>
    <n v="1"/>
    <n v="0"/>
    <n v="0.11243526947222814"/>
    <x v="790"/>
    <n v="7.9804213662481381E-5"/>
    <x v="1"/>
    <n v="0"/>
    <n v="11.111111111111111"/>
  </r>
  <r>
    <n v="1314319"/>
    <x v="2"/>
    <n v="179886"/>
    <x v="1"/>
    <x v="0"/>
    <x v="35"/>
    <n v="145324"/>
    <n v="14"/>
    <x v="789"/>
    <n v="2"/>
    <n v="1"/>
    <n v="0.13638490579670254"/>
    <x v="791"/>
    <n v="9.633646197462222E-5"/>
    <x v="450"/>
    <n v="7.1428571428571425E-2"/>
    <n v="14.285714285714285"/>
  </r>
  <r>
    <n v="1314320"/>
    <x v="2"/>
    <n v="179887"/>
    <x v="1"/>
    <x v="0"/>
    <x v="36"/>
    <n v="106492"/>
    <n v="14"/>
    <x v="790"/>
    <n v="2"/>
    <n v="0"/>
    <n v="0.19963941169289709"/>
    <x v="792"/>
    <n v="1.314652743868084E-4"/>
    <x v="1"/>
    <n v="0"/>
    <n v="14.285714285714285"/>
  </r>
  <r>
    <n v="1314321"/>
    <x v="2"/>
    <n v="179888"/>
    <x v="1"/>
    <x v="0"/>
    <x v="31"/>
    <n v="233845"/>
    <n v="30"/>
    <x v="791"/>
    <n v="3"/>
    <n v="0"/>
    <n v="0.1741752041737048"/>
    <x v="793"/>
    <n v="1.2829010669460541E-4"/>
    <x v="1"/>
    <n v="0"/>
    <n v="10"/>
  </r>
  <r>
    <n v="1314323"/>
    <x v="2"/>
    <n v="179890"/>
    <x v="1"/>
    <x v="0"/>
    <x v="33"/>
    <n v="155426"/>
    <n v="17"/>
    <x v="792"/>
    <n v="3"/>
    <n v="0"/>
    <n v="0.16091259010718928"/>
    <x v="794"/>
    <n v="1.0937680954280493E-4"/>
    <x v="1"/>
    <n v="0"/>
    <n v="17.647058823529413"/>
  </r>
  <r>
    <n v="1314324"/>
    <x v="2"/>
    <n v="179891"/>
    <x v="1"/>
    <x v="0"/>
    <x v="34"/>
    <n v="97540"/>
    <n v="8"/>
    <x v="793"/>
    <n v="2"/>
    <n v="1"/>
    <n v="0.11810538753331967"/>
    <x v="795"/>
    <n v="8.2017633791265127E-5"/>
    <x v="451"/>
    <n v="0.125"/>
    <n v="25"/>
  </r>
  <r>
    <n v="1314325"/>
    <x v="2"/>
    <n v="179892"/>
    <x v="1"/>
    <x v="0"/>
    <x v="37"/>
    <n v="61441"/>
    <n v="5"/>
    <x v="794"/>
    <n v="1"/>
    <n v="0"/>
    <n v="0.125323481844371"/>
    <x v="796"/>
    <n v="8.1378883807229705E-5"/>
    <x v="1"/>
    <n v="0"/>
    <n v="20"/>
  </r>
  <r>
    <n v="1314326"/>
    <x v="2"/>
    <n v="179893"/>
    <x v="2"/>
    <x v="0"/>
    <x v="25"/>
    <n v="76703"/>
    <n v="9"/>
    <x v="795"/>
    <n v="3"/>
    <n v="1"/>
    <n v="0.1584031865767962"/>
    <x v="797"/>
    <n v="1.1733569743034823E-4"/>
    <x v="452"/>
    <n v="0.1111111111111111"/>
    <n v="33.333333333333329"/>
  </r>
  <r>
    <n v="1314327"/>
    <x v="2"/>
    <n v="179894"/>
    <x v="2"/>
    <x v="0"/>
    <x v="26"/>
    <n v="68619"/>
    <n v="10"/>
    <x v="796"/>
    <n v="1"/>
    <n v="0"/>
    <n v="0.21801542342499894"/>
    <x v="798"/>
    <n v="1.4573223159766247E-4"/>
    <x v="1"/>
    <n v="0"/>
    <n v="10"/>
  </r>
  <r>
    <n v="1314330"/>
    <x v="2"/>
    <n v="179897"/>
    <x v="2"/>
    <x v="0"/>
    <x v="38"/>
    <n v="17559"/>
    <n v="1"/>
    <x v="797"/>
    <n v="1"/>
    <n v="1"/>
    <n v="8.4856769178199204E-2"/>
    <x v="799"/>
    <n v="5.6950851415228659E-5"/>
    <x v="453"/>
    <n v="1"/>
    <n v="100"/>
  </r>
  <r>
    <n v="1314331"/>
    <x v="2"/>
    <n v="179898"/>
    <x v="2"/>
    <x v="0"/>
    <x v="29"/>
    <n v="137879"/>
    <n v="19"/>
    <x v="798"/>
    <n v="2"/>
    <n v="0"/>
    <n v="0.20648539683345543"/>
    <x v="800"/>
    <n v="1.3780198579914273E-4"/>
    <x v="1"/>
    <n v="0"/>
    <n v="10.526315789473683"/>
  </r>
  <r>
    <n v="1314332"/>
    <x v="2"/>
    <n v="179899"/>
    <x v="2"/>
    <x v="0"/>
    <x v="39"/>
    <n v="67710"/>
    <n v="10"/>
    <x v="799"/>
    <n v="1"/>
    <n v="0"/>
    <n v="0.2237483382070595"/>
    <x v="801"/>
    <n v="1.4768867227883621E-4"/>
    <x v="1"/>
    <n v="0"/>
    <n v="10"/>
  </r>
  <r>
    <n v="1314333"/>
    <x v="2"/>
    <n v="179900"/>
    <x v="2"/>
    <x v="0"/>
    <x v="30"/>
    <n v="348180"/>
    <n v="41"/>
    <x v="800"/>
    <n v="3"/>
    <n v="1"/>
    <n v="0.17298523484979034"/>
    <x v="802"/>
    <n v="1.1775518410017807E-4"/>
    <x v="454"/>
    <n v="2.4390243902439025E-2"/>
    <n v="7.3170731707317067"/>
  </r>
  <r>
    <n v="1314334"/>
    <x v="2"/>
    <n v="179901"/>
    <x v="2"/>
    <x v="0"/>
    <x v="35"/>
    <n v="146246"/>
    <n v="18"/>
    <x v="801"/>
    <n v="3"/>
    <n v="1"/>
    <n v="0.19638143641535494"/>
    <x v="803"/>
    <n v="1.2308028937543591E-4"/>
    <x v="455"/>
    <n v="5.5555555555555552E-2"/>
    <n v="16.666666666666664"/>
  </r>
  <r>
    <n v="1314336"/>
    <x v="2"/>
    <n v="179903"/>
    <x v="2"/>
    <x v="0"/>
    <x v="31"/>
    <n v="187236"/>
    <n v="24"/>
    <x v="802"/>
    <n v="2"/>
    <n v="2"/>
    <n v="0.18623555112264734"/>
    <x v="804"/>
    <n v="1.2818047811318336E-4"/>
    <x v="456"/>
    <n v="8.3333333333333329E-2"/>
    <n v="8.3333333333333321"/>
  </r>
  <r>
    <n v="1314337"/>
    <x v="2"/>
    <n v="179904"/>
    <x v="2"/>
    <x v="0"/>
    <x v="32"/>
    <n v="72157"/>
    <n v="9"/>
    <x v="803"/>
    <n v="1"/>
    <n v="1"/>
    <n v="0.18709204041187966"/>
    <x v="805"/>
    <n v="1.2472802361517248E-4"/>
    <x v="457"/>
    <n v="0.1111111111111111"/>
    <n v="11.111111111111111"/>
  </r>
  <r>
    <n v="1314338"/>
    <x v="2"/>
    <n v="179905"/>
    <x v="2"/>
    <x v="0"/>
    <x v="33"/>
    <n v="91180"/>
    <n v="10"/>
    <x v="804"/>
    <n v="1"/>
    <n v="0"/>
    <n v="0.14871682320684362"/>
    <x v="806"/>
    <n v="1.0967317394165388E-4"/>
    <x v="1"/>
    <n v="0"/>
    <n v="10"/>
  </r>
  <r>
    <n v="1314339"/>
    <x v="2"/>
    <n v="179906"/>
    <x v="2"/>
    <x v="0"/>
    <x v="34"/>
    <n v="86293"/>
    <n v="6"/>
    <x v="805"/>
    <n v="1"/>
    <n v="1"/>
    <n v="0.10730881845572642"/>
    <x v="807"/>
    <n v="6.9530552883779686E-5"/>
    <x v="458"/>
    <n v="0.16666666666666666"/>
    <n v="16.666666666666664"/>
  </r>
  <r>
    <n v="1314341"/>
    <x v="2"/>
    <n v="179908"/>
    <x v="3"/>
    <x v="0"/>
    <x v="25"/>
    <n v="101410"/>
    <n v="12"/>
    <x v="806"/>
    <n v="4"/>
    <n v="0"/>
    <n v="0.17690563120007888"/>
    <x v="808"/>
    <n v="1.1833152549058279E-4"/>
    <x v="1"/>
    <n v="0"/>
    <n v="33.333333333333329"/>
  </r>
  <r>
    <n v="1314343"/>
    <x v="2"/>
    <n v="179910"/>
    <x v="3"/>
    <x v="0"/>
    <x v="27"/>
    <n v="134245"/>
    <n v="18"/>
    <x v="807"/>
    <n v="2"/>
    <n v="1"/>
    <n v="0.19181347714998695"/>
    <x v="809"/>
    <n v="1.3408320607843867E-4"/>
    <x v="459"/>
    <n v="5.5555555555555552E-2"/>
    <n v="11.111111111111111"/>
  </r>
  <r>
    <n v="1314345"/>
    <x v="2"/>
    <n v="179912"/>
    <x v="3"/>
    <x v="0"/>
    <x v="38"/>
    <n v="125650"/>
    <n v="20"/>
    <x v="808"/>
    <n v="4"/>
    <n v="0"/>
    <n v="0.23939515129327496"/>
    <x v="810"/>
    <n v="1.5917230401910068E-4"/>
    <x v="1"/>
    <n v="0"/>
    <n v="20"/>
  </r>
  <r>
    <n v="1314346"/>
    <x v="2"/>
    <n v="179913"/>
    <x v="3"/>
    <x v="0"/>
    <x v="29"/>
    <n v="50406"/>
    <n v="5"/>
    <x v="809"/>
    <n v="1"/>
    <n v="1"/>
    <n v="0.14403047474507005"/>
    <x v="811"/>
    <n v="9.9194540332500096E-5"/>
    <x v="460"/>
    <n v="0.2"/>
    <n v="20"/>
  </r>
  <r>
    <n v="1314348"/>
    <x v="2"/>
    <n v="179915"/>
    <x v="3"/>
    <x v="0"/>
    <x v="30"/>
    <n v="121769"/>
    <n v="13"/>
    <x v="810"/>
    <n v="2"/>
    <n v="1"/>
    <n v="0.15127002734686168"/>
    <x v="812"/>
    <n v="1.0675952007489591E-4"/>
    <x v="461"/>
    <n v="7.6923076923076927E-2"/>
    <n v="15.384615384615385"/>
  </r>
  <r>
    <n v="1314349"/>
    <x v="2"/>
    <n v="179916"/>
    <x v="3"/>
    <x v="0"/>
    <x v="35"/>
    <n v="267106"/>
    <n v="34"/>
    <x v="811"/>
    <n v="4"/>
    <n v="1"/>
    <n v="0.18906351785433498"/>
    <x v="813"/>
    <n v="1.2729028924846316E-4"/>
    <x v="462"/>
    <n v="2.9411764705882353E-2"/>
    <n v="11.76470588235294"/>
  </r>
  <r>
    <n v="1314350"/>
    <x v="2"/>
    <n v="179917"/>
    <x v="3"/>
    <x v="0"/>
    <x v="36"/>
    <n v="365539"/>
    <n v="57"/>
    <x v="812"/>
    <n v="5"/>
    <n v="2"/>
    <n v="0.22470926262314006"/>
    <x v="814"/>
    <n v="1.5593411373341831E-4"/>
    <x v="463"/>
    <n v="3.5087719298245612E-2"/>
    <n v="8.7719298245614024"/>
  </r>
  <r>
    <n v="1314351"/>
    <x v="2"/>
    <n v="179918"/>
    <x v="3"/>
    <x v="0"/>
    <x v="31"/>
    <n v="188758"/>
    <n v="25"/>
    <x v="813"/>
    <n v="2"/>
    <n v="1"/>
    <n v="0.19389906854279021"/>
    <x v="815"/>
    <n v="1.3244471757488423E-4"/>
    <x v="464"/>
    <n v="0.04"/>
    <n v="8"/>
  </r>
  <r>
    <n v="1314353"/>
    <x v="2"/>
    <n v="179920"/>
    <x v="3"/>
    <x v="0"/>
    <x v="33"/>
    <n v="108426"/>
    <n v="13"/>
    <x v="814"/>
    <n v="1"/>
    <n v="0"/>
    <n v="0.1805839942449228"/>
    <x v="816"/>
    <n v="1.1989744157305443E-4"/>
    <x v="1"/>
    <n v="0"/>
    <n v="7.6923076923076925"/>
  </r>
  <r>
    <n v="1314354"/>
    <x v="2"/>
    <n v="179921"/>
    <x v="3"/>
    <x v="0"/>
    <x v="34"/>
    <n v="138525"/>
    <n v="9"/>
    <x v="815"/>
    <n v="3"/>
    <n v="0"/>
    <n v="9.8538173253925276E-2"/>
    <x v="817"/>
    <n v="6.4970221981591769E-5"/>
    <x v="1"/>
    <n v="0"/>
    <n v="33.333333333333329"/>
  </r>
  <r>
    <n v="1314355"/>
    <x v="2"/>
    <n v="179922"/>
    <x v="3"/>
    <x v="0"/>
    <x v="37"/>
    <n v="150858"/>
    <n v="21"/>
    <x v="816"/>
    <n v="1"/>
    <n v="0"/>
    <n v="0.20058598224820692"/>
    <x v="818"/>
    <n v="1.3920375452412202E-4"/>
    <x v="1"/>
    <n v="0"/>
    <n v="4.7619047619047619"/>
  </r>
  <r>
    <n v="1314357"/>
    <x v="2"/>
    <n v="179924"/>
    <x v="0"/>
    <x v="1"/>
    <x v="26"/>
    <n v="524306"/>
    <n v="81"/>
    <x v="817"/>
    <n v="10"/>
    <n v="4"/>
    <n v="0.21681995418705871"/>
    <x v="819"/>
    <n v="1.5448993526680983E-4"/>
    <x v="465"/>
    <n v="4.9382716049382713E-2"/>
    <n v="12.345679012345679"/>
  </r>
  <r>
    <n v="1314358"/>
    <x v="2"/>
    <n v="179925"/>
    <x v="0"/>
    <x v="1"/>
    <x v="27"/>
    <n v="104496"/>
    <n v="9"/>
    <x v="818"/>
    <n v="3"/>
    <n v="2"/>
    <n v="0.1093821756813658"/>
    <x v="820"/>
    <n v="8.6127698667891591E-5"/>
    <x v="466"/>
    <n v="0.22222222222222221"/>
    <n v="33.333333333333329"/>
  </r>
  <r>
    <n v="1314359"/>
    <x v="2"/>
    <n v="179926"/>
    <x v="0"/>
    <x v="1"/>
    <x v="28"/>
    <n v="452519"/>
    <n v="68"/>
    <x v="819"/>
    <n v="7"/>
    <n v="2"/>
    <n v="0.21992447249728742"/>
    <x v="821"/>
    <n v="1.5026993341716037E-4"/>
    <x v="467"/>
    <n v="2.9411764705882353E-2"/>
    <n v="10.294117647058822"/>
  </r>
  <r>
    <n v="1314360"/>
    <x v="2"/>
    <n v="179927"/>
    <x v="0"/>
    <x v="1"/>
    <x v="38"/>
    <n v="442919"/>
    <n v="76"/>
    <x v="820"/>
    <n v="21"/>
    <n v="2"/>
    <n v="0.25011345663654078"/>
    <x v="822"/>
    <n v="1.7158893612601852E-4"/>
    <x v="468"/>
    <n v="2.6315789473684209E-2"/>
    <n v="27.631578947368425"/>
  </r>
  <r>
    <n v="1314361"/>
    <x v="2"/>
    <n v="179928"/>
    <x v="0"/>
    <x v="1"/>
    <x v="29"/>
    <n v="596831"/>
    <n v="86"/>
    <x v="821"/>
    <n v="11"/>
    <n v="0"/>
    <n v="0.20253639505990809"/>
    <x v="823"/>
    <n v="1.4409439187977835E-4"/>
    <x v="1"/>
    <n v="0"/>
    <n v="12.790697674418606"/>
  </r>
  <r>
    <n v="1314362"/>
    <x v="2"/>
    <n v="179929"/>
    <x v="0"/>
    <x v="1"/>
    <x v="39"/>
    <n v="173912"/>
    <n v="26"/>
    <x v="822"/>
    <n v="2"/>
    <n v="1"/>
    <n v="0.20435622797736785"/>
    <x v="824"/>
    <n v="1.4950089700538203E-4"/>
    <x v="469"/>
    <n v="3.8461538461538464E-2"/>
    <n v="7.6923076923076925"/>
  </r>
  <r>
    <n v="1314363"/>
    <x v="2"/>
    <n v="179930"/>
    <x v="0"/>
    <x v="1"/>
    <x v="30"/>
    <n v="780967"/>
    <n v="86"/>
    <x v="823"/>
    <n v="20"/>
    <n v="4"/>
    <n v="0.15319469555051621"/>
    <x v="825"/>
    <n v="1.1011988982889162E-4"/>
    <x v="470"/>
    <n v="4.6511627906976744E-2"/>
    <n v="23.255813953488371"/>
  </r>
  <r>
    <n v="1314364"/>
    <x v="2"/>
    <n v="179931"/>
    <x v="0"/>
    <x v="1"/>
    <x v="35"/>
    <n v="132124"/>
    <n v="8"/>
    <x v="824"/>
    <n v="4"/>
    <n v="0"/>
    <n v="8.4693166570797118E-2"/>
    <x v="826"/>
    <n v="6.0549181072325996E-5"/>
    <x v="1"/>
    <n v="0"/>
    <n v="50"/>
  </r>
  <r>
    <n v="1314365"/>
    <x v="2"/>
    <n v="179932"/>
    <x v="0"/>
    <x v="1"/>
    <x v="36"/>
    <n v="623137"/>
    <n v="100"/>
    <x v="825"/>
    <n v="12"/>
    <n v="1"/>
    <n v="0.22293653016912815"/>
    <x v="827"/>
    <n v="1.6047835387723728E-4"/>
    <x v="471"/>
    <n v="0.01"/>
    <n v="12"/>
  </r>
  <r>
    <n v="1314366"/>
    <x v="2"/>
    <n v="179933"/>
    <x v="0"/>
    <x v="1"/>
    <x v="31"/>
    <n v="99020"/>
    <n v="10"/>
    <x v="826"/>
    <n v="4"/>
    <n v="1"/>
    <n v="0.14623308866895576"/>
    <x v="828"/>
    <n v="1.0098969905069682E-4"/>
    <x v="472"/>
    <n v="0.1"/>
    <n v="40"/>
  </r>
  <r>
    <n v="1314367"/>
    <x v="2"/>
    <n v="179934"/>
    <x v="0"/>
    <x v="1"/>
    <x v="32"/>
    <n v="665817"/>
    <n v="117"/>
    <x v="827"/>
    <n v="23"/>
    <n v="9"/>
    <n v="0.24601354456254496"/>
    <x v="829"/>
    <n v="1.7572396018725867E-4"/>
    <x v="473"/>
    <n v="7.6923076923076927E-2"/>
    <n v="19.658119658119659"/>
  </r>
  <r>
    <n v="1314368"/>
    <x v="2"/>
    <n v="179935"/>
    <x v="0"/>
    <x v="1"/>
    <x v="33"/>
    <n v="699232"/>
    <n v="80"/>
    <x v="828"/>
    <n v="12"/>
    <n v="3"/>
    <n v="0.16016143354423137"/>
    <x v="830"/>
    <n v="1.1441123976019404E-4"/>
    <x v="474"/>
    <n v="3.7499999999999999E-2"/>
    <n v="15"/>
  </r>
  <r>
    <n v="1314371"/>
    <x v="2"/>
    <n v="179938"/>
    <x v="1"/>
    <x v="1"/>
    <x v="25"/>
    <n v="72982"/>
    <n v="11"/>
    <x v="829"/>
    <n v="1"/>
    <n v="0"/>
    <n v="0.20621523046778659"/>
    <x v="831"/>
    <n v="1.5072209585925296E-4"/>
    <x v="1"/>
    <n v="0"/>
    <n v="9.0909090909090917"/>
  </r>
  <r>
    <n v="1314372"/>
    <x v="2"/>
    <n v="179939"/>
    <x v="1"/>
    <x v="1"/>
    <x v="26"/>
    <n v="975884"/>
    <n v="167"/>
    <x v="830"/>
    <n v="14"/>
    <n v="3"/>
    <n v="0.24318463823569195"/>
    <x v="832"/>
    <n v="1.7112689622946988E-4"/>
    <x v="475"/>
    <n v="1.7964071856287425E-2"/>
    <n v="8.3832335329341312"/>
  </r>
  <r>
    <n v="1314373"/>
    <x v="2"/>
    <n v="179940"/>
    <x v="1"/>
    <x v="1"/>
    <x v="27"/>
    <n v="245607"/>
    <n v="33"/>
    <x v="831"/>
    <n v="3"/>
    <n v="1"/>
    <n v="0.19494558184416566"/>
    <x v="833"/>
    <n v="1.3436099133982339E-4"/>
    <x v="476"/>
    <n v="3.0303030303030304E-2"/>
    <n v="9.0909090909090917"/>
  </r>
  <r>
    <n v="1314377"/>
    <x v="2"/>
    <n v="179944"/>
    <x v="1"/>
    <x v="1"/>
    <x v="39"/>
    <n v="485369"/>
    <n v="114"/>
    <x v="832"/>
    <n v="3"/>
    <n v="0"/>
    <n v="0.33920584441940055"/>
    <x v="834"/>
    <n v="2.3487284931670544E-4"/>
    <x v="1"/>
    <n v="0"/>
    <n v="2.6315789473684208"/>
  </r>
  <r>
    <n v="1314378"/>
    <x v="2"/>
    <n v="179945"/>
    <x v="1"/>
    <x v="1"/>
    <x v="30"/>
    <n v="866355"/>
    <n v="139"/>
    <x v="833"/>
    <n v="11"/>
    <n v="5"/>
    <n v="0.23181028112032595"/>
    <x v="835"/>
    <n v="1.6044231290868064E-4"/>
    <x v="477"/>
    <n v="3.5971223021582732E-2"/>
    <n v="7.9136690647482011"/>
  </r>
  <r>
    <n v="1314379"/>
    <x v="2"/>
    <n v="179946"/>
    <x v="1"/>
    <x v="1"/>
    <x v="35"/>
    <n v="502710"/>
    <n v="72"/>
    <x v="834"/>
    <n v="8"/>
    <n v="2"/>
    <n v="0.20930555767738857"/>
    <x v="836"/>
    <n v="1.4322372739750553E-4"/>
    <x v="478"/>
    <n v="2.7777777777777776E-2"/>
    <n v="11.111111111111111"/>
  </r>
  <r>
    <n v="1314380"/>
    <x v="2"/>
    <n v="179947"/>
    <x v="1"/>
    <x v="1"/>
    <x v="36"/>
    <n v="475184"/>
    <n v="88"/>
    <x v="835"/>
    <n v="4"/>
    <n v="1"/>
    <n v="0.26793832031381526"/>
    <x v="837"/>
    <n v="1.8519142058655175E-4"/>
    <x v="479"/>
    <n v="1.1363636363636364E-2"/>
    <n v="4.5454545454545459"/>
  </r>
  <r>
    <n v="1314381"/>
    <x v="2"/>
    <n v="179948"/>
    <x v="1"/>
    <x v="1"/>
    <x v="31"/>
    <n v="357401"/>
    <n v="47"/>
    <x v="836"/>
    <n v="8"/>
    <n v="1"/>
    <n v="0.19213712351112616"/>
    <x v="838"/>
    <n v="1.315049482234241E-4"/>
    <x v="480"/>
    <n v="2.1276595744680851E-2"/>
    <n v="17.021276595744681"/>
  </r>
  <r>
    <n v="1314382"/>
    <x v="2"/>
    <n v="179949"/>
    <x v="1"/>
    <x v="1"/>
    <x v="32"/>
    <n v="99810"/>
    <n v="14"/>
    <x v="837"/>
    <n v="2"/>
    <n v="0"/>
    <n v="0.20088167708646426"/>
    <x v="839"/>
    <n v="1.4026650636208798E-4"/>
    <x v="1"/>
    <n v="0"/>
    <n v="14.285714285714285"/>
  </r>
  <r>
    <n v="1314383"/>
    <x v="2"/>
    <n v="179950"/>
    <x v="1"/>
    <x v="1"/>
    <x v="33"/>
    <n v="81569"/>
    <n v="6"/>
    <x v="838"/>
    <n v="3"/>
    <n v="1"/>
    <n v="0.11536245346884232"/>
    <x v="840"/>
    <n v="7.3557356348612836E-5"/>
    <x v="481"/>
    <n v="0.16666666666666666"/>
    <n v="50"/>
  </r>
  <r>
    <n v="1314384"/>
    <x v="2"/>
    <n v="179951"/>
    <x v="1"/>
    <x v="1"/>
    <x v="34"/>
    <n v="441192"/>
    <n v="53"/>
    <x v="839"/>
    <n v="6"/>
    <n v="2"/>
    <n v="0.17588714162994795"/>
    <x v="841"/>
    <n v="1.2012910478884477E-4"/>
    <x v="482"/>
    <n v="3.7735849056603772E-2"/>
    <n v="11.320754716981133"/>
  </r>
  <r>
    <n v="1314385"/>
    <x v="2"/>
    <n v="179952"/>
    <x v="1"/>
    <x v="1"/>
    <x v="37"/>
    <n v="90470"/>
    <n v="11"/>
    <x v="840"/>
    <n v="1"/>
    <n v="1"/>
    <n v="0.18492317917541723"/>
    <x v="842"/>
    <n v="1.2158726649718139E-4"/>
    <x v="483"/>
    <n v="9.0909090909090912E-2"/>
    <n v="9.0909090909090917"/>
  </r>
  <r>
    <n v="1314386"/>
    <x v="2"/>
    <n v="179953"/>
    <x v="2"/>
    <x v="1"/>
    <x v="25"/>
    <n v="834243"/>
    <n v="166"/>
    <x v="841"/>
    <n v="18"/>
    <n v="7"/>
    <n v="0.29577712668850686"/>
    <x v="843"/>
    <n v="1.9898279038601464E-4"/>
    <x v="484"/>
    <n v="4.2168674698795178E-2"/>
    <n v="10.843373493975903"/>
  </r>
  <r>
    <n v="1314387"/>
    <x v="2"/>
    <n v="179954"/>
    <x v="2"/>
    <x v="1"/>
    <x v="26"/>
    <n v="696612"/>
    <n v="152"/>
    <x v="842"/>
    <n v="31"/>
    <n v="9"/>
    <n v="0.32039355451815354"/>
    <x v="844"/>
    <n v="2.1819894001251774E-4"/>
    <x v="485"/>
    <n v="5.921052631578947E-2"/>
    <n v="20.394736842105264"/>
  </r>
  <r>
    <n v="1314388"/>
    <x v="2"/>
    <n v="179955"/>
    <x v="2"/>
    <x v="1"/>
    <x v="27"/>
    <n v="329333"/>
    <n v="48"/>
    <x v="843"/>
    <n v="1"/>
    <n v="0"/>
    <n v="0.20529372756450159"/>
    <x v="845"/>
    <n v="1.4574913537361881E-4"/>
    <x v="1"/>
    <n v="0"/>
    <n v="2.083333333333333"/>
  </r>
  <r>
    <n v="1314389"/>
    <x v="2"/>
    <n v="179956"/>
    <x v="2"/>
    <x v="1"/>
    <x v="28"/>
    <n v="1114711"/>
    <n v="224"/>
    <x v="844"/>
    <n v="6"/>
    <n v="0"/>
    <n v="0.28617283035692659"/>
    <x v="846"/>
    <n v="2.0094894551143748E-4"/>
    <x v="1"/>
    <n v="0"/>
    <n v="2.6785714285714284"/>
  </r>
  <r>
    <n v="1314390"/>
    <x v="2"/>
    <n v="179957"/>
    <x v="2"/>
    <x v="1"/>
    <x v="38"/>
    <n v="267316"/>
    <n v="58"/>
    <x v="845"/>
    <n v="3"/>
    <n v="0"/>
    <n v="0.31023208064612667"/>
    <x v="847"/>
    <n v="2.1697167397387361E-4"/>
    <x v="1"/>
    <n v="0"/>
    <n v="5.1724137931034484"/>
  </r>
  <r>
    <n v="1314391"/>
    <x v="2"/>
    <n v="179958"/>
    <x v="2"/>
    <x v="1"/>
    <x v="29"/>
    <n v="228629"/>
    <n v="38"/>
    <x v="846"/>
    <n v="2"/>
    <n v="0"/>
    <n v="0.24931220448849445"/>
    <x v="7"/>
    <n v="1.6620813632566296E-4"/>
    <x v="1"/>
    <n v="0"/>
    <n v="5.2631578947368416"/>
  </r>
  <r>
    <n v="1314392"/>
    <x v="2"/>
    <n v="179959"/>
    <x v="2"/>
    <x v="1"/>
    <x v="39"/>
    <n v="758340"/>
    <n v="159"/>
    <x v="847"/>
    <n v="13"/>
    <n v="4"/>
    <n v="0.30739510246063773"/>
    <x v="848"/>
    <n v="2.0966848643088853E-4"/>
    <x v="486"/>
    <n v="2.5157232704402517E-2"/>
    <n v="8.1761006289308167"/>
  </r>
  <r>
    <n v="1314393"/>
    <x v="2"/>
    <n v="179960"/>
    <x v="2"/>
    <x v="1"/>
    <x v="30"/>
    <n v="877535"/>
    <n v="149"/>
    <x v="848"/>
    <n v="5"/>
    <n v="2"/>
    <n v="0.24817243369210346"/>
    <x v="849"/>
    <n v="1.6979379739839436E-4"/>
    <x v="487"/>
    <n v="1.3422818791946308E-2"/>
    <n v="3.3557046979865772"/>
  </r>
  <r>
    <n v="1314394"/>
    <x v="2"/>
    <n v="179961"/>
    <x v="2"/>
    <x v="1"/>
    <x v="35"/>
    <n v="1357386"/>
    <n v="223"/>
    <x v="849"/>
    <n v="10"/>
    <n v="1"/>
    <n v="0.23800157589661305"/>
    <x v="850"/>
    <n v="1.6428635627595983E-4"/>
    <x v="488"/>
    <n v="4.4843049327354259E-3"/>
    <n v="4.4843049327354256"/>
  </r>
  <r>
    <n v="1314395"/>
    <x v="2"/>
    <n v="179962"/>
    <x v="2"/>
    <x v="1"/>
    <x v="36"/>
    <n v="280240"/>
    <n v="61"/>
    <x v="850"/>
    <n v="2"/>
    <n v="2"/>
    <n v="0.3139808795318299"/>
    <x v="851"/>
    <n v="2.1767056808449901E-4"/>
    <x v="489"/>
    <n v="3.2786885245901641E-2"/>
    <n v="3.278688524590164"/>
  </r>
  <r>
    <n v="1314396"/>
    <x v="2"/>
    <n v="179963"/>
    <x v="2"/>
    <x v="1"/>
    <x v="31"/>
    <n v="419922"/>
    <n v="75"/>
    <x v="851"/>
    <n v="3"/>
    <n v="1"/>
    <n v="0.2511180666885755"/>
    <x v="852"/>
    <n v="1.7860459799677082E-4"/>
    <x v="490"/>
    <n v="1.3333333333333334E-2"/>
    <n v="4"/>
  </r>
  <r>
    <n v="1314397"/>
    <x v="2"/>
    <n v="179964"/>
    <x v="2"/>
    <x v="1"/>
    <x v="32"/>
    <n v="402975"/>
    <n v="83"/>
    <x v="852"/>
    <n v="1"/>
    <n v="0"/>
    <n v="0.30001860586885043"/>
    <x v="853"/>
    <n v="2.059681121657671E-4"/>
    <x v="1"/>
    <n v="0"/>
    <n v="1.2048192771084338"/>
  </r>
  <r>
    <n v="1314398"/>
    <x v="2"/>
    <n v="179965"/>
    <x v="2"/>
    <x v="1"/>
    <x v="33"/>
    <n v="1137635"/>
    <n v="211"/>
    <x v="853"/>
    <n v="30"/>
    <n v="10"/>
    <n v="0.26462793356392866"/>
    <x v="854"/>
    <n v="1.854724933744127E-4"/>
    <x v="491"/>
    <n v="4.7393364928909949E-2"/>
    <n v="14.218009478672986"/>
  </r>
  <r>
    <n v="1314400"/>
    <x v="2"/>
    <n v="179967"/>
    <x v="2"/>
    <x v="1"/>
    <x v="37"/>
    <n v="250234"/>
    <n v="40"/>
    <x v="854"/>
    <n v="4"/>
    <n v="1"/>
    <n v="0.24904688899190358"/>
    <x v="855"/>
    <n v="1.5985038004427855E-4"/>
    <x v="492"/>
    <n v="2.5000000000000001E-2"/>
    <n v="10"/>
  </r>
  <r>
    <n v="1314401"/>
    <x v="2"/>
    <n v="179968"/>
    <x v="3"/>
    <x v="1"/>
    <x v="25"/>
    <n v="904907"/>
    <n v="195"/>
    <x v="855"/>
    <n v="11"/>
    <n v="1"/>
    <n v="0.30856208980591376"/>
    <x v="856"/>
    <n v="2.1549175771653882E-4"/>
    <x v="493"/>
    <n v="5.1282051282051282E-3"/>
    <n v="5.6410256410256414"/>
  </r>
  <r>
    <n v="1314402"/>
    <x v="2"/>
    <n v="179969"/>
    <x v="3"/>
    <x v="1"/>
    <x v="26"/>
    <n v="589270"/>
    <n v="107"/>
    <x v="856"/>
    <n v="10"/>
    <n v="4"/>
    <n v="0.26821321686154054"/>
    <x v="857"/>
    <n v="1.8158059972508357E-4"/>
    <x v="494"/>
    <n v="3.7383177570093455E-2"/>
    <n v="9.3457943925233646"/>
  </r>
  <r>
    <n v="1314403"/>
    <x v="2"/>
    <n v="179970"/>
    <x v="3"/>
    <x v="1"/>
    <x v="27"/>
    <n v="168714"/>
    <n v="24"/>
    <x v="857"/>
    <n v="2"/>
    <n v="2"/>
    <n v="0.21343813026779046"/>
    <x v="858"/>
    <n v="1.4225256943703547E-4"/>
    <x v="495"/>
    <n v="8.3333333333333329E-2"/>
    <n v="8.3333333333333321"/>
  </r>
  <r>
    <n v="1314404"/>
    <x v="2"/>
    <n v="179971"/>
    <x v="3"/>
    <x v="1"/>
    <x v="28"/>
    <n v="71982"/>
    <n v="11"/>
    <x v="858"/>
    <n v="1"/>
    <n v="0"/>
    <n v="0.22700120182823483"/>
    <x v="859"/>
    <n v="1.5281598177322109E-4"/>
    <x v="1"/>
    <n v="0"/>
    <n v="9.0909090909090917"/>
  </r>
  <r>
    <n v="1314405"/>
    <x v="2"/>
    <n v="179972"/>
    <x v="3"/>
    <x v="1"/>
    <x v="38"/>
    <n v="558666"/>
    <n v="110"/>
    <x v="859"/>
    <n v="14"/>
    <n v="5"/>
    <n v="0.29112206130317575"/>
    <x v="860"/>
    <n v="1.9689760966301869E-4"/>
    <x v="496"/>
    <n v="4.5454545454545456E-2"/>
    <n v="12.727272727272727"/>
  </r>
  <r>
    <n v="1314406"/>
    <x v="2"/>
    <n v="179973"/>
    <x v="3"/>
    <x v="1"/>
    <x v="29"/>
    <n v="1118200"/>
    <n v="235"/>
    <x v="860"/>
    <n v="11"/>
    <n v="4"/>
    <n v="0.29847075147558583"/>
    <x v="861"/>
    <n v="2.1015918440350564E-4"/>
    <x v="497"/>
    <n v="1.7021276595744681E-2"/>
    <n v="4.6808510638297873"/>
  </r>
  <r>
    <n v="1314407"/>
    <x v="2"/>
    <n v="179974"/>
    <x v="3"/>
    <x v="1"/>
    <x v="39"/>
    <n v="107100"/>
    <n v="23"/>
    <x v="861"/>
    <n v="1"/>
    <n v="0"/>
    <n v="0.31475257245564892"/>
    <x v="862"/>
    <n v="2.1475256769374417E-4"/>
    <x v="1"/>
    <n v="0"/>
    <n v="4.3478260869565215"/>
  </r>
  <r>
    <n v="1314408"/>
    <x v="2"/>
    <n v="179975"/>
    <x v="3"/>
    <x v="1"/>
    <x v="30"/>
    <n v="877769"/>
    <n v="160"/>
    <x v="862"/>
    <n v="13"/>
    <n v="4"/>
    <n v="0.2649785997227061"/>
    <x v="863"/>
    <n v="1.8228030381569639E-4"/>
    <x v="498"/>
    <n v="2.5000000000000001E-2"/>
    <n v="8.125"/>
  </r>
  <r>
    <n v="1314409"/>
    <x v="2"/>
    <n v="179976"/>
    <x v="3"/>
    <x v="1"/>
    <x v="35"/>
    <n v="212508"/>
    <n v="33"/>
    <x v="863"/>
    <n v="4"/>
    <n v="1"/>
    <n v="0.22441508112635761"/>
    <x v="864"/>
    <n v="1.5528827150036704E-4"/>
    <x v="499"/>
    <n v="3.0303030303030304E-2"/>
    <n v="12.121212121212121"/>
  </r>
  <r>
    <n v="1314410"/>
    <x v="2"/>
    <n v="179977"/>
    <x v="3"/>
    <x v="1"/>
    <x v="36"/>
    <n v="1129773"/>
    <n v="252"/>
    <x v="864"/>
    <n v="13"/>
    <n v="2"/>
    <n v="0.31704598799935912"/>
    <x v="865"/>
    <n v="2.2305365768167588E-4"/>
    <x v="500"/>
    <n v="7.9365079365079361E-3"/>
    <n v="5.1587301587301582"/>
  </r>
  <r>
    <n v="1314411"/>
    <x v="2"/>
    <n v="179978"/>
    <x v="3"/>
    <x v="1"/>
    <x v="31"/>
    <n v="637549"/>
    <n v="120"/>
    <x v="865"/>
    <n v="3"/>
    <n v="0"/>
    <n v="0.27273198373772051"/>
    <x v="866"/>
    <n v="1.882208269482032E-4"/>
    <x v="1"/>
    <n v="0"/>
    <n v="2.5"/>
  </r>
  <r>
    <n v="1314412"/>
    <x v="2"/>
    <n v="179979"/>
    <x v="3"/>
    <x v="1"/>
    <x v="32"/>
    <n v="151531"/>
    <n v="28"/>
    <x v="866"/>
    <n v="2"/>
    <n v="0"/>
    <n v="0.26588618493905541"/>
    <x v="867"/>
    <n v="1.8478067194171489E-4"/>
    <x v="1"/>
    <n v="0"/>
    <n v="7.1428571428571423"/>
  </r>
  <r>
    <n v="1314414"/>
    <x v="2"/>
    <n v="179981"/>
    <x v="3"/>
    <x v="1"/>
    <x v="34"/>
    <n v="790253"/>
    <n v="135"/>
    <x v="867"/>
    <n v="8"/>
    <n v="2"/>
    <n v="0.25145111818620114"/>
    <x v="868"/>
    <n v="1.7083136666358749E-4"/>
    <x v="501"/>
    <n v="1.4814814814814815E-2"/>
    <n v="5.9259259259259265"/>
  </r>
  <r>
    <n v="1314415"/>
    <x v="2"/>
    <n v="179982"/>
    <x v="3"/>
    <x v="1"/>
    <x v="37"/>
    <n v="513161"/>
    <n v="114"/>
    <x v="868"/>
    <n v="5"/>
    <n v="2"/>
    <n v="0.32272522405249038"/>
    <x v="869"/>
    <n v="2.2215250184639908E-4"/>
    <x v="502"/>
    <n v="1.7543859649122806E-2"/>
    <n v="4.38596491228070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E30B32-4487-40FA-8557-4628B32BCA5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4" firstHeaderRow="0" firstDataRow="1" firstDataCol="0"/>
  <pivotFields count="17">
    <pivotField showAll="0"/>
    <pivotField showAll="0"/>
    <pivotField showAll="0"/>
    <pivotField showAll="0"/>
    <pivotField showAll="0"/>
    <pivotField numFmtId="1" showAll="0"/>
    <pivotField dataField="1" numFmtId="1" showAll="0"/>
    <pivotField dataField="1" numFmtId="1" showAll="0"/>
    <pivotField dataField="1" numFmtId="164" showAll="0"/>
    <pivotField numFmtId="1" showAll="0"/>
    <pivotField dataField="1" numFmtId="1" showAll="0"/>
    <pivotField dataField="1" numFmtId="2" showAll="0"/>
    <pivotField dataField="1" numFmtId="2" showAll="0"/>
    <pivotField dataField="1" numFmtId="2" showAll="0"/>
    <pivotField dataField="1" numFmtId="2" showAll="0"/>
    <pivotField dataField="1" numFmtId="10" showAll="0"/>
    <pivotField numFmtId="2" showAll="0"/>
  </pivotFields>
  <rowItems count="1">
    <i/>
  </rowItems>
  <colFields count="1">
    <field x="-2"/>
  </colFields>
  <colItems count="9">
    <i>
      <x/>
    </i>
    <i i="1">
      <x v="1"/>
    </i>
    <i i="2">
      <x v="2"/>
    </i>
    <i i="3">
      <x v="3"/>
    </i>
    <i i="4">
      <x v="4"/>
    </i>
    <i i="5">
      <x v="5"/>
    </i>
    <i i="6">
      <x v="6"/>
    </i>
    <i i="7">
      <x v="7"/>
    </i>
    <i i="8">
      <x v="8"/>
    </i>
  </colItems>
  <dataFields count="9">
    <dataField name="Sum of Spent" fld="8" baseField="0" baseItem="0" numFmtId="164"/>
    <dataField name="Sum of Impressions" fld="6" baseField="0" baseItem="0" numFmtId="1"/>
    <dataField name="Sum of Clicks" fld="7" baseField="0" baseItem="0" numFmtId="1"/>
    <dataField name="Sum of Approved_Conversion" fld="10" baseField="0" baseItem="0" numFmtId="1"/>
    <dataField name="Average of CPM" fld="11" subtotal="average" baseField="0" baseItem="0" numFmtId="2"/>
    <dataField name="Average of CPC" fld="12" subtotal="average" baseField="0" baseItem="0" numFmtId="2"/>
    <dataField name="Average of CTR" fld="13" subtotal="average" baseField="0" baseItem="0" numFmtId="165"/>
    <dataField name="Average of CPA" fld="14" subtotal="average" baseField="0" baseItem="0" numFmtId="2"/>
    <dataField name="Average of CCR" fld="15" subtotal="average" baseField="0" baseItem="0" numFmtId="10"/>
  </dataFields>
  <formats count="1">
    <format dxfId="297">
      <pivotArea outline="0" collapsedLevelsAreSubtotals="1" fieldPosition="0">
        <references count="1">
          <reference field="429496729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0BEDF9-DCEC-4826-A4CB-7995419EA0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location ref="Z3:AG7" firstHeaderRow="0" firstDataRow="1" firstDataCol="1"/>
  <pivotFields count="17">
    <pivotField showAll="0"/>
    <pivotField axis="axisRow" showAll="0">
      <items count="4">
        <item x="0"/>
        <item x="1"/>
        <item x="2"/>
        <item t="default"/>
      </items>
    </pivotField>
    <pivotField showAll="0"/>
    <pivotField showAll="0"/>
    <pivotField showAll="0"/>
    <pivotField numFmtId="1" showAll="0"/>
    <pivotField dataField="1" numFmtId="1" showAll="0"/>
    <pivotField dataField="1" numFmtId="1" showAll="0"/>
    <pivotField dataField="1" numFmtId="164" showAll="0"/>
    <pivotField numFmtId="1" showAll="0"/>
    <pivotField dataField="1" numFmtId="1" showAll="0"/>
    <pivotField numFmtId="2" showAll="0"/>
    <pivotField numFmtId="2" showAll="0"/>
    <pivotField dataField="1" numFmtId="2" showAll="0"/>
    <pivotField dataField="1" numFmtId="2" showAll="0"/>
    <pivotField dataField="1" numFmtId="10" showAll="0"/>
    <pivotField numFmtId="2" showAll="0"/>
  </pivotFields>
  <rowFields count="1">
    <field x="1"/>
  </rowFields>
  <rowItems count="4">
    <i>
      <x/>
    </i>
    <i>
      <x v="1"/>
    </i>
    <i>
      <x v="2"/>
    </i>
    <i t="grand">
      <x/>
    </i>
  </rowItems>
  <colFields count="1">
    <field x="-2"/>
  </colFields>
  <colItems count="7">
    <i>
      <x/>
    </i>
    <i i="1">
      <x v="1"/>
    </i>
    <i i="2">
      <x v="2"/>
    </i>
    <i i="3">
      <x v="3"/>
    </i>
    <i i="4">
      <x v="4"/>
    </i>
    <i i="5">
      <x v="5"/>
    </i>
    <i i="6">
      <x v="6"/>
    </i>
  </colItems>
  <dataFields count="7">
    <dataField name="Sum of Clicks" fld="7" baseField="0" baseItem="0" numFmtId="1"/>
    <dataField name="Sum of Impressions" fld="6" baseField="0" baseItem="0" numFmtId="1"/>
    <dataField name="Sum of Spent" fld="8" baseField="0" baseItem="0" numFmtId="164"/>
    <dataField name="Sum of Approved_Conversion" fld="10" baseField="0" baseItem="0" numFmtId="1"/>
    <dataField name="Average of CPA" fld="14" subtotal="average" baseField="0" baseItem="0" numFmtId="2"/>
    <dataField name="Average of CTR" fld="13" subtotal="average" baseField="0" baseItem="0" numFmtId="166"/>
    <dataField name="Average of CCR" fld="15" subtotal="average" baseField="0" baseItem="0" numFmtId="10"/>
  </dataFields>
  <formats count="1">
    <format dxfId="298">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3D331A-4671-4425-BFCC-A2DF80D86B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3:V16" firstHeaderRow="0" firstDataRow="1" firstDataCol="1"/>
  <pivotFields count="17">
    <pivotField showAll="0"/>
    <pivotField showAll="0"/>
    <pivotField showAll="0"/>
    <pivotField axis="axisRow" showAll="0">
      <items count="5">
        <item x="0"/>
        <item x="1"/>
        <item x="2"/>
        <item x="3"/>
        <item t="default"/>
      </items>
    </pivotField>
    <pivotField axis="axisRow" showAll="0">
      <items count="3">
        <item x="1"/>
        <item x="0"/>
        <item t="default"/>
      </items>
    </pivotField>
    <pivotField numFmtId="1" showAll="0"/>
    <pivotField dataField="1" numFmtId="1" showAll="0"/>
    <pivotField numFmtId="1" showAll="0"/>
    <pivotField dataField="1" numFmtId="164" showAll="0"/>
    <pivotField numFmtId="1" showAll="0"/>
    <pivotField dataField="1" numFmtId="1" showAll="0"/>
    <pivotField dataField="1" numFmtId="2" showAll="0"/>
    <pivotField dataField="1" numFmtId="2" showAll="0">
      <items count="871">
        <item x="165"/>
        <item x="68"/>
        <item x="268"/>
        <item x="131"/>
        <item x="237"/>
        <item x="77"/>
        <item x="10"/>
        <item x="92"/>
        <item x="223"/>
        <item x="45"/>
        <item x="194"/>
        <item x="95"/>
        <item x="164"/>
        <item x="18"/>
        <item x="79"/>
        <item x="203"/>
        <item x="179"/>
        <item x="204"/>
        <item x="1"/>
        <item x="102"/>
        <item x="201"/>
        <item x="253"/>
        <item x="207"/>
        <item x="178"/>
        <item x="150"/>
        <item x="96"/>
        <item x="91"/>
        <item x="189"/>
        <item x="168"/>
        <item x="228"/>
        <item x="192"/>
        <item x="38"/>
        <item x="171"/>
        <item x="269"/>
        <item x="8"/>
        <item x="258"/>
        <item x="136"/>
        <item x="69"/>
        <item x="208"/>
        <item x="108"/>
        <item x="55"/>
        <item x="33"/>
        <item x="227"/>
        <item x="249"/>
        <item x="436"/>
        <item x="129"/>
        <item x="93"/>
        <item x="12"/>
        <item x="243"/>
        <item x="259"/>
        <item x="58"/>
        <item x="100"/>
        <item x="154"/>
        <item x="120"/>
        <item x="25"/>
        <item x="158"/>
        <item x="266"/>
        <item x="80"/>
        <item x="111"/>
        <item x="112"/>
        <item x="747"/>
        <item x="19"/>
        <item x="105"/>
        <item x="719"/>
        <item x="174"/>
        <item x="30"/>
        <item x="115"/>
        <item x="215"/>
        <item x="245"/>
        <item x="246"/>
        <item x="400"/>
        <item x="673"/>
        <item x="242"/>
        <item x="3"/>
        <item x="672"/>
        <item x="187"/>
        <item x="157"/>
        <item x="759"/>
        <item x="247"/>
        <item x="6"/>
        <item x="820"/>
        <item x="251"/>
        <item x="603"/>
        <item x="87"/>
        <item x="205"/>
        <item x="732"/>
        <item x="169"/>
        <item x="37"/>
        <item x="712"/>
        <item x="754"/>
        <item x="4"/>
        <item x="23"/>
        <item x="240"/>
        <item x="690"/>
        <item x="232"/>
        <item x="57"/>
        <item x="13"/>
        <item x="777"/>
        <item x="239"/>
        <item x="404"/>
        <item x="263"/>
        <item x="624"/>
        <item x="740"/>
        <item x="765"/>
        <item x="758"/>
        <item x="637"/>
        <item x="210"/>
        <item x="26"/>
        <item x="20"/>
        <item x="660"/>
        <item x="170"/>
        <item x="244"/>
        <item x="114"/>
        <item x="190"/>
        <item x="720"/>
        <item x="43"/>
        <item x="680"/>
        <item x="212"/>
        <item x="586"/>
        <item x="222"/>
        <item x="722"/>
        <item x="217"/>
        <item x="98"/>
        <item x="742"/>
        <item x="668"/>
        <item x="209"/>
        <item x="745"/>
        <item x="211"/>
        <item x="738"/>
        <item x="35"/>
        <item x="172"/>
        <item x="70"/>
        <item x="56"/>
        <item x="725"/>
        <item x="199"/>
        <item x="780"/>
        <item x="85"/>
        <item x="202"/>
        <item x="785"/>
        <item x="468"/>
        <item x="28"/>
        <item x="193"/>
        <item x="676"/>
        <item x="797"/>
        <item x="61"/>
        <item x="41"/>
        <item x="686"/>
        <item x="248"/>
        <item x="184"/>
        <item x="806"/>
        <item x="793"/>
        <item x="633"/>
        <item x="224"/>
        <item x="180"/>
        <item x="260"/>
        <item x="772"/>
        <item x="769"/>
        <item x="221"/>
        <item x="46"/>
        <item x="775"/>
        <item x="750"/>
        <item x="195"/>
        <item x="599"/>
        <item x="479"/>
        <item x="84"/>
        <item x="824"/>
        <item x="89"/>
        <item x="831"/>
        <item x="723"/>
        <item x="717"/>
        <item x="218"/>
        <item x="661"/>
        <item x="99"/>
        <item x="681"/>
        <item x="634"/>
        <item x="88"/>
        <item x="784"/>
        <item x="689"/>
        <item x="197"/>
        <item x="683"/>
        <item x="460"/>
        <item x="523"/>
        <item x="216"/>
        <item x="658"/>
        <item x="703"/>
        <item x="264"/>
        <item x="730"/>
        <item x="764"/>
        <item x="156"/>
        <item x="67"/>
        <item x="17"/>
        <item x="144"/>
        <item x="679"/>
        <item x="704"/>
        <item x="741"/>
        <item x="220"/>
        <item x="678"/>
        <item x="235"/>
        <item x="762"/>
        <item x="696"/>
        <item x="54"/>
        <item x="695"/>
        <item x="827"/>
        <item x="700"/>
        <item x="229"/>
        <item x="625"/>
        <item x="50"/>
        <item x="697"/>
        <item x="825"/>
        <item x="743"/>
        <item x="746"/>
        <item x="333"/>
        <item x="29"/>
        <item x="706"/>
        <item x="749"/>
        <item x="241"/>
        <item x="752"/>
        <item x="656"/>
        <item x="467"/>
        <item x="701"/>
        <item x="744"/>
        <item x="116"/>
        <item x="713"/>
        <item x="81"/>
        <item x="694"/>
        <item x="826"/>
        <item x="667"/>
        <item x="830"/>
        <item x="31"/>
        <item x="829"/>
        <item x="693"/>
        <item x="561"/>
        <item x="635"/>
        <item x="629"/>
        <item x="718"/>
        <item x="600"/>
        <item x="331"/>
        <item x="727"/>
        <item x="819"/>
        <item x="143"/>
        <item x="761"/>
        <item x="823"/>
        <item x="852"/>
        <item x="73"/>
        <item x="585"/>
        <item x="36"/>
        <item x="845"/>
        <item x="790"/>
        <item x="598"/>
        <item x="53"/>
        <item x="555"/>
        <item x="788"/>
        <item x="709"/>
        <item x="711"/>
        <item x="789"/>
        <item x="698"/>
        <item x="699"/>
        <item x="563"/>
        <item x="791"/>
        <item x="48"/>
        <item x="558"/>
        <item x="812"/>
        <item x="708"/>
        <item x="493"/>
        <item x="650"/>
        <item x="40"/>
        <item x="141"/>
        <item x="861"/>
        <item x="655"/>
        <item x="832"/>
        <item x="865"/>
        <item x="146"/>
        <item x="773"/>
        <item x="846"/>
        <item x="608"/>
        <item x="721"/>
        <item x="311"/>
        <item x="233"/>
        <item x="771"/>
        <item x="854"/>
        <item x="591"/>
        <item x="748"/>
        <item x="760"/>
        <item x="847"/>
        <item x="0"/>
        <item x="261"/>
        <item x="809"/>
        <item x="654"/>
        <item x="856"/>
        <item x="839"/>
        <item x="34"/>
        <item x="776"/>
        <item x="47"/>
        <item x="252"/>
        <item x="62"/>
        <item x="684"/>
        <item x="763"/>
        <item x="382"/>
        <item x="755"/>
        <item x="42"/>
        <item x="867"/>
        <item x="795"/>
        <item x="234"/>
        <item x="596"/>
        <item x="238"/>
        <item x="231"/>
        <item x="702"/>
        <item x="818"/>
        <item x="814"/>
        <item x="726"/>
        <item x="651"/>
        <item x="851"/>
        <item x="530"/>
        <item x="257"/>
        <item x="295"/>
        <item x="834"/>
        <item x="685"/>
        <item x="641"/>
        <item x="835"/>
        <item x="167"/>
        <item x="148"/>
        <item x="578"/>
        <item x="864"/>
        <item x="145"/>
        <item x="837"/>
        <item x="391"/>
        <item x="828"/>
        <item x="850"/>
        <item x="866"/>
        <item x="74"/>
        <item x="60"/>
        <item x="833"/>
        <item x="811"/>
        <item x="783"/>
        <item x="869"/>
        <item x="804"/>
        <item x="731"/>
        <item x="863"/>
        <item x="782"/>
        <item x="267"/>
        <item x="739"/>
        <item x="595"/>
        <item x="601"/>
        <item x="734"/>
        <item x="853"/>
        <item x="151"/>
        <item x="642"/>
        <item x="822"/>
        <item x="666"/>
        <item x="786"/>
        <item x="652"/>
        <item x="715"/>
        <item x="39"/>
        <item x="838"/>
        <item x="836"/>
        <item x="849"/>
        <item x="729"/>
        <item x="821"/>
        <item x="815"/>
        <item x="841"/>
        <item x="770"/>
        <item x="64"/>
        <item x="862"/>
        <item x="848"/>
        <item x="733"/>
        <item x="844"/>
        <item x="9"/>
        <item x="802"/>
        <item x="627"/>
        <item x="101"/>
        <item x="21"/>
        <item x="622"/>
        <item x="794"/>
        <item x="675"/>
        <item x="724"/>
        <item x="868"/>
        <item x="562"/>
        <item x="628"/>
        <item x="106"/>
        <item x="528"/>
        <item x="630"/>
        <item x="756"/>
        <item x="206"/>
        <item x="537"/>
        <item x="857"/>
        <item x="219"/>
        <item x="428"/>
        <item x="860"/>
        <item x="766"/>
        <item x="51"/>
        <item x="604"/>
        <item x="597"/>
        <item x="787"/>
        <item x="614"/>
        <item x="647"/>
        <item x="386"/>
        <item x="707"/>
        <item x="44"/>
        <item x="137"/>
        <item x="813"/>
        <item x="859"/>
        <item x="461"/>
        <item x="705"/>
        <item x="843"/>
        <item x="59"/>
        <item x="751"/>
        <item x="173"/>
        <item x="200"/>
        <item x="16"/>
        <item x="799"/>
        <item x="677"/>
        <item x="554"/>
        <item x="605"/>
        <item x="687"/>
        <item x="565"/>
        <item x="636"/>
        <item x="474"/>
        <item x="710"/>
        <item x="225"/>
        <item x="808"/>
        <item x="517"/>
        <item x="662"/>
        <item x="491"/>
        <item x="798"/>
        <item x="475"/>
        <item x="487"/>
        <item x="623"/>
        <item x="800"/>
        <item x="7"/>
        <item x="805"/>
        <item x="858"/>
        <item x="580"/>
        <item x="577"/>
        <item x="501"/>
        <item x="570"/>
        <item x="579"/>
        <item x="810"/>
        <item x="646"/>
        <item x="71"/>
        <item x="214"/>
        <item x="757"/>
        <item x="779"/>
        <item x="816"/>
        <item x="177"/>
        <item x="736"/>
        <item x="594"/>
        <item x="665"/>
        <item x="27"/>
        <item x="183"/>
        <item x="429"/>
        <item x="645"/>
        <item x="181"/>
        <item x="626"/>
        <item x="692"/>
        <item x="564"/>
        <item x="801"/>
        <item x="671"/>
        <item x="567"/>
        <item x="542"/>
        <item x="817"/>
        <item x="250"/>
        <item x="538"/>
        <item x="653"/>
        <item x="83"/>
        <item x="489"/>
        <item x="781"/>
        <item x="529"/>
        <item x="792"/>
        <item x="256"/>
        <item x="588"/>
        <item x="86"/>
        <item x="842"/>
        <item x="602"/>
        <item x="735"/>
        <item x="226"/>
        <item x="659"/>
        <item x="589"/>
        <item x="14"/>
        <item x="669"/>
        <item x="353"/>
        <item x="22"/>
        <item x="15"/>
        <item x="576"/>
        <item x="76"/>
        <item x="670"/>
        <item x="691"/>
        <item x="97"/>
        <item x="638"/>
        <item x="581"/>
        <item x="643"/>
        <item x="459"/>
        <item x="162"/>
        <item x="476"/>
        <item x="340"/>
        <item x="682"/>
        <item x="536"/>
        <item x="351"/>
        <item x="444"/>
        <item x="728"/>
        <item x="540"/>
        <item x="230"/>
        <item x="103"/>
        <item x="500"/>
        <item x="796"/>
        <item x="360"/>
        <item x="462"/>
        <item x="477"/>
        <item x="590"/>
        <item x="807"/>
        <item x="163"/>
        <item x="502"/>
        <item x="593"/>
        <item x="213"/>
        <item x="185"/>
        <item x="270"/>
        <item x="640"/>
        <item x="135"/>
        <item x="110"/>
        <item x="560"/>
        <item x="644"/>
        <item x="403"/>
        <item x="639"/>
        <item x="774"/>
        <item x="343"/>
        <item x="123"/>
        <item x="632"/>
        <item x="855"/>
        <item x="566"/>
        <item x="254"/>
        <item x="320"/>
        <item x="509"/>
        <item x="49"/>
        <item x="378"/>
        <item x="663"/>
        <item x="63"/>
        <item x="66"/>
        <item x="122"/>
        <item x="350"/>
        <item x="431"/>
        <item x="469"/>
        <item x="840"/>
        <item x="767"/>
        <item x="159"/>
        <item x="52"/>
        <item x="186"/>
        <item x="657"/>
        <item x="508"/>
        <item x="522"/>
        <item x="342"/>
        <item x="265"/>
        <item x="352"/>
        <item x="494"/>
        <item x="611"/>
        <item x="607"/>
        <item x="649"/>
        <item x="155"/>
        <item x="569"/>
        <item x="117"/>
        <item x="714"/>
        <item x="768"/>
        <item x="485"/>
        <item x="147"/>
        <item x="72"/>
        <item x="688"/>
        <item x="124"/>
        <item x="121"/>
        <item x="139"/>
        <item x="492"/>
        <item x="521"/>
        <item x="527"/>
        <item x="526"/>
        <item x="478"/>
        <item x="5"/>
        <item x="75"/>
        <item x="94"/>
        <item x="126"/>
        <item x="125"/>
        <item x="362"/>
        <item x="587"/>
        <item x="348"/>
        <item x="519"/>
        <item x="90"/>
        <item x="140"/>
        <item x="803"/>
        <item x="510"/>
        <item x="610"/>
        <item x="559"/>
        <item x="617"/>
        <item x="568"/>
        <item x="778"/>
        <item x="32"/>
        <item x="737"/>
        <item x="592"/>
        <item x="359"/>
        <item x="377"/>
        <item x="495"/>
        <item x="619"/>
        <item x="327"/>
        <item x="255"/>
        <item x="618"/>
        <item x="471"/>
        <item x="553"/>
        <item x="24"/>
        <item x="424"/>
        <item x="357"/>
        <item x="437"/>
        <item x="440"/>
        <item x="82"/>
        <item x="130"/>
        <item x="422"/>
        <item x="616"/>
        <item x="389"/>
        <item x="305"/>
        <item x="332"/>
        <item x="556"/>
        <item x="716"/>
        <item x="262"/>
        <item x="380"/>
        <item x="390"/>
        <item x="539"/>
        <item x="441"/>
        <item x="664"/>
        <item x="648"/>
        <item x="488"/>
        <item x="109"/>
        <item x="388"/>
        <item x="371"/>
        <item x="191"/>
        <item x="430"/>
        <item x="582"/>
        <item x="674"/>
        <item x="557"/>
        <item x="127"/>
        <item x="175"/>
        <item x="545"/>
        <item x="236"/>
        <item x="338"/>
        <item x="574"/>
        <item x="516"/>
        <item x="198"/>
        <item x="612"/>
        <item x="544"/>
        <item x="575"/>
        <item x="621"/>
        <item x="472"/>
        <item x="583"/>
        <item x="606"/>
        <item x="498"/>
        <item x="421"/>
        <item x="134"/>
        <item x="451"/>
        <item x="182"/>
        <item x="532"/>
        <item x="401"/>
        <item x="481"/>
        <item x="541"/>
        <item x="153"/>
        <item x="336"/>
        <item x="486"/>
        <item x="292"/>
        <item x="464"/>
        <item x="138"/>
        <item x="454"/>
        <item x="160"/>
        <item x="328"/>
        <item x="520"/>
        <item x="308"/>
        <item x="376"/>
        <item x="349"/>
        <item x="455"/>
        <item x="513"/>
        <item x="518"/>
        <item x="128"/>
        <item x="330"/>
        <item x="584"/>
        <item x="753"/>
        <item x="533"/>
        <item x="506"/>
        <item x="132"/>
        <item x="411"/>
        <item x="383"/>
        <item x="406"/>
        <item x="416"/>
        <item x="535"/>
        <item x="337"/>
        <item x="354"/>
        <item x="306"/>
        <item x="457"/>
        <item x="442"/>
        <item x="482"/>
        <item x="483"/>
        <item x="11"/>
        <item x="393"/>
        <item x="133"/>
        <item x="505"/>
        <item x="329"/>
        <item x="294"/>
        <item x="381"/>
        <item x="514"/>
        <item x="399"/>
        <item x="104"/>
        <item x="385"/>
        <item x="548"/>
        <item x="490"/>
        <item x="176"/>
        <item x="573"/>
        <item x="438"/>
        <item x="572"/>
        <item x="410"/>
        <item x="620"/>
        <item x="366"/>
        <item x="503"/>
        <item x="314"/>
        <item x="301"/>
        <item x="282"/>
        <item x="341"/>
        <item x="315"/>
        <item x="290"/>
        <item x="432"/>
        <item x="325"/>
        <item x="473"/>
        <item x="435"/>
        <item x="484"/>
        <item x="161"/>
        <item x="427"/>
        <item x="511"/>
        <item x="289"/>
        <item x="281"/>
        <item x="387"/>
        <item x="273"/>
        <item x="470"/>
        <item x="402"/>
        <item x="356"/>
        <item x="543"/>
        <item x="358"/>
        <item x="413"/>
        <item x="609"/>
        <item x="531"/>
        <item x="326"/>
        <item x="309"/>
        <item x="312"/>
        <item x="398"/>
        <item x="303"/>
        <item x="367"/>
        <item x="443"/>
        <item x="321"/>
        <item x="322"/>
        <item x="319"/>
        <item x="534"/>
        <item x="449"/>
        <item x="549"/>
        <item x="546"/>
        <item x="613"/>
        <item x="465"/>
        <item x="375"/>
        <item x="392"/>
        <item x="446"/>
        <item x="571"/>
        <item x="345"/>
        <item x="409"/>
        <item x="463"/>
        <item x="317"/>
        <item x="480"/>
        <item x="631"/>
        <item x="458"/>
        <item x="363"/>
        <item x="286"/>
        <item x="420"/>
        <item x="149"/>
        <item x="504"/>
        <item x="278"/>
        <item x="323"/>
        <item x="287"/>
        <item x="369"/>
        <item x="445"/>
        <item x="433"/>
        <item x="452"/>
        <item x="497"/>
        <item x="324"/>
        <item x="288"/>
        <item x="113"/>
        <item x="361"/>
        <item x="456"/>
        <item x="448"/>
        <item x="291"/>
        <item x="396"/>
        <item x="499"/>
        <item x="279"/>
        <item x="515"/>
        <item x="283"/>
        <item x="408"/>
        <item x="425"/>
        <item x="550"/>
        <item x="196"/>
        <item x="512"/>
        <item x="364"/>
        <item x="439"/>
        <item x="373"/>
        <item x="310"/>
        <item x="166"/>
        <item x="374"/>
        <item x="188"/>
        <item x="284"/>
        <item x="551"/>
        <item x="524"/>
        <item x="271"/>
        <item x="316"/>
        <item x="405"/>
        <item x="417"/>
        <item x="152"/>
        <item x="496"/>
        <item x="395"/>
        <item x="275"/>
        <item x="65"/>
        <item x="313"/>
        <item x="297"/>
        <item x="272"/>
        <item x="466"/>
        <item x="142"/>
        <item x="370"/>
        <item x="280"/>
        <item x="412"/>
        <item x="372"/>
        <item x="434"/>
        <item x="397"/>
        <item x="507"/>
        <item x="450"/>
        <item x="384"/>
        <item x="407"/>
        <item x="339"/>
        <item x="107"/>
        <item x="414"/>
        <item x="419"/>
        <item x="307"/>
        <item x="318"/>
        <item x="525"/>
        <item x="615"/>
        <item x="277"/>
        <item x="274"/>
        <item x="423"/>
        <item x="302"/>
        <item x="365"/>
        <item x="418"/>
        <item x="394"/>
        <item x="285"/>
        <item x="415"/>
        <item x="355"/>
        <item x="78"/>
        <item x="344"/>
        <item x="293"/>
        <item x="276"/>
        <item x="547"/>
        <item x="453"/>
        <item x="304"/>
        <item x="552"/>
        <item x="379"/>
        <item x="368"/>
        <item x="447"/>
        <item x="347"/>
        <item x="296"/>
        <item x="300"/>
        <item x="346"/>
        <item x="118"/>
        <item x="119"/>
        <item x="299"/>
        <item x="335"/>
        <item x="426"/>
        <item x="298"/>
        <item x="334"/>
        <item x="2"/>
        <item t="default"/>
      </items>
    </pivotField>
    <pivotField dataField="1" numFmtId="2" showAll="0"/>
    <pivotField dataField="1" numFmtId="2" showAll="0"/>
    <pivotField dataField="1" numFmtId="10" showAll="0"/>
    <pivotField numFmtId="2" showAll="0"/>
  </pivotFields>
  <rowFields count="2">
    <field x="3"/>
    <field x="4"/>
  </rowFields>
  <rowItems count="13">
    <i>
      <x/>
    </i>
    <i r="1">
      <x/>
    </i>
    <i r="1">
      <x v="1"/>
    </i>
    <i>
      <x v="1"/>
    </i>
    <i r="1">
      <x/>
    </i>
    <i r="1">
      <x v="1"/>
    </i>
    <i>
      <x v="2"/>
    </i>
    <i r="1">
      <x/>
    </i>
    <i r="1">
      <x v="1"/>
    </i>
    <i>
      <x v="3"/>
    </i>
    <i r="1">
      <x/>
    </i>
    <i r="1">
      <x v="1"/>
    </i>
    <i t="grand">
      <x/>
    </i>
  </rowItems>
  <colFields count="1">
    <field x="-2"/>
  </colFields>
  <colItems count="8">
    <i>
      <x/>
    </i>
    <i i="1">
      <x v="1"/>
    </i>
    <i i="2">
      <x v="2"/>
    </i>
    <i i="3">
      <x v="3"/>
    </i>
    <i i="4">
      <x v="4"/>
    </i>
    <i i="5">
      <x v="5"/>
    </i>
    <i i="6">
      <x v="6"/>
    </i>
    <i i="7">
      <x v="7"/>
    </i>
  </colItems>
  <dataFields count="8">
    <dataField name="Sum of Spent" fld="8" baseField="0" baseItem="0" numFmtId="164"/>
    <dataField name="Average of CPC" fld="12" subtotal="average" baseField="0" baseItem="0" numFmtId="2"/>
    <dataField name="Sum of Approved_Conversion" fld="10" baseField="0" baseItem="0" numFmtId="1"/>
    <dataField name="Sum of Impressions" fld="6" baseField="0" baseItem="0" numFmtId="1"/>
    <dataField name="Average of CPA" fld="14" subtotal="average" baseField="0" baseItem="0" numFmtId="2"/>
    <dataField name="Average of CPM" fld="11" subtotal="average" baseField="0" baseItem="0" numFmtId="2"/>
    <dataField name="Average of CCR" fld="15" subtotal="average" baseField="0" baseItem="0" numFmtId="10"/>
    <dataField name="Average of CTR" fld="13" subtotal="average" baseField="0" baseItem="0" numFmtId="2"/>
  </dataFields>
  <formats count="9">
    <format dxfId="307">
      <pivotArea collapsedLevelsAreSubtotals="1" fieldPosition="0">
        <references count="2">
          <reference field="4294967294" count="1" selected="0">
            <x v="7"/>
          </reference>
          <reference field="3" count="1">
            <x v="0"/>
          </reference>
        </references>
      </pivotArea>
    </format>
    <format dxfId="306">
      <pivotArea collapsedLevelsAreSubtotals="1" fieldPosition="0">
        <references count="3">
          <reference field="4294967294" count="1" selected="0">
            <x v="7"/>
          </reference>
          <reference field="3" count="1" selected="0">
            <x v="0"/>
          </reference>
          <reference field="4" count="0"/>
        </references>
      </pivotArea>
    </format>
    <format dxfId="305">
      <pivotArea collapsedLevelsAreSubtotals="1" fieldPosition="0">
        <references count="2">
          <reference field="4294967294" count="1" selected="0">
            <x v="7"/>
          </reference>
          <reference field="3" count="1">
            <x v="1"/>
          </reference>
        </references>
      </pivotArea>
    </format>
    <format dxfId="304">
      <pivotArea collapsedLevelsAreSubtotals="1" fieldPosition="0">
        <references count="3">
          <reference field="4294967294" count="1" selected="0">
            <x v="7"/>
          </reference>
          <reference field="3" count="1" selected="0">
            <x v="1"/>
          </reference>
          <reference field="4" count="0"/>
        </references>
      </pivotArea>
    </format>
    <format dxfId="303">
      <pivotArea collapsedLevelsAreSubtotals="1" fieldPosition="0">
        <references count="2">
          <reference field="4294967294" count="1" selected="0">
            <x v="7"/>
          </reference>
          <reference field="3" count="1">
            <x v="2"/>
          </reference>
        </references>
      </pivotArea>
    </format>
    <format dxfId="302">
      <pivotArea collapsedLevelsAreSubtotals="1" fieldPosition="0">
        <references count="3">
          <reference field="4294967294" count="1" selected="0">
            <x v="7"/>
          </reference>
          <reference field="3" count="1" selected="0">
            <x v="2"/>
          </reference>
          <reference field="4" count="0"/>
        </references>
      </pivotArea>
    </format>
    <format dxfId="301">
      <pivotArea collapsedLevelsAreSubtotals="1" fieldPosition="0">
        <references count="2">
          <reference field="4294967294" count="1" selected="0">
            <x v="7"/>
          </reference>
          <reference field="3" count="1">
            <x v="3"/>
          </reference>
        </references>
      </pivotArea>
    </format>
    <format dxfId="300">
      <pivotArea collapsedLevelsAreSubtotals="1" fieldPosition="0">
        <references count="3">
          <reference field="4294967294" count="1" selected="0">
            <x v="7"/>
          </reference>
          <reference field="3" count="1" selected="0">
            <x v="3"/>
          </reference>
          <reference field="4" count="0"/>
        </references>
      </pivotArea>
    </format>
    <format dxfId="299">
      <pivotArea field="3" grandRow="1" outline="0" collapsedLevelsAreSubtotals="1" axis="axisRow" fieldPosition="0">
        <references count="1">
          <reference field="4294967294" count="1" selected="0">
            <x v="7"/>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3"/>
          </reference>
        </references>
      </pivotArea>
    </chartFormat>
    <chartFormat chart="0" format="3"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FAACA4-2C69-4AB8-920B-8943FD3E0C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3:AM16" firstHeaderRow="0" firstDataRow="1" firstDataCol="1"/>
  <pivotFields count="17">
    <pivotField showAll="0"/>
    <pivotField showAll="0"/>
    <pivotField showAll="0"/>
    <pivotField axis="axisRow" showAll="0">
      <items count="5">
        <item x="0"/>
        <item x="1"/>
        <item x="2"/>
        <item x="3"/>
        <item t="default"/>
      </items>
    </pivotField>
    <pivotField axis="axisRow" showAll="0">
      <items count="3">
        <item x="1"/>
        <item x="0"/>
        <item t="default"/>
      </items>
    </pivotField>
    <pivotField numFmtId="1" showAll="0"/>
    <pivotField numFmtId="1" showAll="0"/>
    <pivotField numFmtId="1" showAll="0"/>
    <pivotField numFmtId="164" showAll="0"/>
    <pivotField numFmtId="1" showAll="0"/>
    <pivotField numFmtId="1" showAll="0"/>
    <pivotField dataField="1" numFmtId="2" showAll="0"/>
    <pivotField numFmtId="2" showAll="0"/>
    <pivotField numFmtId="2" showAll="0"/>
    <pivotField dataField="1" numFmtId="2" showAll="0"/>
    <pivotField numFmtId="10" showAll="0"/>
    <pivotField numFmtId="2" showAll="0"/>
  </pivotFields>
  <rowFields count="2">
    <field x="3"/>
    <field x="4"/>
  </rowFields>
  <rowItems count="13">
    <i>
      <x/>
    </i>
    <i r="1">
      <x/>
    </i>
    <i r="1">
      <x v="1"/>
    </i>
    <i>
      <x v="1"/>
    </i>
    <i r="1">
      <x/>
    </i>
    <i r="1">
      <x v="1"/>
    </i>
    <i>
      <x v="2"/>
    </i>
    <i r="1">
      <x/>
    </i>
    <i r="1">
      <x v="1"/>
    </i>
    <i>
      <x v="3"/>
    </i>
    <i r="1">
      <x/>
    </i>
    <i r="1">
      <x v="1"/>
    </i>
    <i t="grand">
      <x/>
    </i>
  </rowItems>
  <colFields count="1">
    <field x="-2"/>
  </colFields>
  <colItems count="2">
    <i>
      <x/>
    </i>
    <i i="1">
      <x v="1"/>
    </i>
  </colItems>
  <dataFields count="2">
    <dataField name="Average of CPA" fld="14" subtotal="average" baseField="0" baseItem="0" numFmtId="2"/>
    <dataField name="Average of CPM"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208DE6-9B2F-4E1B-B731-35525267F52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N9:P14" firstHeaderRow="1" firstDataRow="2" firstDataCol="1"/>
  <pivotFields count="17">
    <pivotField showAll="0"/>
    <pivotField showAll="0">
      <items count="4">
        <item x="0"/>
        <item x="1"/>
        <item x="2"/>
        <item t="default"/>
      </items>
    </pivotField>
    <pivotField showAll="0"/>
    <pivotField axis="axisRow" showAll="0">
      <items count="5">
        <item x="0"/>
        <item x="1"/>
        <item x="2"/>
        <item x="3"/>
        <item t="default"/>
      </items>
    </pivotField>
    <pivotField axis="axisCol" showAll="0">
      <items count="3">
        <item x="1"/>
        <item x="0"/>
        <item t="default"/>
      </items>
    </pivotField>
    <pivotField numFmtId="1" showAll="0"/>
    <pivotField numFmtId="1" showAll="0"/>
    <pivotField numFmtId="1" showAll="0"/>
    <pivotField numFmtId="164" showAll="0"/>
    <pivotField numFmtId="1" showAll="0"/>
    <pivotField numFmtId="1" showAll="0"/>
    <pivotField numFmtId="2" showAll="0"/>
    <pivotField showAll="0"/>
    <pivotField numFmtId="10" showAll="0"/>
    <pivotField dataField="1" showAll="0"/>
    <pivotField numFmtId="10" showAll="0"/>
    <pivotField numFmtId="2" showAll="0"/>
  </pivotFields>
  <rowFields count="1">
    <field x="3"/>
  </rowFields>
  <rowItems count="4">
    <i>
      <x/>
    </i>
    <i>
      <x v="1"/>
    </i>
    <i>
      <x v="2"/>
    </i>
    <i>
      <x v="3"/>
    </i>
  </rowItems>
  <colFields count="1">
    <field x="4"/>
  </colFields>
  <colItems count="2">
    <i>
      <x/>
    </i>
    <i>
      <x v="1"/>
    </i>
  </colItems>
  <dataFields count="1">
    <dataField name="Average of CPA" fld="14" subtotal="average" baseField="0" baseItem="0" numFmtId="2"/>
  </dataFields>
  <formats count="1">
    <format dxfId="288">
      <pivotArea outline="0" collapsedLevelsAreSubtotals="1" fieldPosition="0"/>
    </format>
  </formats>
  <chartFormats count="4">
    <chartFormat chart="2" format="1" series="1">
      <pivotArea type="data" outline="0" fieldPosition="0">
        <references count="1">
          <reference field="4294967294" count="1" selected="0">
            <x v="0"/>
          </reference>
        </references>
      </pivotArea>
    </chartFormat>
    <chartFormat chart="15" format="4" series="1">
      <pivotArea type="data" outline="0" fieldPosition="0">
        <references count="2">
          <reference field="4294967294" count="1" selected="0">
            <x v="0"/>
          </reference>
          <reference field="4" count="1" selected="0">
            <x v="0"/>
          </reference>
        </references>
      </pivotArea>
    </chartFormat>
    <chartFormat chart="15" format="5" series="1">
      <pivotArea type="data" outline="0" fieldPosition="0">
        <references count="2">
          <reference field="4294967294" count="1" selected="0">
            <x v="0"/>
          </reference>
          <reference field="4" count="1" selected="0">
            <x v="1"/>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DB56CF-EB6C-47AF-962C-6A6100C3847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G9:AI12" firstHeaderRow="0" firstDataRow="1" firstDataCol="1"/>
  <pivotFields count="17">
    <pivotField showAll="0"/>
    <pivotField axis="axisRow" showAll="0">
      <items count="4">
        <item x="0"/>
        <item x="1"/>
        <item x="2"/>
        <item t="default"/>
      </items>
    </pivotField>
    <pivotField showAll="0"/>
    <pivotField showAll="0">
      <items count="5">
        <item x="0"/>
        <item x="1"/>
        <item x="2"/>
        <item x="3"/>
        <item t="default"/>
      </items>
    </pivotField>
    <pivotField showAll="0">
      <items count="3">
        <item x="1"/>
        <item x="0"/>
        <item t="default"/>
      </items>
    </pivotField>
    <pivotField numFmtId="1" showAll="0"/>
    <pivotField numFmtId="1" showAll="0"/>
    <pivotField numFmtId="1" showAll="0"/>
    <pivotField numFmtId="164" showAll="0"/>
    <pivotField numFmtId="1" showAll="0"/>
    <pivotField numFmtId="1" showAll="0"/>
    <pivotField numFmtId="2" showAll="0"/>
    <pivotField showAll="0"/>
    <pivotField dataField="1" numFmtId="10" showAll="0"/>
    <pivotField dataField="1" showAll="0"/>
    <pivotField numFmtId="10" showAll="0"/>
    <pivotField numFmtId="2" showAll="0"/>
  </pivotFields>
  <rowFields count="1">
    <field x="1"/>
  </rowFields>
  <rowItems count="3">
    <i>
      <x/>
    </i>
    <i>
      <x v="1"/>
    </i>
    <i>
      <x v="2"/>
    </i>
  </rowItems>
  <colFields count="1">
    <field x="-2"/>
  </colFields>
  <colItems count="2">
    <i>
      <x/>
    </i>
    <i i="1">
      <x v="1"/>
    </i>
  </colItems>
  <dataFields count="2">
    <dataField name="Average of CPA" fld="14" subtotal="average" baseField="0" baseItem="0"/>
    <dataField name="Average of CTR" fld="13" subtotal="average" baseField="0" baseItem="0" numFmtId="166"/>
  </dataFields>
  <formats count="3">
    <format dxfId="291">
      <pivotArea collapsedLevelsAreSubtotals="1" fieldPosition="0">
        <references count="2">
          <reference field="4294967294" count="1" selected="0">
            <x v="0"/>
          </reference>
          <reference field="1" count="0"/>
        </references>
      </pivotArea>
    </format>
    <format dxfId="290">
      <pivotArea collapsedLevelsAreSubtotals="1" fieldPosition="0">
        <references count="2">
          <reference field="4294967294" count="1" selected="0">
            <x v="1"/>
          </reference>
          <reference field="1" count="0"/>
        </references>
      </pivotArea>
    </format>
    <format dxfId="289">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64CC70-1E28-4282-BD44-BC69849B501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I9:K14" firstHeaderRow="1" firstDataRow="2" firstDataCol="1"/>
  <pivotFields count="17">
    <pivotField showAll="0"/>
    <pivotField showAll="0">
      <items count="4">
        <item x="0"/>
        <item x="1"/>
        <item x="2"/>
        <item t="default"/>
      </items>
    </pivotField>
    <pivotField showAll="0"/>
    <pivotField axis="axisRow" showAll="0">
      <items count="5">
        <item x="0"/>
        <item x="1"/>
        <item x="2"/>
        <item x="3"/>
        <item t="default"/>
      </items>
    </pivotField>
    <pivotField axis="axisCol" showAll="0">
      <items count="3">
        <item x="1"/>
        <item x="0"/>
        <item t="default"/>
      </items>
    </pivotField>
    <pivotField numFmtId="1" showAll="0"/>
    <pivotField numFmtId="1" showAll="0"/>
    <pivotField numFmtId="1" showAll="0"/>
    <pivotField dataField="1" numFmtId="164" showAll="0"/>
    <pivotField numFmtId="1" showAll="0"/>
    <pivotField numFmtId="1" showAll="0"/>
    <pivotField numFmtId="2" showAll="0"/>
    <pivotField showAll="0"/>
    <pivotField numFmtId="10" showAll="0"/>
    <pivotField showAll="0"/>
    <pivotField numFmtId="10" showAll="0"/>
    <pivotField numFmtId="2" showAll="0"/>
  </pivotFields>
  <rowFields count="1">
    <field x="3"/>
  </rowFields>
  <rowItems count="4">
    <i>
      <x/>
    </i>
    <i>
      <x v="1"/>
    </i>
    <i>
      <x v="2"/>
    </i>
    <i>
      <x v="3"/>
    </i>
  </rowItems>
  <colFields count="1">
    <field x="4"/>
  </colFields>
  <colItems count="2">
    <i>
      <x/>
    </i>
    <i>
      <x v="1"/>
    </i>
  </colItems>
  <dataFields count="1">
    <dataField name="Sum of Spent" fld="8" baseField="0" baseItem="0" numFmtId="164"/>
  </dataFields>
  <chartFormats count="3">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3F900F-9464-4B62-92CB-8D670961495D}"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L9:AM878" firstHeaderRow="1" firstDataRow="1" firstDataCol="1"/>
  <pivotFields count="17">
    <pivotField showAll="0"/>
    <pivotField showAll="0">
      <items count="4">
        <item x="0"/>
        <item x="1"/>
        <item x="2"/>
        <item t="default"/>
      </items>
    </pivotField>
    <pivotField showAll="0"/>
    <pivotField showAll="0">
      <items count="5">
        <item x="0"/>
        <item x="1"/>
        <item x="2"/>
        <item x="3"/>
        <item t="default"/>
      </items>
    </pivotField>
    <pivotField showAll="0">
      <items count="3">
        <item x="1"/>
        <item x="0"/>
        <item t="default"/>
      </items>
    </pivotField>
    <pivotField numFmtId="1" showAll="0"/>
    <pivotField numFmtId="1" showAll="0"/>
    <pivotField numFmtId="1" showAll="0"/>
    <pivotField axis="axisRow" numFmtId="164" showAll="0">
      <items count="870">
        <item x="2"/>
        <item x="166"/>
        <item x="67"/>
        <item x="267"/>
        <item x="131"/>
        <item x="236"/>
        <item x="76"/>
        <item x="10"/>
        <item x="92"/>
        <item x="194"/>
        <item x="78"/>
        <item x="203"/>
        <item x="200"/>
        <item x="179"/>
        <item x="151"/>
        <item x="95"/>
        <item x="169"/>
        <item x="227"/>
        <item x="37"/>
        <item x="172"/>
        <item x="256"/>
        <item x="68"/>
        <item x="207"/>
        <item x="32"/>
        <item x="93"/>
        <item x="155"/>
        <item x="24"/>
        <item x="161"/>
        <item x="29"/>
        <item x="214"/>
        <item x="3"/>
        <item x="158"/>
        <item x="6"/>
        <item x="170"/>
        <item x="4"/>
        <item x="222"/>
        <item x="44"/>
        <item x="211"/>
        <item x="173"/>
        <item x="40"/>
        <item x="181"/>
        <item x="217"/>
        <item x="157"/>
        <item x="49"/>
        <item x="52"/>
        <item x="88"/>
        <item x="0"/>
        <item x="237"/>
        <item x="59"/>
        <item x="38"/>
        <item x="20"/>
        <item x="265"/>
        <item x="96"/>
        <item x="797"/>
        <item x="7"/>
        <item x="26"/>
        <item x="254"/>
        <item x="21"/>
        <item x="229"/>
        <item x="135"/>
        <item x="252"/>
        <item x="51"/>
        <item x="71"/>
        <item x="74"/>
        <item x="31"/>
        <item x="23"/>
        <item x="235"/>
        <item x="336"/>
        <item x="132"/>
        <item x="11"/>
        <item x="301"/>
        <item x="202"/>
        <item x="153"/>
        <item x="1"/>
        <item x="276"/>
        <item x="142"/>
        <item x="91"/>
        <item x="269"/>
        <item x="226"/>
        <item x="435"/>
        <item x="243"/>
        <item x="57"/>
        <item x="101"/>
        <item x="120"/>
        <item x="106"/>
        <item x="13"/>
        <item x="261"/>
        <item x="180"/>
        <item x="622"/>
        <item x="635"/>
        <item x="191"/>
        <item x="99"/>
        <item x="69"/>
        <item x="778"/>
        <item x="258"/>
        <item x="242"/>
        <item x="196"/>
        <item x="623"/>
        <item x="30"/>
        <item x="143"/>
        <item x="39"/>
        <item x="251"/>
        <item x="148"/>
        <item x="73"/>
        <item x="97"/>
        <item x="107"/>
        <item x="270"/>
        <item x="16"/>
        <item x="70"/>
        <item x="14"/>
        <item x="15"/>
        <item x="212"/>
        <item x="186"/>
        <item x="187"/>
        <item x="342"/>
        <item x="263"/>
        <item x="8"/>
        <item x="94"/>
        <item x="518"/>
        <item x="90"/>
        <item x="776"/>
        <item x="150"/>
        <item x="253"/>
        <item x="305"/>
        <item x="260"/>
        <item x="134"/>
        <item x="154"/>
        <item x="54"/>
        <item x="384"/>
        <item x="159"/>
        <item x="523"/>
        <item x="399"/>
        <item x="108"/>
        <item x="241"/>
        <item x="613"/>
        <item x="422"/>
        <item x="286"/>
        <item x="602"/>
        <item x="206"/>
        <item x="36"/>
        <item x="238"/>
        <item x="209"/>
        <item x="190"/>
        <item x="42"/>
        <item x="210"/>
        <item x="60"/>
        <item x="684"/>
        <item x="223"/>
        <item x="45"/>
        <item x="193"/>
        <item x="240"/>
        <item x="331"/>
        <item x="584"/>
        <item x="47"/>
        <item x="141"/>
        <item x="146"/>
        <item x="259"/>
        <item x="250"/>
        <item x="255"/>
        <item x="152"/>
        <item x="205"/>
        <item x="50"/>
        <item x="109"/>
        <item x="43"/>
        <item x="184"/>
        <item x="248"/>
        <item x="587"/>
        <item x="225"/>
        <item x="129"/>
        <item x="75"/>
        <item x="98"/>
        <item x="104"/>
        <item x="12"/>
        <item x="257"/>
        <item x="156"/>
        <item x="5"/>
        <item x="552"/>
        <item x="245"/>
        <item x="138"/>
        <item x="315"/>
        <item x="56"/>
        <item x="321"/>
        <item x="171"/>
        <item x="208"/>
        <item x="167"/>
        <item x="136"/>
        <item x="83"/>
        <item x="87"/>
        <item x="17"/>
        <item x="339"/>
        <item x="80"/>
        <item x="35"/>
        <item x="33"/>
        <item x="41"/>
        <item x="529"/>
        <item x="168"/>
        <item x="390"/>
        <item x="218"/>
        <item x="612"/>
        <item x="213"/>
        <item x="178"/>
        <item x="119"/>
        <item x="182"/>
        <item x="268"/>
        <item x="175"/>
        <item x="244"/>
        <item x="65"/>
        <item x="160"/>
        <item x="121"/>
        <item x="361"/>
        <item x="467"/>
        <item x="337"/>
        <item x="185"/>
        <item x="219"/>
        <item x="28"/>
        <item x="746"/>
        <item x="296"/>
        <item x="145"/>
        <item x="809"/>
        <item x="266"/>
        <item x="115"/>
        <item x="102"/>
        <item x="490"/>
        <item x="777"/>
        <item x="188"/>
        <item x="794"/>
        <item x="461"/>
        <item x="165"/>
        <item x="320"/>
        <item x="231"/>
        <item x="493"/>
        <item x="297"/>
        <item x="55"/>
        <item x="192"/>
        <item x="672"/>
        <item x="338"/>
        <item x="18"/>
        <item x="105"/>
        <item x="437"/>
        <item x="365"/>
        <item x="311"/>
        <item x="63"/>
        <item x="419"/>
        <item x="113"/>
        <item x="249"/>
        <item x="64"/>
        <item x="411"/>
        <item x="164"/>
        <item x="25"/>
        <item x="340"/>
        <item x="805"/>
        <item x="216"/>
        <item x="103"/>
        <item x="34"/>
        <item x="838"/>
        <item x="198"/>
        <item x="765"/>
        <item x="27"/>
        <item x="302"/>
        <item x="147"/>
        <item x="220"/>
        <item x="126"/>
        <item x="687"/>
        <item x="452"/>
        <item x="627"/>
        <item x="420"/>
        <item x="607"/>
        <item x="46"/>
        <item x="233"/>
        <item x="204"/>
        <item x="9"/>
        <item x="626"/>
        <item x="174"/>
        <item x="629"/>
        <item x="149"/>
        <item x="82"/>
        <item x="447"/>
        <item x="79"/>
        <item x="499"/>
        <item x="111"/>
        <item x="659"/>
        <item x="100"/>
        <item x="522"/>
        <item x="144"/>
        <item x="334"/>
        <item x="520"/>
        <item x="413"/>
        <item x="824"/>
        <item x="735"/>
        <item x="818"/>
        <item x="793"/>
        <item x="574"/>
        <item x="353"/>
        <item x="264"/>
        <item x="112"/>
        <item x="783"/>
        <item x="795"/>
        <item x="271"/>
        <item x="262"/>
        <item x="247"/>
        <item x="372"/>
        <item x="373"/>
        <item x="484"/>
        <item x="788"/>
        <item x="307"/>
        <item x="646"/>
        <item x="110"/>
        <item x="740"/>
        <item x="128"/>
        <item x="199"/>
        <item x="77"/>
        <item x="803"/>
        <item x="482"/>
        <item x="804"/>
        <item x="815"/>
        <item x="333"/>
        <item x="462"/>
        <item x="72"/>
        <item x="299"/>
        <item x="826"/>
        <item x="425"/>
        <item x="717"/>
        <item x="379"/>
        <item x="385"/>
        <item x="796"/>
        <item x="829"/>
        <item x="799"/>
        <item x="469"/>
        <item x="312"/>
        <item x="479"/>
        <item x="19"/>
        <item x="718"/>
        <item x="558"/>
        <item x="363"/>
        <item x="620"/>
        <item x="389"/>
        <item x="858"/>
        <item x="556"/>
        <item x="685"/>
        <item x="486"/>
        <item x="281"/>
        <item x="519"/>
        <item x="840"/>
        <item x="539"/>
        <item x="786"/>
        <item x="559"/>
        <item x="649"/>
        <item x="221"/>
        <item x="546"/>
        <item x="397"/>
        <item x="358"/>
        <item x="470"/>
        <item x="598"/>
        <item x="224"/>
        <item x="806"/>
        <item x="127"/>
        <item x="22"/>
        <item x="573"/>
        <item x="810"/>
        <item x="350"/>
        <item x="195"/>
        <item x="478"/>
        <item x="615"/>
        <item x="705"/>
        <item x="58"/>
        <item x="457"/>
        <item x="555"/>
        <item x="395"/>
        <item x="814"/>
        <item x="176"/>
        <item x="789"/>
        <item x="183"/>
        <item x="837"/>
        <item x="84"/>
        <item x="343"/>
        <item x="48"/>
        <item x="377"/>
        <item x="766"/>
        <item x="431"/>
        <item x="714"/>
        <item x="790"/>
        <item x="346"/>
        <item x="625"/>
        <item x="688"/>
        <item x="347"/>
        <item x="386"/>
        <item x="557"/>
        <item x="758"/>
        <item x="400"/>
        <item x="650"/>
        <item x="647"/>
        <item x="785"/>
        <item x="300"/>
        <item x="621"/>
        <item x="423"/>
        <item x="436"/>
        <item x="719"/>
        <item x="710"/>
        <item x="575"/>
        <item x="581"/>
        <item x="432"/>
        <item x="792"/>
        <item x="606"/>
        <item x="415"/>
        <item x="133"/>
        <item x="513"/>
        <item x="736"/>
        <item x="140"/>
        <item x="807"/>
        <item x="130"/>
        <item x="116"/>
        <item x="289"/>
        <item x="354"/>
        <item x="541"/>
        <item x="779"/>
        <item x="114"/>
        <item x="303"/>
        <item x="374"/>
        <item x="798"/>
        <item x="232"/>
        <item x="801"/>
        <item x="294"/>
        <item x="440"/>
        <item x="589"/>
        <item x="542"/>
        <item x="433"/>
        <item x="707"/>
        <item x="349"/>
        <item x="516"/>
        <item x="808"/>
        <item x="381"/>
        <item x="816"/>
        <item x="376"/>
        <item x="716"/>
        <item x="642"/>
        <item x="487"/>
        <item x="62"/>
        <item x="568"/>
        <item x="139"/>
        <item x="784"/>
        <item x="356"/>
        <item x="201"/>
        <item x="547"/>
        <item x="403"/>
        <item x="61"/>
        <item x="610"/>
        <item x="712"/>
        <item x="663"/>
        <item x="639"/>
        <item x="53"/>
        <item x="525"/>
        <item x="583"/>
        <item x="699"/>
        <item x="524"/>
        <item x="861"/>
        <item x="504"/>
        <item x="527"/>
        <item x="706"/>
        <item x="393"/>
        <item x="189"/>
        <item x="314"/>
        <item x="341"/>
        <item x="414"/>
        <item x="86"/>
        <item x="163"/>
        <item x="802"/>
        <item x="588"/>
        <item x="327"/>
        <item x="822"/>
        <item x="514"/>
        <item x="284"/>
        <item x="123"/>
        <item x="857"/>
        <item x="228"/>
        <item x="426"/>
        <item x="654"/>
        <item x="351"/>
        <item x="528"/>
        <item x="491"/>
        <item x="293"/>
        <item x="813"/>
        <item x="464"/>
        <item x="368"/>
        <item x="553"/>
        <item x="634"/>
        <item x="660"/>
        <item x="430"/>
        <item x="609"/>
        <item x="434"/>
        <item x="631"/>
        <item x="767"/>
        <item x="562"/>
        <item x="715"/>
        <item x="580"/>
        <item x="308"/>
        <item x="475"/>
        <item x="427"/>
        <item x="545"/>
        <item x="359"/>
        <item x="345"/>
        <item x="745"/>
        <item x="66"/>
        <item x="630"/>
        <item x="538"/>
        <item x="618"/>
        <item x="246"/>
        <item x="117"/>
        <item x="537"/>
        <item x="554"/>
        <item x="477"/>
        <item x="463"/>
        <item x="443"/>
        <item x="866"/>
        <item x="704"/>
        <item x="791"/>
        <item x="360"/>
        <item x="455"/>
        <item x="690"/>
        <item x="507"/>
        <item x="651"/>
        <item x="197"/>
        <item x="531"/>
        <item x="591"/>
        <item x="394"/>
        <item x="548"/>
        <item x="391"/>
        <item x="624"/>
        <item x="662"/>
        <item x="459"/>
        <item x="458"/>
        <item x="387"/>
        <item x="561"/>
        <item x="670"/>
        <item x="162"/>
        <item x="787"/>
        <item x="782"/>
        <item x="565"/>
        <item x="517"/>
        <item x="751"/>
        <item x="863"/>
        <item x="708"/>
        <item x="831"/>
        <item x="118"/>
        <item x="701"/>
        <item x="673"/>
        <item x="332"/>
        <item x="692"/>
        <item x="239"/>
        <item x="471"/>
        <item x="652"/>
        <item x="764"/>
        <item x="811"/>
        <item x="604"/>
        <item x="595"/>
        <item x="89"/>
        <item x="326"/>
        <item x="306"/>
        <item x="279"/>
        <item x="369"/>
        <item x="122"/>
        <item x="472"/>
        <item x="421"/>
        <item x="681"/>
        <item x="780"/>
        <item x="319"/>
        <item x="329"/>
        <item x="605"/>
        <item x="596"/>
        <item x="465"/>
        <item x="483"/>
        <item x="567"/>
        <item x="318"/>
        <item x="617"/>
        <item x="177"/>
        <item x="846"/>
        <item x="396"/>
        <item x="439"/>
        <item x="81"/>
        <item x="476"/>
        <item x="532"/>
        <item x="230"/>
        <item x="344"/>
        <item x="713"/>
        <item x="313"/>
        <item x="800"/>
        <item x="488"/>
        <item x="481"/>
        <item x="442"/>
        <item x="781"/>
        <item x="616"/>
        <item x="428"/>
        <item x="298"/>
        <item x="577"/>
        <item x="586"/>
        <item x="382"/>
        <item x="854"/>
        <item x="655"/>
        <item x="328"/>
        <item x="628"/>
        <item x="560"/>
        <item x="380"/>
        <item x="501"/>
        <item x="449"/>
        <item x="678"/>
        <item x="669"/>
        <item x="330"/>
        <item x="355"/>
        <item x="700"/>
        <item x="686"/>
        <item x="402"/>
        <item x="653"/>
        <item x="772"/>
        <item x="757"/>
        <item x="843"/>
        <item x="304"/>
        <item x="392"/>
        <item x="366"/>
        <item x="234"/>
        <item x="492"/>
        <item x="671"/>
        <item x="836"/>
        <item x="388"/>
        <item x="429"/>
        <item x="675"/>
        <item x="656"/>
        <item x="410"/>
        <item x="664"/>
        <item x="741"/>
        <item x="582"/>
        <item x="489"/>
        <item x="592"/>
        <item x="460"/>
        <item x="125"/>
        <item x="352"/>
        <item x="578"/>
        <item x="742"/>
        <item x="468"/>
        <item x="424"/>
        <item x="215"/>
        <item x="564"/>
        <item x="839"/>
        <item x="383"/>
        <item x="689"/>
        <item x="680"/>
        <item x="291"/>
        <item x="533"/>
        <item x="485"/>
        <item x="137"/>
        <item x="812"/>
        <item x="674"/>
        <item x="845"/>
        <item x="375"/>
        <item x="645"/>
        <item x="643"/>
        <item x="668"/>
        <item x="274"/>
        <item x="335"/>
        <item x="405"/>
        <item x="535"/>
        <item x="466"/>
        <item x="850"/>
        <item x="691"/>
        <item x="648"/>
        <item x="362"/>
        <item x="762"/>
        <item x="317"/>
        <item x="290"/>
        <item x="409"/>
        <item x="693"/>
        <item x="601"/>
        <item x="408"/>
        <item x="287"/>
        <item x="367"/>
        <item x="454"/>
        <item x="418"/>
        <item x="619"/>
        <item x="819"/>
        <item x="398"/>
        <item x="739"/>
        <item x="756"/>
        <item x="292"/>
        <item x="510"/>
        <item x="534"/>
        <item x="726"/>
        <item x="611"/>
        <item x="834"/>
        <item x="851"/>
        <item x="749"/>
        <item x="446"/>
        <item x="694"/>
        <item x="508"/>
        <item x="348"/>
        <item x="820"/>
        <item x="709"/>
        <item x="828"/>
        <item x="817"/>
        <item x="416"/>
        <item x="775"/>
        <item x="324"/>
        <item x="733"/>
        <item x="644"/>
        <item x="441"/>
        <item x="511"/>
        <item x="496"/>
        <item x="747"/>
        <item x="696"/>
        <item x="450"/>
        <item x="571"/>
        <item x="823"/>
        <item x="512"/>
        <item x="821"/>
        <item x="852"/>
        <item x="417"/>
        <item x="273"/>
        <item x="608"/>
        <item x="494"/>
        <item x="667"/>
        <item x="453"/>
        <item x="744"/>
        <item x="473"/>
        <item x="835"/>
        <item x="521"/>
        <item x="498"/>
        <item x="526"/>
        <item x="774"/>
        <item x="378"/>
        <item x="515"/>
        <item x="721"/>
        <item x="500"/>
        <item x="509"/>
        <item x="456"/>
        <item x="759"/>
        <item x="495"/>
        <item x="309"/>
        <item x="825"/>
        <item x="738"/>
        <item x="480"/>
        <item x="768"/>
        <item x="540"/>
        <item x="448"/>
        <item x="451"/>
        <item x="743"/>
        <item x="569"/>
        <item x="585"/>
        <item x="407"/>
        <item x="566"/>
        <item x="702"/>
        <item x="288"/>
        <item x="856"/>
        <item x="551"/>
        <item x="770"/>
        <item x="570"/>
        <item x="275"/>
        <item x="859"/>
        <item x="438"/>
        <item x="827"/>
        <item x="282"/>
        <item x="832"/>
        <item x="868"/>
        <item x="666"/>
        <item x="576"/>
        <item x="590"/>
        <item x="572"/>
        <item x="633"/>
        <item x="865"/>
        <item x="748"/>
        <item x="85"/>
        <item x="637"/>
        <item x="401"/>
        <item x="773"/>
        <item x="597"/>
        <item x="474"/>
        <item x="124"/>
        <item x="530"/>
        <item x="752"/>
        <item x="711"/>
        <item x="364"/>
        <item x="676"/>
        <item x="370"/>
        <item x="771"/>
        <item x="679"/>
        <item x="725"/>
        <item x="579"/>
        <item x="761"/>
        <item x="867"/>
        <item x="833"/>
        <item x="722"/>
        <item x="283"/>
        <item x="661"/>
        <item x="658"/>
        <item x="285"/>
        <item x="316"/>
        <item x="848"/>
        <item x="325"/>
        <item x="503"/>
        <item x="842"/>
        <item x="728"/>
        <item x="603"/>
        <item x="406"/>
        <item x="862"/>
        <item x="847"/>
        <item x="640"/>
        <item x="724"/>
        <item x="371"/>
        <item x="277"/>
        <item x="830"/>
        <item x="720"/>
        <item x="682"/>
        <item x="357"/>
        <item x="841"/>
        <item x="734"/>
        <item x="506"/>
        <item x="536"/>
        <item x="272"/>
        <item x="412"/>
        <item x="695"/>
        <item x="593"/>
        <item x="295"/>
        <item x="750"/>
        <item x="444"/>
        <item x="310"/>
        <item x="683"/>
        <item x="636"/>
        <item x="550"/>
        <item x="563"/>
        <item x="543"/>
        <item x="855"/>
        <item x="323"/>
        <item x="732"/>
        <item x="729"/>
        <item x="703"/>
        <item x="665"/>
        <item x="727"/>
        <item x="641"/>
        <item x="763"/>
        <item x="737"/>
        <item x="853"/>
        <item x="632"/>
        <item x="730"/>
        <item x="505"/>
        <item x="844"/>
        <item x="677"/>
        <item x="849"/>
        <item x="731"/>
        <item x="860"/>
        <item x="698"/>
        <item x="614"/>
        <item x="638"/>
        <item x="657"/>
        <item x="549"/>
        <item x="864"/>
        <item x="322"/>
        <item x="445"/>
        <item x="280"/>
        <item x="497"/>
        <item x="760"/>
        <item x="599"/>
        <item x="753"/>
        <item x="697"/>
        <item x="769"/>
        <item x="755"/>
        <item x="404"/>
        <item x="544"/>
        <item x="600"/>
        <item x="723"/>
        <item x="754"/>
        <item x="502"/>
        <item x="594"/>
        <item x="278"/>
        <item t="default"/>
      </items>
    </pivotField>
    <pivotField numFmtId="1" showAll="0"/>
    <pivotField dataField="1" numFmtId="1" showAll="0"/>
    <pivotField numFmtId="2" showAll="0"/>
    <pivotField showAll="0"/>
    <pivotField numFmtId="10" showAll="0"/>
    <pivotField showAll="0"/>
    <pivotField numFmtId="10" showAll="0"/>
    <pivotField numFmtId="2" showAll="0"/>
  </pivotFields>
  <rowFields count="1">
    <field x="8"/>
  </rowFields>
  <rowItems count="8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rowItems>
  <colItems count="1">
    <i/>
  </colItems>
  <dataFields count="1">
    <dataField name="Average of Approved_Conversion"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929361-8A1A-4B62-82B4-E6F1AFBD384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B9:AD13" firstHeaderRow="0" firstDataRow="1" firstDataCol="1"/>
  <pivotFields count="17">
    <pivotField showAll="0"/>
    <pivotField showAll="0">
      <items count="4">
        <item x="0"/>
        <item x="1"/>
        <item x="2"/>
        <item t="default"/>
      </items>
    </pivotField>
    <pivotField showAll="0"/>
    <pivotField axis="axisRow" showAll="0">
      <items count="5">
        <item x="0"/>
        <item x="1"/>
        <item x="2"/>
        <item x="3"/>
        <item t="default"/>
      </items>
    </pivotField>
    <pivotField showAll="0">
      <items count="3">
        <item x="1"/>
        <item x="0"/>
        <item t="default"/>
      </items>
    </pivotField>
    <pivotField numFmtId="1" showAll="0"/>
    <pivotField numFmtId="1" showAll="0"/>
    <pivotField numFmtId="1" showAll="0"/>
    <pivotField numFmtId="164" showAll="0"/>
    <pivotField numFmtId="1" showAll="0"/>
    <pivotField numFmtId="1" showAll="0"/>
    <pivotField dataField="1" numFmtId="2" showAll="0"/>
    <pivotField showAll="0"/>
    <pivotField numFmtId="10" showAll="0"/>
    <pivotField dataField="1" showAll="0"/>
    <pivotField numFmtId="10" showAll="0"/>
    <pivotField numFmtId="2" showAll="0"/>
  </pivotFields>
  <rowFields count="1">
    <field x="3"/>
  </rowFields>
  <rowItems count="4">
    <i>
      <x/>
    </i>
    <i>
      <x v="1"/>
    </i>
    <i>
      <x v="2"/>
    </i>
    <i>
      <x v="3"/>
    </i>
  </rowItems>
  <colFields count="1">
    <field x="-2"/>
  </colFields>
  <colItems count="2">
    <i>
      <x/>
    </i>
    <i i="1">
      <x v="1"/>
    </i>
  </colItems>
  <dataFields count="2">
    <dataField name="Average of CPA" fld="14" subtotal="average" baseField="0" baseItem="0" numFmtId="2"/>
    <dataField name="Average of CPM" fld="11" subtotal="average" baseField="0" baseItem="0" numFmtId="2"/>
  </dataFields>
  <formats count="1">
    <format dxfId="292">
      <pivotArea outline="0" collapsedLevelsAreSubtotals="1" fieldPosition="0">
        <references count="1">
          <reference field="4294967294" count="1" selected="0">
            <x v="0"/>
          </reference>
        </references>
      </pivotArea>
    </format>
  </formats>
  <chartFormats count="6">
    <chartFormat chart="5" format="7"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13E363-C3B8-4609-8035-3197AA441A4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S9:U14" firstHeaderRow="1" firstDataRow="2" firstDataCol="1"/>
  <pivotFields count="17">
    <pivotField showAll="0"/>
    <pivotField showAll="0">
      <items count="4">
        <item x="0"/>
        <item x="1"/>
        <item x="2"/>
        <item t="default"/>
      </items>
    </pivotField>
    <pivotField showAll="0"/>
    <pivotField axis="axisRow" showAll="0">
      <items count="5">
        <item x="0"/>
        <item x="1"/>
        <item x="2"/>
        <item x="3"/>
        <item t="default"/>
      </items>
    </pivotField>
    <pivotField axis="axisCol" showAll="0">
      <items count="3">
        <item x="1"/>
        <item x="0"/>
        <item t="default"/>
      </items>
    </pivotField>
    <pivotField numFmtId="1" showAll="0"/>
    <pivotField numFmtId="1" showAll="0"/>
    <pivotField numFmtId="1" showAll="0"/>
    <pivotField numFmtId="164" showAll="0"/>
    <pivotField numFmtId="1" showAll="0"/>
    <pivotField numFmtId="1" showAll="0"/>
    <pivotField numFmtId="2" showAll="0"/>
    <pivotField showAll="0"/>
    <pivotField dataField="1" numFmtId="10" showAll="0"/>
    <pivotField showAll="0"/>
    <pivotField numFmtId="10" showAll="0"/>
    <pivotField numFmtId="2" showAll="0"/>
  </pivotFields>
  <rowFields count="1">
    <field x="3"/>
  </rowFields>
  <rowItems count="4">
    <i>
      <x/>
    </i>
    <i>
      <x v="1"/>
    </i>
    <i>
      <x v="2"/>
    </i>
    <i>
      <x v="3"/>
    </i>
  </rowItems>
  <colFields count="1">
    <field x="4"/>
  </colFields>
  <colItems count="2">
    <i>
      <x/>
    </i>
    <i>
      <x v="1"/>
    </i>
  </colItems>
  <dataFields count="1">
    <dataField name="Average of CTR" fld="13" subtotal="average" baseField="0" baseItem="0" numFmtId="10"/>
  </dataFields>
  <chartFormats count="3">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55E540-4BD3-463D-8BC9-00C1C2A24F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F10" firstHeaderRow="0" firstDataRow="1" firstDataCol="0"/>
  <pivotFields count="17">
    <pivotField showAll="0"/>
    <pivotField showAll="0">
      <items count="4">
        <item x="0"/>
        <item x="1"/>
        <item x="2"/>
        <item t="default"/>
      </items>
    </pivotField>
    <pivotField showAll="0"/>
    <pivotField showAll="0">
      <items count="5">
        <item x="0"/>
        <item x="1"/>
        <item x="2"/>
        <item x="3"/>
        <item t="default"/>
      </items>
    </pivotField>
    <pivotField showAll="0">
      <items count="3">
        <item x="1"/>
        <item x="0"/>
        <item t="default"/>
      </items>
    </pivotField>
    <pivotField numFmtId="1" showAll="0"/>
    <pivotField numFmtId="1" showAll="0"/>
    <pivotField numFmtId="1" showAll="0"/>
    <pivotField numFmtId="164" showAll="0"/>
    <pivotField numFmtId="1" showAll="0"/>
    <pivotField numFmtId="1" showAll="0"/>
    <pivotField dataField="1" numFmtId="2" showAll="0"/>
    <pivotField dataField="1" showAll="0">
      <items count="871">
        <item x="165"/>
        <item x="68"/>
        <item x="268"/>
        <item x="131"/>
        <item x="237"/>
        <item x="77"/>
        <item x="10"/>
        <item x="92"/>
        <item x="223"/>
        <item x="45"/>
        <item x="194"/>
        <item x="95"/>
        <item x="164"/>
        <item x="18"/>
        <item x="79"/>
        <item x="203"/>
        <item x="179"/>
        <item x="204"/>
        <item x="1"/>
        <item x="102"/>
        <item x="201"/>
        <item x="253"/>
        <item x="207"/>
        <item x="178"/>
        <item x="150"/>
        <item x="96"/>
        <item x="91"/>
        <item x="189"/>
        <item x="168"/>
        <item x="228"/>
        <item x="192"/>
        <item x="38"/>
        <item x="171"/>
        <item x="269"/>
        <item x="8"/>
        <item x="258"/>
        <item x="136"/>
        <item x="69"/>
        <item x="208"/>
        <item x="108"/>
        <item x="55"/>
        <item x="33"/>
        <item x="227"/>
        <item x="249"/>
        <item x="436"/>
        <item x="129"/>
        <item x="93"/>
        <item x="12"/>
        <item x="243"/>
        <item x="259"/>
        <item x="58"/>
        <item x="100"/>
        <item x="154"/>
        <item x="120"/>
        <item x="25"/>
        <item x="158"/>
        <item x="266"/>
        <item x="80"/>
        <item x="111"/>
        <item x="112"/>
        <item x="747"/>
        <item x="19"/>
        <item x="105"/>
        <item x="719"/>
        <item x="174"/>
        <item x="30"/>
        <item x="115"/>
        <item x="215"/>
        <item x="245"/>
        <item x="246"/>
        <item x="400"/>
        <item x="673"/>
        <item x="242"/>
        <item x="3"/>
        <item x="672"/>
        <item x="187"/>
        <item x="157"/>
        <item x="759"/>
        <item x="247"/>
        <item x="6"/>
        <item x="820"/>
        <item x="251"/>
        <item x="603"/>
        <item x="87"/>
        <item x="205"/>
        <item x="732"/>
        <item x="169"/>
        <item x="37"/>
        <item x="712"/>
        <item x="754"/>
        <item x="4"/>
        <item x="23"/>
        <item x="240"/>
        <item x="690"/>
        <item x="232"/>
        <item x="57"/>
        <item x="13"/>
        <item x="777"/>
        <item x="239"/>
        <item x="404"/>
        <item x="263"/>
        <item x="624"/>
        <item x="740"/>
        <item x="765"/>
        <item x="758"/>
        <item x="637"/>
        <item x="210"/>
        <item x="26"/>
        <item x="20"/>
        <item x="660"/>
        <item x="170"/>
        <item x="244"/>
        <item x="114"/>
        <item x="190"/>
        <item x="720"/>
        <item x="43"/>
        <item x="680"/>
        <item x="212"/>
        <item x="586"/>
        <item x="222"/>
        <item x="722"/>
        <item x="217"/>
        <item x="98"/>
        <item x="742"/>
        <item x="668"/>
        <item x="209"/>
        <item x="745"/>
        <item x="211"/>
        <item x="738"/>
        <item x="35"/>
        <item x="172"/>
        <item x="70"/>
        <item x="56"/>
        <item x="725"/>
        <item x="199"/>
        <item x="780"/>
        <item x="85"/>
        <item x="202"/>
        <item x="785"/>
        <item x="468"/>
        <item x="28"/>
        <item x="193"/>
        <item x="676"/>
        <item x="797"/>
        <item x="61"/>
        <item x="41"/>
        <item x="686"/>
        <item x="248"/>
        <item x="184"/>
        <item x="806"/>
        <item x="793"/>
        <item x="633"/>
        <item x="224"/>
        <item x="180"/>
        <item x="260"/>
        <item x="772"/>
        <item x="769"/>
        <item x="221"/>
        <item x="46"/>
        <item x="775"/>
        <item x="750"/>
        <item x="195"/>
        <item x="599"/>
        <item x="479"/>
        <item x="84"/>
        <item x="824"/>
        <item x="89"/>
        <item x="831"/>
        <item x="723"/>
        <item x="717"/>
        <item x="218"/>
        <item x="661"/>
        <item x="99"/>
        <item x="681"/>
        <item x="634"/>
        <item x="88"/>
        <item x="784"/>
        <item x="689"/>
        <item x="197"/>
        <item x="683"/>
        <item x="460"/>
        <item x="523"/>
        <item x="216"/>
        <item x="658"/>
        <item x="703"/>
        <item x="264"/>
        <item x="730"/>
        <item x="764"/>
        <item x="156"/>
        <item x="67"/>
        <item x="17"/>
        <item x="144"/>
        <item x="679"/>
        <item x="704"/>
        <item x="741"/>
        <item x="220"/>
        <item x="678"/>
        <item x="235"/>
        <item x="762"/>
        <item x="696"/>
        <item x="54"/>
        <item x="695"/>
        <item x="827"/>
        <item x="700"/>
        <item x="229"/>
        <item x="625"/>
        <item x="50"/>
        <item x="697"/>
        <item x="825"/>
        <item x="743"/>
        <item x="746"/>
        <item x="333"/>
        <item x="29"/>
        <item x="706"/>
        <item x="749"/>
        <item x="241"/>
        <item x="752"/>
        <item x="656"/>
        <item x="467"/>
        <item x="701"/>
        <item x="744"/>
        <item x="116"/>
        <item x="713"/>
        <item x="81"/>
        <item x="694"/>
        <item x="826"/>
        <item x="667"/>
        <item x="830"/>
        <item x="31"/>
        <item x="829"/>
        <item x="693"/>
        <item x="561"/>
        <item x="635"/>
        <item x="629"/>
        <item x="718"/>
        <item x="600"/>
        <item x="331"/>
        <item x="727"/>
        <item x="819"/>
        <item x="143"/>
        <item x="761"/>
        <item x="823"/>
        <item x="852"/>
        <item x="73"/>
        <item x="585"/>
        <item x="36"/>
        <item x="845"/>
        <item x="790"/>
        <item x="598"/>
        <item x="53"/>
        <item x="555"/>
        <item x="788"/>
        <item x="709"/>
        <item x="711"/>
        <item x="789"/>
        <item x="698"/>
        <item x="699"/>
        <item x="563"/>
        <item x="791"/>
        <item x="48"/>
        <item x="558"/>
        <item x="812"/>
        <item x="708"/>
        <item x="493"/>
        <item x="650"/>
        <item x="40"/>
        <item x="141"/>
        <item x="861"/>
        <item x="655"/>
        <item x="832"/>
        <item x="865"/>
        <item x="146"/>
        <item x="773"/>
        <item x="846"/>
        <item x="608"/>
        <item x="721"/>
        <item x="311"/>
        <item x="233"/>
        <item x="771"/>
        <item x="854"/>
        <item x="591"/>
        <item x="748"/>
        <item x="760"/>
        <item x="847"/>
        <item x="0"/>
        <item x="261"/>
        <item x="809"/>
        <item x="654"/>
        <item x="856"/>
        <item x="839"/>
        <item x="34"/>
        <item x="776"/>
        <item x="47"/>
        <item x="252"/>
        <item x="62"/>
        <item x="684"/>
        <item x="763"/>
        <item x="382"/>
        <item x="755"/>
        <item x="42"/>
        <item x="867"/>
        <item x="795"/>
        <item x="234"/>
        <item x="596"/>
        <item x="238"/>
        <item x="231"/>
        <item x="702"/>
        <item x="818"/>
        <item x="814"/>
        <item x="726"/>
        <item x="651"/>
        <item x="851"/>
        <item x="530"/>
        <item x="257"/>
        <item x="295"/>
        <item x="834"/>
        <item x="685"/>
        <item x="641"/>
        <item x="835"/>
        <item x="167"/>
        <item x="148"/>
        <item x="578"/>
        <item x="864"/>
        <item x="145"/>
        <item x="837"/>
        <item x="391"/>
        <item x="828"/>
        <item x="850"/>
        <item x="866"/>
        <item x="74"/>
        <item x="60"/>
        <item x="833"/>
        <item x="811"/>
        <item x="783"/>
        <item x="869"/>
        <item x="804"/>
        <item x="731"/>
        <item x="863"/>
        <item x="782"/>
        <item x="267"/>
        <item x="739"/>
        <item x="595"/>
        <item x="601"/>
        <item x="734"/>
        <item x="853"/>
        <item x="151"/>
        <item x="642"/>
        <item x="822"/>
        <item x="666"/>
        <item x="786"/>
        <item x="652"/>
        <item x="715"/>
        <item x="39"/>
        <item x="838"/>
        <item x="836"/>
        <item x="849"/>
        <item x="729"/>
        <item x="821"/>
        <item x="815"/>
        <item x="841"/>
        <item x="770"/>
        <item x="64"/>
        <item x="862"/>
        <item x="848"/>
        <item x="733"/>
        <item x="844"/>
        <item x="9"/>
        <item x="802"/>
        <item x="627"/>
        <item x="101"/>
        <item x="21"/>
        <item x="622"/>
        <item x="794"/>
        <item x="675"/>
        <item x="724"/>
        <item x="868"/>
        <item x="562"/>
        <item x="628"/>
        <item x="106"/>
        <item x="528"/>
        <item x="630"/>
        <item x="756"/>
        <item x="206"/>
        <item x="537"/>
        <item x="857"/>
        <item x="219"/>
        <item x="428"/>
        <item x="860"/>
        <item x="766"/>
        <item x="51"/>
        <item x="604"/>
        <item x="597"/>
        <item x="787"/>
        <item x="614"/>
        <item x="647"/>
        <item x="386"/>
        <item x="707"/>
        <item x="44"/>
        <item x="137"/>
        <item x="813"/>
        <item x="859"/>
        <item x="461"/>
        <item x="705"/>
        <item x="843"/>
        <item x="59"/>
        <item x="751"/>
        <item x="173"/>
        <item x="200"/>
        <item x="16"/>
        <item x="799"/>
        <item x="677"/>
        <item x="554"/>
        <item x="605"/>
        <item x="687"/>
        <item x="565"/>
        <item x="636"/>
        <item x="474"/>
        <item x="710"/>
        <item x="225"/>
        <item x="808"/>
        <item x="517"/>
        <item x="662"/>
        <item x="491"/>
        <item x="798"/>
        <item x="475"/>
        <item x="487"/>
        <item x="623"/>
        <item x="800"/>
        <item x="7"/>
        <item x="805"/>
        <item x="858"/>
        <item x="580"/>
        <item x="577"/>
        <item x="501"/>
        <item x="570"/>
        <item x="579"/>
        <item x="810"/>
        <item x="646"/>
        <item x="71"/>
        <item x="214"/>
        <item x="757"/>
        <item x="779"/>
        <item x="816"/>
        <item x="177"/>
        <item x="736"/>
        <item x="594"/>
        <item x="665"/>
        <item x="27"/>
        <item x="183"/>
        <item x="429"/>
        <item x="645"/>
        <item x="181"/>
        <item x="626"/>
        <item x="692"/>
        <item x="564"/>
        <item x="801"/>
        <item x="671"/>
        <item x="567"/>
        <item x="542"/>
        <item x="817"/>
        <item x="250"/>
        <item x="538"/>
        <item x="653"/>
        <item x="83"/>
        <item x="489"/>
        <item x="781"/>
        <item x="529"/>
        <item x="792"/>
        <item x="256"/>
        <item x="588"/>
        <item x="86"/>
        <item x="842"/>
        <item x="602"/>
        <item x="735"/>
        <item x="226"/>
        <item x="659"/>
        <item x="589"/>
        <item x="14"/>
        <item x="669"/>
        <item x="353"/>
        <item x="22"/>
        <item x="15"/>
        <item x="576"/>
        <item x="76"/>
        <item x="670"/>
        <item x="691"/>
        <item x="97"/>
        <item x="638"/>
        <item x="581"/>
        <item x="643"/>
        <item x="459"/>
        <item x="162"/>
        <item x="476"/>
        <item x="340"/>
        <item x="682"/>
        <item x="536"/>
        <item x="351"/>
        <item x="444"/>
        <item x="728"/>
        <item x="540"/>
        <item x="230"/>
        <item x="103"/>
        <item x="500"/>
        <item x="796"/>
        <item x="360"/>
        <item x="462"/>
        <item x="477"/>
        <item x="590"/>
        <item x="807"/>
        <item x="163"/>
        <item x="502"/>
        <item x="593"/>
        <item x="213"/>
        <item x="185"/>
        <item x="270"/>
        <item x="640"/>
        <item x="135"/>
        <item x="110"/>
        <item x="560"/>
        <item x="644"/>
        <item x="403"/>
        <item x="639"/>
        <item x="774"/>
        <item x="343"/>
        <item x="123"/>
        <item x="632"/>
        <item x="855"/>
        <item x="566"/>
        <item x="254"/>
        <item x="320"/>
        <item x="509"/>
        <item x="49"/>
        <item x="378"/>
        <item x="663"/>
        <item x="63"/>
        <item x="66"/>
        <item x="122"/>
        <item x="350"/>
        <item x="431"/>
        <item x="469"/>
        <item x="840"/>
        <item x="767"/>
        <item x="159"/>
        <item x="52"/>
        <item x="186"/>
        <item x="657"/>
        <item x="508"/>
        <item x="522"/>
        <item x="342"/>
        <item x="265"/>
        <item x="352"/>
        <item x="494"/>
        <item x="611"/>
        <item x="607"/>
        <item x="649"/>
        <item x="155"/>
        <item x="569"/>
        <item x="117"/>
        <item x="714"/>
        <item x="768"/>
        <item x="485"/>
        <item x="147"/>
        <item x="72"/>
        <item x="688"/>
        <item x="124"/>
        <item x="121"/>
        <item x="139"/>
        <item x="492"/>
        <item x="521"/>
        <item x="527"/>
        <item x="526"/>
        <item x="478"/>
        <item x="5"/>
        <item x="75"/>
        <item x="94"/>
        <item x="126"/>
        <item x="125"/>
        <item x="362"/>
        <item x="587"/>
        <item x="348"/>
        <item x="519"/>
        <item x="90"/>
        <item x="140"/>
        <item x="803"/>
        <item x="510"/>
        <item x="610"/>
        <item x="559"/>
        <item x="617"/>
        <item x="568"/>
        <item x="778"/>
        <item x="32"/>
        <item x="737"/>
        <item x="592"/>
        <item x="359"/>
        <item x="377"/>
        <item x="495"/>
        <item x="619"/>
        <item x="327"/>
        <item x="255"/>
        <item x="618"/>
        <item x="471"/>
        <item x="553"/>
        <item x="24"/>
        <item x="424"/>
        <item x="357"/>
        <item x="437"/>
        <item x="440"/>
        <item x="82"/>
        <item x="130"/>
        <item x="422"/>
        <item x="616"/>
        <item x="389"/>
        <item x="305"/>
        <item x="332"/>
        <item x="556"/>
        <item x="716"/>
        <item x="262"/>
        <item x="380"/>
        <item x="390"/>
        <item x="539"/>
        <item x="441"/>
        <item x="664"/>
        <item x="648"/>
        <item x="488"/>
        <item x="109"/>
        <item x="388"/>
        <item x="371"/>
        <item x="191"/>
        <item x="430"/>
        <item x="582"/>
        <item x="674"/>
        <item x="557"/>
        <item x="127"/>
        <item x="175"/>
        <item x="545"/>
        <item x="236"/>
        <item x="338"/>
        <item x="574"/>
        <item x="516"/>
        <item x="198"/>
        <item x="612"/>
        <item x="544"/>
        <item x="575"/>
        <item x="621"/>
        <item x="472"/>
        <item x="583"/>
        <item x="606"/>
        <item x="498"/>
        <item x="421"/>
        <item x="134"/>
        <item x="451"/>
        <item x="182"/>
        <item x="532"/>
        <item x="401"/>
        <item x="481"/>
        <item x="541"/>
        <item x="153"/>
        <item x="336"/>
        <item x="486"/>
        <item x="292"/>
        <item x="464"/>
        <item x="138"/>
        <item x="454"/>
        <item x="160"/>
        <item x="328"/>
        <item x="520"/>
        <item x="308"/>
        <item x="376"/>
        <item x="349"/>
        <item x="455"/>
        <item x="513"/>
        <item x="518"/>
        <item x="128"/>
        <item x="330"/>
        <item x="584"/>
        <item x="753"/>
        <item x="533"/>
        <item x="506"/>
        <item x="132"/>
        <item x="411"/>
        <item x="383"/>
        <item x="406"/>
        <item x="416"/>
        <item x="535"/>
        <item x="337"/>
        <item x="354"/>
        <item x="306"/>
        <item x="457"/>
        <item x="442"/>
        <item x="482"/>
        <item x="483"/>
        <item x="11"/>
        <item x="393"/>
        <item x="133"/>
        <item x="505"/>
        <item x="329"/>
        <item x="294"/>
        <item x="381"/>
        <item x="514"/>
        <item x="399"/>
        <item x="104"/>
        <item x="385"/>
        <item x="548"/>
        <item x="490"/>
        <item x="176"/>
        <item x="573"/>
        <item x="438"/>
        <item x="572"/>
        <item x="410"/>
        <item x="620"/>
        <item x="366"/>
        <item x="503"/>
        <item x="314"/>
        <item x="301"/>
        <item x="282"/>
        <item x="341"/>
        <item x="315"/>
        <item x="290"/>
        <item x="432"/>
        <item x="325"/>
        <item x="473"/>
        <item x="435"/>
        <item x="484"/>
        <item x="161"/>
        <item x="427"/>
        <item x="511"/>
        <item x="289"/>
        <item x="281"/>
        <item x="387"/>
        <item x="273"/>
        <item x="470"/>
        <item x="402"/>
        <item x="356"/>
        <item x="543"/>
        <item x="358"/>
        <item x="413"/>
        <item x="609"/>
        <item x="531"/>
        <item x="326"/>
        <item x="309"/>
        <item x="312"/>
        <item x="398"/>
        <item x="303"/>
        <item x="367"/>
        <item x="443"/>
        <item x="321"/>
        <item x="322"/>
        <item x="319"/>
        <item x="534"/>
        <item x="449"/>
        <item x="549"/>
        <item x="546"/>
        <item x="613"/>
        <item x="465"/>
        <item x="375"/>
        <item x="392"/>
        <item x="446"/>
        <item x="571"/>
        <item x="345"/>
        <item x="409"/>
        <item x="463"/>
        <item x="317"/>
        <item x="480"/>
        <item x="631"/>
        <item x="458"/>
        <item x="363"/>
        <item x="286"/>
        <item x="420"/>
        <item x="149"/>
        <item x="504"/>
        <item x="278"/>
        <item x="323"/>
        <item x="287"/>
        <item x="369"/>
        <item x="445"/>
        <item x="433"/>
        <item x="452"/>
        <item x="497"/>
        <item x="324"/>
        <item x="288"/>
        <item x="113"/>
        <item x="361"/>
        <item x="456"/>
        <item x="448"/>
        <item x="291"/>
        <item x="396"/>
        <item x="499"/>
        <item x="279"/>
        <item x="515"/>
        <item x="283"/>
        <item x="408"/>
        <item x="425"/>
        <item x="550"/>
        <item x="196"/>
        <item x="512"/>
        <item x="364"/>
        <item x="439"/>
        <item x="373"/>
        <item x="310"/>
        <item x="166"/>
        <item x="374"/>
        <item x="188"/>
        <item x="284"/>
        <item x="551"/>
        <item x="524"/>
        <item x="271"/>
        <item x="316"/>
        <item x="405"/>
        <item x="417"/>
        <item x="152"/>
        <item x="496"/>
        <item x="395"/>
        <item x="275"/>
        <item x="65"/>
        <item x="313"/>
        <item x="297"/>
        <item x="272"/>
        <item x="466"/>
        <item x="142"/>
        <item x="370"/>
        <item x="280"/>
        <item x="412"/>
        <item x="372"/>
        <item x="434"/>
        <item x="397"/>
        <item x="507"/>
        <item x="450"/>
        <item x="384"/>
        <item x="407"/>
        <item x="339"/>
        <item x="107"/>
        <item x="414"/>
        <item x="419"/>
        <item x="307"/>
        <item x="318"/>
        <item x="525"/>
        <item x="615"/>
        <item x="277"/>
        <item x="274"/>
        <item x="423"/>
        <item x="302"/>
        <item x="365"/>
        <item x="418"/>
        <item x="394"/>
        <item x="285"/>
        <item x="415"/>
        <item x="355"/>
        <item x="78"/>
        <item x="344"/>
        <item x="293"/>
        <item x="276"/>
        <item x="547"/>
        <item x="453"/>
        <item x="304"/>
        <item x="552"/>
        <item x="379"/>
        <item x="368"/>
        <item x="447"/>
        <item x="347"/>
        <item x="296"/>
        <item x="300"/>
        <item x="346"/>
        <item x="118"/>
        <item x="119"/>
        <item x="299"/>
        <item x="335"/>
        <item x="426"/>
        <item x="298"/>
        <item x="334"/>
        <item x="2"/>
        <item t="default"/>
      </items>
    </pivotField>
    <pivotField dataField="1" numFmtId="10" showAll="0"/>
    <pivotField dataField="1" showAll="0">
      <items count="504">
        <item x="3"/>
        <item x="73"/>
        <item x="58"/>
        <item x="66"/>
        <item x="85"/>
        <item x="115"/>
        <item x="35"/>
        <item x="47"/>
        <item x="75"/>
        <item x="77"/>
        <item x="16"/>
        <item x="45"/>
        <item x="68"/>
        <item x="92"/>
        <item x="4"/>
        <item x="2"/>
        <item x="90"/>
        <item x="78"/>
        <item x="21"/>
        <item x="93"/>
        <item x="70"/>
        <item x="24"/>
        <item x="26"/>
        <item x="91"/>
        <item x="0"/>
        <item x="100"/>
        <item x="19"/>
        <item x="48"/>
        <item x="453"/>
        <item x="72"/>
        <item x="117"/>
        <item x="11"/>
        <item x="111"/>
        <item x="107"/>
        <item x="25"/>
        <item x="32"/>
        <item x="125"/>
        <item x="13"/>
        <item x="99"/>
        <item x="165"/>
        <item x="59"/>
        <item x="9"/>
        <item x="87"/>
        <item x="67"/>
        <item x="79"/>
        <item x="440"/>
        <item x="142"/>
        <item x="109"/>
        <item x="102"/>
        <item x="52"/>
        <item x="114"/>
        <item x="353"/>
        <item x="360"/>
        <item x="83"/>
        <item x="441"/>
        <item x="101"/>
        <item x="86"/>
        <item x="354"/>
        <item x="15"/>
        <item x="20"/>
        <item x="33"/>
        <item x="49"/>
        <item x="160"/>
        <item x="447"/>
        <item x="8"/>
        <item x="7"/>
        <item x="212"/>
        <item x="81"/>
        <item x="116"/>
        <item x="46"/>
        <item x="445"/>
        <item x="65"/>
        <item x="108"/>
        <item x="113"/>
        <item x="61"/>
        <item x="28"/>
        <item x="71"/>
        <item x="53"/>
        <item x="222"/>
        <item x="89"/>
        <item x="392"/>
        <item x="95"/>
        <item x="166"/>
        <item x="84"/>
        <item x="329"/>
        <item x="112"/>
        <item x="106"/>
        <item x="80"/>
        <item x="330"/>
        <item x="97"/>
        <item x="57"/>
        <item x="50"/>
        <item x="6"/>
        <item x="110"/>
        <item x="69"/>
        <item x="303"/>
        <item x="104"/>
        <item x="62"/>
        <item x="151"/>
        <item x="29"/>
        <item x="76"/>
        <item x="74"/>
        <item x="39"/>
        <item x="43"/>
        <item x="419"/>
        <item x="18"/>
        <item x="466"/>
        <item x="17"/>
        <item x="181"/>
        <item x="176"/>
        <item x="94"/>
        <item x="103"/>
        <item x="56"/>
        <item x="23"/>
        <item x="164"/>
        <item x="143"/>
        <item x="460"/>
        <item x="82"/>
        <item x="250"/>
        <item x="154"/>
        <item x="268"/>
        <item x="140"/>
        <item x="128"/>
        <item x="448"/>
        <item x="10"/>
        <item x="219"/>
        <item x="252"/>
        <item x="30"/>
        <item x="167"/>
        <item x="458"/>
        <item x="376"/>
        <item x="481"/>
        <item x="14"/>
        <item x="63"/>
        <item x="226"/>
        <item x="246"/>
        <item x="249"/>
        <item x="220"/>
        <item x="343"/>
        <item x="22"/>
        <item x="88"/>
        <item x="5"/>
        <item x="315"/>
        <item x="356"/>
        <item x="64"/>
        <item x="38"/>
        <item x="242"/>
        <item x="36"/>
        <item x="274"/>
        <item x="51"/>
        <item x="451"/>
        <item x="129"/>
        <item x="144"/>
        <item x="54"/>
        <item x="452"/>
        <item x="118"/>
        <item x="191"/>
        <item x="262"/>
        <item x="436"/>
        <item x="325"/>
        <item x="147"/>
        <item x="34"/>
        <item x="457"/>
        <item x="472"/>
        <item x="225"/>
        <item x="410"/>
        <item x="174"/>
        <item x="198"/>
        <item x="444"/>
        <item x="259"/>
        <item x="307"/>
        <item x="305"/>
        <item x="393"/>
        <item x="178"/>
        <item x="264"/>
        <item x="27"/>
        <item x="483"/>
        <item x="328"/>
        <item x="293"/>
        <item x="127"/>
        <item x="298"/>
        <item x="205"/>
        <item x="456"/>
        <item x="346"/>
        <item x="126"/>
        <item x="396"/>
        <item x="96"/>
        <item x="495"/>
        <item x="12"/>
        <item x="320"/>
        <item x="119"/>
        <item x="473"/>
        <item x="461"/>
        <item x="258"/>
        <item x="348"/>
        <item x="450"/>
        <item x="40"/>
        <item x="169"/>
        <item x="195"/>
        <item x="443"/>
        <item x="349"/>
        <item x="394"/>
        <item x="227"/>
        <item x="161"/>
        <item x="407"/>
        <item x="172"/>
        <item x="308"/>
        <item x="201"/>
        <item x="185"/>
        <item x="306"/>
        <item x="157"/>
        <item x="202"/>
        <item x="312"/>
        <item x="123"/>
        <item x="210"/>
        <item x="352"/>
        <item x="223"/>
        <item x="232"/>
        <item x="120"/>
        <item x="326"/>
        <item x="229"/>
        <item x="485"/>
        <item x="327"/>
        <item x="342"/>
        <item x="215"/>
        <item x="60"/>
        <item x="459"/>
        <item x="283"/>
        <item x="146"/>
        <item x="134"/>
        <item x="221"/>
        <item x="177"/>
        <item x="153"/>
        <item x="442"/>
        <item x="158"/>
        <item x="55"/>
        <item x="192"/>
        <item x="465"/>
        <item x="139"/>
        <item x="455"/>
        <item x="138"/>
        <item x="235"/>
        <item x="295"/>
        <item x="230"/>
        <item x="170"/>
        <item x="286"/>
        <item x="470"/>
        <item x="491"/>
        <item x="194"/>
        <item x="180"/>
        <item x="344"/>
        <item x="409"/>
        <item x="367"/>
        <item x="135"/>
        <item x="199"/>
        <item x="446"/>
        <item x="179"/>
        <item x="299"/>
        <item x="496"/>
        <item x="345"/>
        <item x="406"/>
        <item x="364"/>
        <item x="400"/>
        <item x="145"/>
        <item x="278"/>
        <item x="289"/>
        <item x="168"/>
        <item x="214"/>
        <item x="384"/>
        <item x="42"/>
        <item x="296"/>
        <item x="331"/>
        <item x="421"/>
        <item x="377"/>
        <item x="484"/>
        <item x="469"/>
        <item x="131"/>
        <item x="211"/>
        <item x="290"/>
        <item x="267"/>
        <item x="137"/>
        <item x="464"/>
        <item x="187"/>
        <item x="150"/>
        <item x="304"/>
        <item x="359"/>
        <item x="474"/>
        <item x="124"/>
        <item x="340"/>
        <item x="231"/>
        <item x="333"/>
        <item x="216"/>
        <item x="357"/>
        <item x="309"/>
        <item x="408"/>
        <item x="148"/>
        <item x="182"/>
        <item x="171"/>
        <item x="426"/>
        <item x="31"/>
        <item x="482"/>
        <item x="105"/>
        <item x="133"/>
        <item x="190"/>
        <item x="494"/>
        <item x="257"/>
        <item x="238"/>
        <item x="477"/>
        <item x="217"/>
        <item x="404"/>
        <item x="281"/>
        <item x="463"/>
        <item x="291"/>
        <item x="247"/>
        <item x="332"/>
        <item x="203"/>
        <item x="193"/>
        <item x="369"/>
        <item x="297"/>
        <item x="355"/>
        <item x="378"/>
        <item x="321"/>
        <item x="375"/>
        <item x="334"/>
        <item x="288"/>
        <item x="338"/>
        <item x="121"/>
        <item x="489"/>
        <item x="395"/>
        <item x="248"/>
        <item x="432"/>
        <item x="383"/>
        <item x="449"/>
        <item x="287"/>
        <item x="335"/>
        <item x="499"/>
        <item x="476"/>
        <item x="402"/>
        <item x="163"/>
        <item x="218"/>
        <item x="253"/>
        <item x="467"/>
        <item x="370"/>
        <item x="422"/>
        <item x="462"/>
        <item x="341"/>
        <item x="155"/>
        <item x="44"/>
        <item x="159"/>
        <item x="208"/>
        <item x="478"/>
        <item x="241"/>
        <item x="188"/>
        <item x="310"/>
        <item x="389"/>
        <item x="132"/>
        <item x="152"/>
        <item x="173"/>
        <item x="468"/>
        <item x="314"/>
        <item x="350"/>
        <item x="204"/>
        <item x="234"/>
        <item x="498"/>
        <item x="37"/>
        <item x="236"/>
        <item x="486"/>
        <item x="271"/>
        <item x="256"/>
        <item x="336"/>
        <item x="420"/>
        <item x="240"/>
        <item x="454"/>
        <item x="265"/>
        <item x="261"/>
        <item x="237"/>
        <item x="381"/>
        <item x="141"/>
        <item x="322"/>
        <item x="492"/>
        <item x="372"/>
        <item x="184"/>
        <item x="254"/>
        <item x="385"/>
        <item x="197"/>
        <item x="324"/>
        <item x="382"/>
        <item x="162"/>
        <item x="401"/>
        <item x="207"/>
        <item x="371"/>
        <item x="275"/>
        <item x="431"/>
        <item x="98"/>
        <item x="480"/>
        <item x="149"/>
        <item x="228"/>
        <item x="260"/>
        <item x="294"/>
        <item x="373"/>
        <item x="243"/>
        <item x="379"/>
        <item x="423"/>
        <item x="266"/>
        <item x="175"/>
        <item x="323"/>
        <item x="224"/>
        <item x="311"/>
        <item x="200"/>
        <item x="403"/>
        <item x="388"/>
        <item x="136"/>
        <item x="475"/>
        <item x="302"/>
        <item x="411"/>
        <item x="317"/>
        <item x="386"/>
        <item x="122"/>
        <item x="263"/>
        <item x="418"/>
        <item x="502"/>
        <item x="497"/>
        <item x="368"/>
        <item x="347"/>
        <item x="363"/>
        <item x="319"/>
        <item x="276"/>
        <item x="251"/>
        <item x="361"/>
        <item x="362"/>
        <item x="183"/>
        <item x="434"/>
        <item x="339"/>
        <item x="189"/>
        <item x="186"/>
        <item x="387"/>
        <item x="351"/>
        <item x="366"/>
        <item x="435"/>
        <item x="501"/>
        <item x="430"/>
        <item x="130"/>
        <item x="490"/>
        <item x="279"/>
        <item x="487"/>
        <item x="398"/>
        <item x="244"/>
        <item x="318"/>
        <item x="284"/>
        <item x="272"/>
        <item x="269"/>
        <item x="280"/>
        <item x="337"/>
        <item x="425"/>
        <item x="292"/>
        <item x="213"/>
        <item x="397"/>
        <item x="479"/>
        <item x="273"/>
        <item x="239"/>
        <item x="391"/>
        <item x="196"/>
        <item x="285"/>
        <item x="412"/>
        <item x="282"/>
        <item x="270"/>
        <item x="471"/>
        <item x="156"/>
        <item x="417"/>
        <item x="437"/>
        <item x="245"/>
        <item x="424"/>
        <item x="316"/>
        <item x="313"/>
        <item x="358"/>
        <item x="416"/>
        <item x="438"/>
        <item x="233"/>
        <item x="380"/>
        <item x="399"/>
        <item x="427"/>
        <item x="41"/>
        <item x="206"/>
        <item x="500"/>
        <item x="255"/>
        <item x="405"/>
        <item x="429"/>
        <item x="439"/>
        <item x="433"/>
        <item x="413"/>
        <item x="277"/>
        <item x="209"/>
        <item x="414"/>
        <item x="365"/>
        <item x="390"/>
        <item x="428"/>
        <item x="301"/>
        <item x="493"/>
        <item x="415"/>
        <item x="488"/>
        <item x="374"/>
        <item x="300"/>
        <item x="1"/>
        <item t="default"/>
      </items>
    </pivotField>
    <pivotField dataField="1" numFmtId="10" showAll="0"/>
    <pivotField numFmtId="2" showAll="0"/>
  </pivotFields>
  <rowItems count="1">
    <i/>
  </rowItems>
  <colFields count="1">
    <field x="-2"/>
  </colFields>
  <colItems count="5">
    <i>
      <x/>
    </i>
    <i i="1">
      <x v="1"/>
    </i>
    <i i="2">
      <x v="2"/>
    </i>
    <i i="3">
      <x v="3"/>
    </i>
    <i i="4">
      <x v="4"/>
    </i>
  </colItems>
  <dataFields count="5">
    <dataField name="Average of CPM" fld="11" subtotal="average" baseField="0" baseItem="0" numFmtId="164"/>
    <dataField name="Average of CTR" fld="13" subtotal="average" baseField="0" baseItem="0" numFmtId="165"/>
    <dataField name="Average of CCR" fld="15" subtotal="average" baseField="0" baseItem="0" numFmtId="10"/>
    <dataField name="Average of CPC" fld="12" subtotal="average" baseField="0" baseItem="0" numFmtId="164"/>
    <dataField name="Average of CPA" fld="14" subtotal="average" baseField="0" baseItem="0" numFmtId="164"/>
  </dataFields>
  <formats count="4">
    <format dxfId="296">
      <pivotArea outline="0" collapsedLevelsAreSubtotals="1" fieldPosition="0">
        <references count="1">
          <reference field="4294967294" count="1" selected="0">
            <x v="1"/>
          </reference>
        </references>
      </pivotArea>
    </format>
    <format dxfId="295">
      <pivotArea outline="0" collapsedLevelsAreSubtotals="1" fieldPosition="0">
        <references count="1">
          <reference field="4294967294" count="1" selected="0">
            <x v="0"/>
          </reference>
        </references>
      </pivotArea>
    </format>
    <format dxfId="294">
      <pivotArea outline="0" collapsedLevelsAreSubtotals="1" fieldPosition="0">
        <references count="1">
          <reference field="4294967294" count="1" selected="0">
            <x v="3"/>
          </reference>
        </references>
      </pivotArea>
    </format>
    <format dxfId="29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5F2EE3-6455-4763-B271-2338FEB3843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X9:Y13" firstHeaderRow="1" firstDataRow="1" firstDataCol="1"/>
  <pivotFields count="17">
    <pivotField showAll="0"/>
    <pivotField showAll="0">
      <items count="4">
        <item x="0"/>
        <item x="1"/>
        <item x="2"/>
        <item t="default"/>
      </items>
    </pivotField>
    <pivotField showAll="0"/>
    <pivotField axis="axisRow" showAll="0">
      <items count="5">
        <item x="0"/>
        <item x="1"/>
        <item x="2"/>
        <item x="3"/>
        <item t="default"/>
      </items>
    </pivotField>
    <pivotField showAll="0">
      <items count="3">
        <item x="1"/>
        <item x="0"/>
        <item t="default"/>
      </items>
    </pivotField>
    <pivotField numFmtId="1" showAll="0"/>
    <pivotField numFmtId="1" showAll="0"/>
    <pivotField numFmtId="1" showAll="0"/>
    <pivotField numFmtId="164" showAll="0"/>
    <pivotField numFmtId="1" showAll="0"/>
    <pivotField numFmtId="1" showAll="0"/>
    <pivotField numFmtId="2" showAll="0"/>
    <pivotField showAll="0"/>
    <pivotField numFmtId="10" showAll="0"/>
    <pivotField showAll="0"/>
    <pivotField dataField="1" numFmtId="10" showAll="0"/>
    <pivotField numFmtId="2" showAll="0"/>
  </pivotFields>
  <rowFields count="1">
    <field x="3"/>
  </rowFields>
  <rowItems count="4">
    <i>
      <x/>
    </i>
    <i>
      <x v="1"/>
    </i>
    <i>
      <x v="2"/>
    </i>
    <i>
      <x v="3"/>
    </i>
  </rowItems>
  <colItems count="1">
    <i/>
  </colItems>
  <dataFields count="1">
    <dataField name="Average of CCR" fld="15"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33ED6DF-1998-4E44-B13B-1401F5634437}" sourceName="age">
  <pivotTables>
    <pivotTable tabId="13" name="PivotTable11"/>
    <pivotTable tabId="13" name="PivotTable1"/>
    <pivotTable tabId="13" name="PivotTable10"/>
    <pivotTable tabId="13" name="PivotTable12"/>
    <pivotTable tabId="13" name="PivotTable2"/>
    <pivotTable tabId="13" name="PivotTable3"/>
    <pivotTable tabId="13" name="PivotTable4"/>
    <pivotTable tabId="13" name="PivotTable5"/>
  </pivotTables>
  <data>
    <tabular pivotCacheId="45848659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662E86F-6B6F-42C2-8428-26D43092E69D}" sourceName="gender">
  <pivotTables>
    <pivotTable tabId="13" name="PivotTable11"/>
    <pivotTable tabId="13" name="PivotTable1"/>
    <pivotTable tabId="13" name="PivotTable10"/>
    <pivotTable tabId="13" name="PivotTable12"/>
    <pivotTable tabId="13" name="PivotTable2"/>
    <pivotTable tabId="13" name="PivotTable3"/>
    <pivotTable tabId="13" name="PivotTable4"/>
    <pivotTable tabId="13" name="PivotTable5"/>
  </pivotTables>
  <data>
    <tabular pivotCacheId="45848659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xyz_campaign_id" xr10:uid="{79F6B9E2-9595-4E37-A8DC-402639707F4F}" sourceName="xyz_campaign_id">
  <pivotTables>
    <pivotTable tabId="13" name="PivotTable11"/>
    <pivotTable tabId="13" name="PivotTable1"/>
    <pivotTable tabId="13" name="PivotTable10"/>
    <pivotTable tabId="13" name="PivotTable12"/>
    <pivotTable tabId="13" name="PivotTable2"/>
    <pivotTable tabId="13" name="PivotTable3"/>
    <pivotTable tabId="13" name="PivotTable4"/>
    <pivotTable tabId="13" name="PivotTable5"/>
  </pivotTables>
  <data>
    <tabular pivotCacheId="45848659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9A198F66-4F60-41EA-9431-81B01E7D9596}" cache="Slicer_age" style="TEST1" rowHeight="257175"/>
  <slicer name="gender" xr10:uid="{44F8B3F1-F0AE-4B15-9809-DECDAA834EA1}" cache="Slicer_gender" style="TEST1" rowHeight="257175"/>
  <slicer name="xyz_campaign_id" xr10:uid="{F7E026E2-6D42-4DE8-B603-929F7CCA5600}" cache="Slicer_xyz_campaign_id" style="TEST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D5FA-D27B-4B72-B9B1-64DEB83EB01C}">
  <sheetPr>
    <tabColor theme="5" tint="0.39997558519241921"/>
  </sheetPr>
  <dimension ref="A1"/>
  <sheetViews>
    <sheetView showGridLines="0" tabSelected="1" view="pageBreakPreview" zoomScale="70" zoomScaleNormal="110" zoomScaleSheetLayoutView="70" workbookViewId="0">
      <selection activeCell="X18" sqref="X18"/>
    </sheetView>
  </sheetViews>
  <sheetFormatPr defaultRowHeight="15" x14ac:dyDescent="0.25"/>
  <sheetData/>
  <pageMargins left="0.7" right="0.7" top="0.75" bottom="0.75" header="0.3" footer="0.3"/>
  <pageSetup scale="54"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6E9D-1D28-42B1-B2F9-FA4A56144C69}">
  <dimension ref="A1:K1144"/>
  <sheetViews>
    <sheetView workbookViewId="0">
      <selection activeCell="O12" sqref="O12"/>
    </sheetView>
  </sheetViews>
  <sheetFormatPr defaultRowHeight="15" x14ac:dyDescent="0.25"/>
  <cols>
    <col min="7" max="7" width="12.85546875" customWidth="1"/>
    <col min="12" max="12" width="9.140625" customWidth="1"/>
  </cols>
  <sheetData>
    <row r="1" spans="1:11" x14ac:dyDescent="0.25">
      <c r="A1" t="s">
        <v>0</v>
      </c>
      <c r="B1" t="s">
        <v>1</v>
      </c>
      <c r="C1" t="s">
        <v>2</v>
      </c>
      <c r="D1" t="s">
        <v>3</v>
      </c>
      <c r="E1" t="s">
        <v>4</v>
      </c>
      <c r="F1" t="s">
        <v>5</v>
      </c>
      <c r="G1" t="s">
        <v>6</v>
      </c>
      <c r="H1" t="s">
        <v>7</v>
      </c>
      <c r="I1" t="s">
        <v>8</v>
      </c>
      <c r="J1" t="s">
        <v>9</v>
      </c>
      <c r="K1" t="s">
        <v>10</v>
      </c>
    </row>
    <row r="2" spans="1:11" x14ac:dyDescent="0.25">
      <c r="A2">
        <v>708746</v>
      </c>
      <c r="B2">
        <v>916</v>
      </c>
      <c r="C2">
        <v>103916</v>
      </c>
      <c r="D2" t="s">
        <v>11</v>
      </c>
      <c r="E2" t="s">
        <v>12</v>
      </c>
      <c r="F2">
        <v>15</v>
      </c>
      <c r="G2">
        <v>7350</v>
      </c>
      <c r="H2">
        <v>1</v>
      </c>
      <c r="I2">
        <v>1.4299999480000001</v>
      </c>
      <c r="J2">
        <v>2</v>
      </c>
      <c r="K2">
        <v>1</v>
      </c>
    </row>
    <row r="3" spans="1:11" x14ac:dyDescent="0.25">
      <c r="A3">
        <v>708749</v>
      </c>
      <c r="B3">
        <v>916</v>
      </c>
      <c r="C3">
        <v>103917</v>
      </c>
      <c r="D3" t="s">
        <v>11</v>
      </c>
      <c r="E3" t="s">
        <v>12</v>
      </c>
      <c r="F3">
        <v>16</v>
      </c>
      <c r="G3">
        <v>17861</v>
      </c>
      <c r="H3">
        <v>2</v>
      </c>
      <c r="I3">
        <v>1.820000023</v>
      </c>
      <c r="J3">
        <v>2</v>
      </c>
      <c r="K3">
        <v>0</v>
      </c>
    </row>
    <row r="4" spans="1:11" x14ac:dyDescent="0.25">
      <c r="A4">
        <v>708771</v>
      </c>
      <c r="B4">
        <v>916</v>
      </c>
      <c r="C4">
        <v>103920</v>
      </c>
      <c r="D4" t="s">
        <v>11</v>
      </c>
      <c r="E4" t="s">
        <v>12</v>
      </c>
      <c r="F4">
        <v>20</v>
      </c>
      <c r="G4">
        <v>693</v>
      </c>
      <c r="H4">
        <v>0</v>
      </c>
      <c r="I4">
        <v>0</v>
      </c>
      <c r="J4">
        <v>1</v>
      </c>
      <c r="K4">
        <v>0</v>
      </c>
    </row>
    <row r="5" spans="1:11" x14ac:dyDescent="0.25">
      <c r="A5">
        <v>708815</v>
      </c>
      <c r="B5">
        <v>916</v>
      </c>
      <c r="C5">
        <v>103928</v>
      </c>
      <c r="D5" t="s">
        <v>11</v>
      </c>
      <c r="E5" t="s">
        <v>12</v>
      </c>
      <c r="F5">
        <v>28</v>
      </c>
      <c r="G5">
        <v>4259</v>
      </c>
      <c r="H5">
        <v>1</v>
      </c>
      <c r="I5">
        <v>1.25</v>
      </c>
      <c r="J5">
        <v>1</v>
      </c>
      <c r="K5">
        <v>0</v>
      </c>
    </row>
    <row r="6" spans="1:11" x14ac:dyDescent="0.25">
      <c r="A6">
        <v>708818</v>
      </c>
      <c r="B6">
        <v>916</v>
      </c>
      <c r="C6">
        <v>103928</v>
      </c>
      <c r="D6" t="s">
        <v>11</v>
      </c>
      <c r="E6" t="s">
        <v>12</v>
      </c>
      <c r="F6">
        <v>28</v>
      </c>
      <c r="G6">
        <v>4133</v>
      </c>
      <c r="H6">
        <v>1</v>
      </c>
      <c r="I6">
        <v>1.289999962</v>
      </c>
      <c r="J6">
        <v>1</v>
      </c>
      <c r="K6">
        <v>1</v>
      </c>
    </row>
    <row r="7" spans="1:11" x14ac:dyDescent="0.25">
      <c r="A7">
        <v>708820</v>
      </c>
      <c r="B7">
        <v>916</v>
      </c>
      <c r="C7">
        <v>103929</v>
      </c>
      <c r="D7" t="s">
        <v>11</v>
      </c>
      <c r="E7" t="s">
        <v>12</v>
      </c>
      <c r="F7">
        <v>29</v>
      </c>
      <c r="G7">
        <v>1915</v>
      </c>
      <c r="H7">
        <v>0</v>
      </c>
      <c r="I7">
        <v>0</v>
      </c>
      <c r="J7">
        <v>1</v>
      </c>
      <c r="K7">
        <v>1</v>
      </c>
    </row>
    <row r="8" spans="1:11" x14ac:dyDescent="0.25">
      <c r="A8">
        <v>708889</v>
      </c>
      <c r="B8">
        <v>916</v>
      </c>
      <c r="C8">
        <v>103940</v>
      </c>
      <c r="D8" t="s">
        <v>11</v>
      </c>
      <c r="E8" t="s">
        <v>12</v>
      </c>
      <c r="F8">
        <v>15</v>
      </c>
      <c r="G8">
        <v>15615</v>
      </c>
      <c r="H8">
        <v>3</v>
      </c>
      <c r="I8">
        <v>4.7699999809999998</v>
      </c>
      <c r="J8">
        <v>1</v>
      </c>
      <c r="K8">
        <v>0</v>
      </c>
    </row>
    <row r="9" spans="1:11" x14ac:dyDescent="0.25">
      <c r="A9">
        <v>708895</v>
      </c>
      <c r="B9">
        <v>916</v>
      </c>
      <c r="C9">
        <v>103941</v>
      </c>
      <c r="D9" t="s">
        <v>11</v>
      </c>
      <c r="E9" t="s">
        <v>12</v>
      </c>
      <c r="F9">
        <v>16</v>
      </c>
      <c r="G9">
        <v>10951</v>
      </c>
      <c r="H9">
        <v>1</v>
      </c>
      <c r="I9">
        <v>1.269999981</v>
      </c>
      <c r="J9">
        <v>1</v>
      </c>
      <c r="K9">
        <v>1</v>
      </c>
    </row>
    <row r="10" spans="1:11" x14ac:dyDescent="0.25">
      <c r="A10">
        <v>708953</v>
      </c>
      <c r="B10">
        <v>916</v>
      </c>
      <c r="C10">
        <v>103951</v>
      </c>
      <c r="D10" t="s">
        <v>11</v>
      </c>
      <c r="E10" t="s">
        <v>12</v>
      </c>
      <c r="F10">
        <v>27</v>
      </c>
      <c r="G10">
        <v>2355</v>
      </c>
      <c r="H10">
        <v>1</v>
      </c>
      <c r="I10">
        <v>1.5</v>
      </c>
      <c r="J10">
        <v>1</v>
      </c>
      <c r="K10">
        <v>0</v>
      </c>
    </row>
    <row r="11" spans="1:11" x14ac:dyDescent="0.25">
      <c r="A11">
        <v>708958</v>
      </c>
      <c r="B11">
        <v>916</v>
      </c>
      <c r="C11">
        <v>103952</v>
      </c>
      <c r="D11" t="s">
        <v>11</v>
      </c>
      <c r="E11" t="s">
        <v>12</v>
      </c>
      <c r="F11">
        <v>28</v>
      </c>
      <c r="G11">
        <v>9502</v>
      </c>
      <c r="H11">
        <v>3</v>
      </c>
      <c r="I11">
        <v>3.1599999670000001</v>
      </c>
      <c r="J11">
        <v>1</v>
      </c>
      <c r="K11">
        <v>0</v>
      </c>
    </row>
    <row r="12" spans="1:11" x14ac:dyDescent="0.25">
      <c r="A12">
        <v>708979</v>
      </c>
      <c r="B12">
        <v>916</v>
      </c>
      <c r="C12">
        <v>103955</v>
      </c>
      <c r="D12" t="s">
        <v>11</v>
      </c>
      <c r="E12" t="s">
        <v>12</v>
      </c>
      <c r="F12">
        <v>31</v>
      </c>
      <c r="G12">
        <v>1224</v>
      </c>
      <c r="H12">
        <v>0</v>
      </c>
      <c r="I12">
        <v>0</v>
      </c>
      <c r="J12">
        <v>1</v>
      </c>
      <c r="K12">
        <v>0</v>
      </c>
    </row>
    <row r="13" spans="1:11" x14ac:dyDescent="0.25">
      <c r="A13">
        <v>709023</v>
      </c>
      <c r="B13">
        <v>916</v>
      </c>
      <c r="C13">
        <v>103962</v>
      </c>
      <c r="D13" t="s">
        <v>11</v>
      </c>
      <c r="E13" t="s">
        <v>12</v>
      </c>
      <c r="F13">
        <v>7</v>
      </c>
      <c r="G13">
        <v>735</v>
      </c>
      <c r="H13">
        <v>0</v>
      </c>
      <c r="I13">
        <v>0</v>
      </c>
      <c r="J13">
        <v>1</v>
      </c>
      <c r="K13">
        <v>0</v>
      </c>
    </row>
    <row r="14" spans="1:11" x14ac:dyDescent="0.25">
      <c r="A14">
        <v>709038</v>
      </c>
      <c r="B14">
        <v>916</v>
      </c>
      <c r="C14">
        <v>103965</v>
      </c>
      <c r="D14" t="s">
        <v>11</v>
      </c>
      <c r="E14" t="s">
        <v>12</v>
      </c>
      <c r="F14">
        <v>16</v>
      </c>
      <c r="G14">
        <v>5117</v>
      </c>
      <c r="H14">
        <v>0</v>
      </c>
      <c r="I14">
        <v>0</v>
      </c>
      <c r="J14">
        <v>1</v>
      </c>
      <c r="K14">
        <v>0</v>
      </c>
    </row>
    <row r="15" spans="1:11" x14ac:dyDescent="0.25">
      <c r="A15">
        <v>709040</v>
      </c>
      <c r="B15">
        <v>916</v>
      </c>
      <c r="C15">
        <v>103965</v>
      </c>
      <c r="D15" t="s">
        <v>11</v>
      </c>
      <c r="E15" t="s">
        <v>12</v>
      </c>
      <c r="F15">
        <v>16</v>
      </c>
      <c r="G15">
        <v>5120</v>
      </c>
      <c r="H15">
        <v>0</v>
      </c>
      <c r="I15">
        <v>0</v>
      </c>
      <c r="J15">
        <v>1</v>
      </c>
      <c r="K15">
        <v>0</v>
      </c>
    </row>
    <row r="16" spans="1:11" x14ac:dyDescent="0.25">
      <c r="A16">
        <v>709059</v>
      </c>
      <c r="B16">
        <v>916</v>
      </c>
      <c r="C16">
        <v>103968</v>
      </c>
      <c r="D16" t="s">
        <v>11</v>
      </c>
      <c r="E16" t="s">
        <v>12</v>
      </c>
      <c r="F16">
        <v>20</v>
      </c>
      <c r="G16">
        <v>14669</v>
      </c>
      <c r="H16">
        <v>7</v>
      </c>
      <c r="I16">
        <v>10.280000210000001</v>
      </c>
      <c r="J16">
        <v>1</v>
      </c>
      <c r="K16">
        <v>1</v>
      </c>
    </row>
    <row r="17" spans="1:11" x14ac:dyDescent="0.25">
      <c r="A17">
        <v>709105</v>
      </c>
      <c r="B17">
        <v>916</v>
      </c>
      <c r="C17">
        <v>103976</v>
      </c>
      <c r="D17" t="s">
        <v>11</v>
      </c>
      <c r="E17" t="s">
        <v>12</v>
      </c>
      <c r="F17">
        <v>28</v>
      </c>
      <c r="G17">
        <v>1241</v>
      </c>
      <c r="H17">
        <v>0</v>
      </c>
      <c r="I17">
        <v>0</v>
      </c>
      <c r="J17">
        <v>1</v>
      </c>
      <c r="K17">
        <v>1</v>
      </c>
    </row>
    <row r="18" spans="1:11" x14ac:dyDescent="0.25">
      <c r="A18">
        <v>709115</v>
      </c>
      <c r="B18">
        <v>916</v>
      </c>
      <c r="C18">
        <v>103978</v>
      </c>
      <c r="D18" t="s">
        <v>11</v>
      </c>
      <c r="E18" t="s">
        <v>12</v>
      </c>
      <c r="F18">
        <v>30</v>
      </c>
      <c r="G18">
        <v>2305</v>
      </c>
      <c r="H18">
        <v>1</v>
      </c>
      <c r="I18">
        <v>0.56999999300000004</v>
      </c>
      <c r="J18">
        <v>1</v>
      </c>
      <c r="K18">
        <v>0</v>
      </c>
    </row>
    <row r="19" spans="1:11" x14ac:dyDescent="0.25">
      <c r="A19">
        <v>709124</v>
      </c>
      <c r="B19">
        <v>916</v>
      </c>
      <c r="C19">
        <v>103979</v>
      </c>
      <c r="D19" t="s">
        <v>11</v>
      </c>
      <c r="E19" t="s">
        <v>12</v>
      </c>
      <c r="F19">
        <v>31</v>
      </c>
      <c r="G19">
        <v>1024</v>
      </c>
      <c r="H19">
        <v>0</v>
      </c>
      <c r="I19">
        <v>0</v>
      </c>
      <c r="J19">
        <v>1</v>
      </c>
      <c r="K19">
        <v>1</v>
      </c>
    </row>
    <row r="20" spans="1:11" x14ac:dyDescent="0.25">
      <c r="A20">
        <v>709179</v>
      </c>
      <c r="B20">
        <v>916</v>
      </c>
      <c r="C20">
        <v>103988</v>
      </c>
      <c r="D20" t="s">
        <v>13</v>
      </c>
      <c r="E20" t="s">
        <v>12</v>
      </c>
      <c r="F20">
        <v>15</v>
      </c>
      <c r="G20">
        <v>4627</v>
      </c>
      <c r="H20">
        <v>1</v>
      </c>
      <c r="I20">
        <v>1.690000057</v>
      </c>
      <c r="J20">
        <v>1</v>
      </c>
      <c r="K20">
        <v>0</v>
      </c>
    </row>
    <row r="21" spans="1:11" x14ac:dyDescent="0.25">
      <c r="A21">
        <v>709183</v>
      </c>
      <c r="B21">
        <v>916</v>
      </c>
      <c r="C21">
        <v>103989</v>
      </c>
      <c r="D21" t="s">
        <v>13</v>
      </c>
      <c r="E21" t="s">
        <v>12</v>
      </c>
      <c r="F21">
        <v>16</v>
      </c>
      <c r="G21">
        <v>21026</v>
      </c>
      <c r="H21">
        <v>4</v>
      </c>
      <c r="I21">
        <v>4.6300001139999996</v>
      </c>
      <c r="J21">
        <v>2</v>
      </c>
      <c r="K21">
        <v>1</v>
      </c>
    </row>
    <row r="22" spans="1:11" x14ac:dyDescent="0.25">
      <c r="A22">
        <v>709320</v>
      </c>
      <c r="B22">
        <v>916</v>
      </c>
      <c r="C22">
        <v>104012</v>
      </c>
      <c r="D22" t="s">
        <v>13</v>
      </c>
      <c r="E22" t="s">
        <v>12</v>
      </c>
      <c r="F22">
        <v>15</v>
      </c>
      <c r="G22">
        <v>1422</v>
      </c>
      <c r="H22">
        <v>0</v>
      </c>
      <c r="I22">
        <v>0</v>
      </c>
      <c r="J22">
        <v>1</v>
      </c>
      <c r="K22">
        <v>1</v>
      </c>
    </row>
    <row r="23" spans="1:11" x14ac:dyDescent="0.25">
      <c r="A23">
        <v>709323</v>
      </c>
      <c r="B23">
        <v>916</v>
      </c>
      <c r="C23">
        <v>104012</v>
      </c>
      <c r="D23" t="s">
        <v>13</v>
      </c>
      <c r="E23" t="s">
        <v>12</v>
      </c>
      <c r="F23">
        <v>15</v>
      </c>
      <c r="G23">
        <v>7132</v>
      </c>
      <c r="H23">
        <v>2</v>
      </c>
      <c r="I23">
        <v>2.6099998950000001</v>
      </c>
      <c r="J23">
        <v>1</v>
      </c>
      <c r="K23">
        <v>0</v>
      </c>
    </row>
    <row r="24" spans="1:11" x14ac:dyDescent="0.25">
      <c r="A24">
        <v>709326</v>
      </c>
      <c r="B24">
        <v>916</v>
      </c>
      <c r="C24">
        <v>104013</v>
      </c>
      <c r="D24" t="s">
        <v>13</v>
      </c>
      <c r="E24" t="s">
        <v>12</v>
      </c>
      <c r="F24">
        <v>16</v>
      </c>
      <c r="G24">
        <v>12190</v>
      </c>
      <c r="H24">
        <v>2</v>
      </c>
      <c r="I24">
        <v>3.0499999519999998</v>
      </c>
      <c r="J24">
        <v>1</v>
      </c>
      <c r="K24">
        <v>0</v>
      </c>
    </row>
    <row r="25" spans="1:11" x14ac:dyDescent="0.25">
      <c r="A25">
        <v>709327</v>
      </c>
      <c r="B25">
        <v>916</v>
      </c>
      <c r="C25">
        <v>104013</v>
      </c>
      <c r="D25" t="s">
        <v>13</v>
      </c>
      <c r="E25" t="s">
        <v>12</v>
      </c>
      <c r="F25">
        <v>16</v>
      </c>
      <c r="G25">
        <v>12193</v>
      </c>
      <c r="H25">
        <v>2</v>
      </c>
      <c r="I25">
        <v>3.0599999430000002</v>
      </c>
      <c r="J25">
        <v>1</v>
      </c>
      <c r="K25">
        <v>1</v>
      </c>
    </row>
    <row r="26" spans="1:11" x14ac:dyDescent="0.25">
      <c r="A26">
        <v>709328</v>
      </c>
      <c r="B26">
        <v>916</v>
      </c>
      <c r="C26">
        <v>104013</v>
      </c>
      <c r="D26" t="s">
        <v>13</v>
      </c>
      <c r="E26" t="s">
        <v>12</v>
      </c>
      <c r="F26">
        <v>16</v>
      </c>
      <c r="G26">
        <v>3332</v>
      </c>
      <c r="H26">
        <v>0</v>
      </c>
      <c r="I26">
        <v>0</v>
      </c>
      <c r="J26">
        <v>1</v>
      </c>
      <c r="K26">
        <v>1</v>
      </c>
    </row>
    <row r="27" spans="1:11" x14ac:dyDescent="0.25">
      <c r="A27">
        <v>709455</v>
      </c>
      <c r="B27">
        <v>916</v>
      </c>
      <c r="C27">
        <v>104034</v>
      </c>
      <c r="D27" t="s">
        <v>13</v>
      </c>
      <c r="E27" t="s">
        <v>12</v>
      </c>
      <c r="F27">
        <v>7</v>
      </c>
      <c r="G27">
        <v>559</v>
      </c>
      <c r="H27">
        <v>0</v>
      </c>
      <c r="I27">
        <v>0</v>
      </c>
      <c r="J27">
        <v>1</v>
      </c>
      <c r="K27">
        <v>0</v>
      </c>
    </row>
    <row r="28" spans="1:11" x14ac:dyDescent="0.25">
      <c r="A28">
        <v>709544</v>
      </c>
      <c r="B28">
        <v>916</v>
      </c>
      <c r="C28">
        <v>104049</v>
      </c>
      <c r="D28" t="s">
        <v>13</v>
      </c>
      <c r="E28" t="s">
        <v>12</v>
      </c>
      <c r="F28">
        <v>29</v>
      </c>
      <c r="G28">
        <v>7440</v>
      </c>
      <c r="H28">
        <v>2</v>
      </c>
      <c r="I28">
        <v>2.9800000190000002</v>
      </c>
      <c r="J28">
        <v>1</v>
      </c>
      <c r="K28">
        <v>1</v>
      </c>
    </row>
    <row r="29" spans="1:11" x14ac:dyDescent="0.25">
      <c r="A29">
        <v>709614</v>
      </c>
      <c r="B29">
        <v>916</v>
      </c>
      <c r="C29">
        <v>104061</v>
      </c>
      <c r="D29" t="s">
        <v>14</v>
      </c>
      <c r="E29" t="s">
        <v>12</v>
      </c>
      <c r="F29">
        <v>16</v>
      </c>
      <c r="G29">
        <v>19113</v>
      </c>
      <c r="H29">
        <v>4</v>
      </c>
      <c r="I29">
        <v>5.5200000999999999</v>
      </c>
      <c r="J29">
        <v>1</v>
      </c>
      <c r="K29">
        <v>0</v>
      </c>
    </row>
    <row r="30" spans="1:11" x14ac:dyDescent="0.25">
      <c r="A30">
        <v>709756</v>
      </c>
      <c r="B30">
        <v>916</v>
      </c>
      <c r="C30">
        <v>104085</v>
      </c>
      <c r="D30" t="s">
        <v>14</v>
      </c>
      <c r="E30" t="s">
        <v>12</v>
      </c>
      <c r="F30">
        <v>16</v>
      </c>
      <c r="G30">
        <v>10976</v>
      </c>
      <c r="H30">
        <v>2</v>
      </c>
      <c r="I30">
        <v>1.690000057</v>
      </c>
      <c r="J30">
        <v>1</v>
      </c>
      <c r="K30">
        <v>1</v>
      </c>
    </row>
    <row r="31" spans="1:11" x14ac:dyDescent="0.25">
      <c r="A31">
        <v>709761</v>
      </c>
      <c r="B31">
        <v>916</v>
      </c>
      <c r="C31">
        <v>104085</v>
      </c>
      <c r="D31" t="s">
        <v>14</v>
      </c>
      <c r="E31" t="s">
        <v>12</v>
      </c>
      <c r="F31">
        <v>16</v>
      </c>
      <c r="G31">
        <v>2861</v>
      </c>
      <c r="H31">
        <v>0</v>
      </c>
      <c r="I31">
        <v>0</v>
      </c>
      <c r="J31">
        <v>1</v>
      </c>
      <c r="K31">
        <v>0</v>
      </c>
    </row>
    <row r="32" spans="1:11" x14ac:dyDescent="0.25">
      <c r="A32">
        <v>709899</v>
      </c>
      <c r="B32">
        <v>916</v>
      </c>
      <c r="C32">
        <v>104108</v>
      </c>
      <c r="D32" t="s">
        <v>14</v>
      </c>
      <c r="E32" t="s">
        <v>12</v>
      </c>
      <c r="F32">
        <v>15</v>
      </c>
      <c r="G32">
        <v>1398</v>
      </c>
      <c r="H32">
        <v>0</v>
      </c>
      <c r="I32">
        <v>0</v>
      </c>
      <c r="J32">
        <v>1</v>
      </c>
      <c r="K32">
        <v>1</v>
      </c>
    </row>
    <row r="33" spans="1:11" x14ac:dyDescent="0.25">
      <c r="A33">
        <v>709901</v>
      </c>
      <c r="B33">
        <v>916</v>
      </c>
      <c r="C33">
        <v>104109</v>
      </c>
      <c r="D33" t="s">
        <v>14</v>
      </c>
      <c r="E33" t="s">
        <v>12</v>
      </c>
      <c r="F33">
        <v>16</v>
      </c>
      <c r="G33">
        <v>23817</v>
      </c>
      <c r="H33">
        <v>7</v>
      </c>
      <c r="I33">
        <v>8.4700001480000005</v>
      </c>
      <c r="J33">
        <v>1</v>
      </c>
      <c r="K33">
        <v>1</v>
      </c>
    </row>
    <row r="34" spans="1:11" x14ac:dyDescent="0.25">
      <c r="A34">
        <v>710045</v>
      </c>
      <c r="B34">
        <v>916</v>
      </c>
      <c r="C34">
        <v>104133</v>
      </c>
      <c r="D34" t="s">
        <v>15</v>
      </c>
      <c r="E34" t="s">
        <v>12</v>
      </c>
      <c r="F34">
        <v>16</v>
      </c>
      <c r="G34">
        <v>47224</v>
      </c>
      <c r="H34">
        <v>12</v>
      </c>
      <c r="I34">
        <v>15.82000017</v>
      </c>
      <c r="J34">
        <v>1</v>
      </c>
      <c r="K34">
        <v>0</v>
      </c>
    </row>
    <row r="35" spans="1:11" x14ac:dyDescent="0.25">
      <c r="A35">
        <v>710088</v>
      </c>
      <c r="B35">
        <v>916</v>
      </c>
      <c r="C35">
        <v>104140</v>
      </c>
      <c r="D35" t="s">
        <v>15</v>
      </c>
      <c r="E35" t="s">
        <v>12</v>
      </c>
      <c r="F35">
        <v>24</v>
      </c>
      <c r="G35">
        <v>2283</v>
      </c>
      <c r="H35">
        <v>1</v>
      </c>
      <c r="I35">
        <v>1.4700000289999999</v>
      </c>
      <c r="J35">
        <v>1</v>
      </c>
      <c r="K35">
        <v>0</v>
      </c>
    </row>
    <row r="36" spans="1:11" x14ac:dyDescent="0.25">
      <c r="A36">
        <v>710360</v>
      </c>
      <c r="B36">
        <v>916</v>
      </c>
      <c r="C36">
        <v>104185</v>
      </c>
      <c r="D36" t="s">
        <v>15</v>
      </c>
      <c r="E36" t="s">
        <v>12</v>
      </c>
      <c r="F36">
        <v>21</v>
      </c>
      <c r="G36">
        <v>2182</v>
      </c>
      <c r="H36">
        <v>1</v>
      </c>
      <c r="I36">
        <v>1.5299999710000001</v>
      </c>
      <c r="J36">
        <v>1</v>
      </c>
      <c r="K36">
        <v>1</v>
      </c>
    </row>
    <row r="37" spans="1:11" x14ac:dyDescent="0.25">
      <c r="A37">
        <v>710477</v>
      </c>
      <c r="B37">
        <v>916</v>
      </c>
      <c r="C37">
        <v>104205</v>
      </c>
      <c r="D37" t="s">
        <v>11</v>
      </c>
      <c r="E37" t="s">
        <v>16</v>
      </c>
      <c r="F37">
        <v>16</v>
      </c>
      <c r="G37">
        <v>2654</v>
      </c>
      <c r="H37">
        <v>0</v>
      </c>
      <c r="I37">
        <v>0</v>
      </c>
      <c r="J37">
        <v>1</v>
      </c>
      <c r="K37">
        <v>1</v>
      </c>
    </row>
    <row r="38" spans="1:11" x14ac:dyDescent="0.25">
      <c r="A38">
        <v>710480</v>
      </c>
      <c r="B38">
        <v>916</v>
      </c>
      <c r="C38">
        <v>104205</v>
      </c>
      <c r="D38" t="s">
        <v>11</v>
      </c>
      <c r="E38" t="s">
        <v>16</v>
      </c>
      <c r="F38">
        <v>16</v>
      </c>
      <c r="G38">
        <v>57665</v>
      </c>
      <c r="H38">
        <v>14</v>
      </c>
      <c r="I38">
        <v>18.06999969</v>
      </c>
      <c r="J38">
        <v>1</v>
      </c>
      <c r="K38">
        <v>1</v>
      </c>
    </row>
    <row r="39" spans="1:11" x14ac:dyDescent="0.25">
      <c r="A39">
        <v>710571</v>
      </c>
      <c r="B39">
        <v>916</v>
      </c>
      <c r="C39">
        <v>104220</v>
      </c>
      <c r="D39" t="s">
        <v>11</v>
      </c>
      <c r="E39" t="s">
        <v>16</v>
      </c>
      <c r="F39">
        <v>32</v>
      </c>
      <c r="G39">
        <v>3091</v>
      </c>
      <c r="H39">
        <v>1</v>
      </c>
      <c r="I39">
        <v>1.6100000139999999</v>
      </c>
      <c r="J39">
        <v>1</v>
      </c>
      <c r="K39">
        <v>1</v>
      </c>
    </row>
    <row r="40" spans="1:11" x14ac:dyDescent="0.25">
      <c r="A40">
        <v>710617</v>
      </c>
      <c r="B40">
        <v>916</v>
      </c>
      <c r="C40">
        <v>104228</v>
      </c>
      <c r="D40" t="s">
        <v>11</v>
      </c>
      <c r="E40" t="s">
        <v>16</v>
      </c>
      <c r="F40">
        <v>15</v>
      </c>
      <c r="G40">
        <v>5014</v>
      </c>
      <c r="H40">
        <v>1</v>
      </c>
      <c r="I40">
        <v>1.190000057</v>
      </c>
      <c r="J40">
        <v>1</v>
      </c>
      <c r="K40">
        <v>0</v>
      </c>
    </row>
    <row r="41" spans="1:11" x14ac:dyDescent="0.25">
      <c r="A41">
        <v>710623</v>
      </c>
      <c r="B41">
        <v>916</v>
      </c>
      <c r="C41">
        <v>104229</v>
      </c>
      <c r="D41" t="s">
        <v>11</v>
      </c>
      <c r="E41" t="s">
        <v>16</v>
      </c>
      <c r="F41">
        <v>16</v>
      </c>
      <c r="G41">
        <v>38726</v>
      </c>
      <c r="H41">
        <v>7</v>
      </c>
      <c r="I41">
        <v>9.2200002669999996</v>
      </c>
      <c r="J41">
        <v>1</v>
      </c>
      <c r="K41">
        <v>0</v>
      </c>
    </row>
    <row r="42" spans="1:11" x14ac:dyDescent="0.25">
      <c r="A42">
        <v>710628</v>
      </c>
      <c r="B42">
        <v>916</v>
      </c>
      <c r="C42">
        <v>104230</v>
      </c>
      <c r="D42" t="s">
        <v>11</v>
      </c>
      <c r="E42" t="s">
        <v>16</v>
      </c>
      <c r="F42">
        <v>18</v>
      </c>
      <c r="G42">
        <v>1473</v>
      </c>
      <c r="H42">
        <v>0</v>
      </c>
      <c r="I42">
        <v>0</v>
      </c>
      <c r="J42">
        <v>1</v>
      </c>
      <c r="K42">
        <v>0</v>
      </c>
    </row>
    <row r="43" spans="1:11" x14ac:dyDescent="0.25">
      <c r="A43">
        <v>710682</v>
      </c>
      <c r="B43">
        <v>916</v>
      </c>
      <c r="C43">
        <v>104239</v>
      </c>
      <c r="D43" t="s">
        <v>11</v>
      </c>
      <c r="E43" t="s">
        <v>16</v>
      </c>
      <c r="F43">
        <v>27</v>
      </c>
      <c r="G43">
        <v>1186</v>
      </c>
      <c r="H43">
        <v>0</v>
      </c>
      <c r="I43">
        <v>0</v>
      </c>
      <c r="J43">
        <v>1</v>
      </c>
      <c r="K43">
        <v>0</v>
      </c>
    </row>
    <row r="44" spans="1:11" x14ac:dyDescent="0.25">
      <c r="A44">
        <v>710763</v>
      </c>
      <c r="B44">
        <v>916</v>
      </c>
      <c r="C44">
        <v>104252</v>
      </c>
      <c r="D44" t="s">
        <v>11</v>
      </c>
      <c r="E44" t="s">
        <v>16</v>
      </c>
      <c r="F44">
        <v>15</v>
      </c>
      <c r="G44">
        <v>5369</v>
      </c>
      <c r="H44">
        <v>1</v>
      </c>
      <c r="I44">
        <v>1.5099999900000001</v>
      </c>
      <c r="J44">
        <v>1</v>
      </c>
      <c r="K44">
        <v>0</v>
      </c>
    </row>
    <row r="45" spans="1:11" x14ac:dyDescent="0.25">
      <c r="A45">
        <v>710836</v>
      </c>
      <c r="B45">
        <v>916</v>
      </c>
      <c r="C45">
        <v>104265</v>
      </c>
      <c r="D45" t="s">
        <v>11</v>
      </c>
      <c r="E45" t="s">
        <v>16</v>
      </c>
      <c r="F45">
        <v>29</v>
      </c>
      <c r="G45">
        <v>22221</v>
      </c>
      <c r="H45">
        <v>7</v>
      </c>
      <c r="I45">
        <v>9.4300000669999999</v>
      </c>
      <c r="J45">
        <v>1</v>
      </c>
      <c r="K45">
        <v>1</v>
      </c>
    </row>
    <row r="46" spans="1:11" x14ac:dyDescent="0.25">
      <c r="A46">
        <v>710867</v>
      </c>
      <c r="B46">
        <v>916</v>
      </c>
      <c r="C46">
        <v>104270</v>
      </c>
      <c r="D46" t="s">
        <v>11</v>
      </c>
      <c r="E46" t="s">
        <v>16</v>
      </c>
      <c r="F46">
        <v>63</v>
      </c>
      <c r="G46">
        <v>1185</v>
      </c>
      <c r="H46">
        <v>0</v>
      </c>
      <c r="I46">
        <v>0</v>
      </c>
      <c r="J46">
        <v>1</v>
      </c>
      <c r="K46">
        <v>0</v>
      </c>
    </row>
    <row r="47" spans="1:11" x14ac:dyDescent="0.25">
      <c r="A47">
        <v>710880</v>
      </c>
      <c r="B47">
        <v>916</v>
      </c>
      <c r="C47">
        <v>104272</v>
      </c>
      <c r="D47" t="s">
        <v>11</v>
      </c>
      <c r="E47" t="s">
        <v>16</v>
      </c>
      <c r="F47">
        <v>65</v>
      </c>
      <c r="G47">
        <v>13019</v>
      </c>
      <c r="H47">
        <v>5</v>
      </c>
      <c r="I47">
        <v>6.9600000380000004</v>
      </c>
      <c r="J47">
        <v>1</v>
      </c>
      <c r="K47">
        <v>0</v>
      </c>
    </row>
    <row r="48" spans="1:11" x14ac:dyDescent="0.25">
      <c r="A48">
        <v>710961</v>
      </c>
      <c r="B48">
        <v>916</v>
      </c>
      <c r="C48">
        <v>104285</v>
      </c>
      <c r="D48" t="s">
        <v>13</v>
      </c>
      <c r="E48" t="s">
        <v>16</v>
      </c>
      <c r="F48">
        <v>25</v>
      </c>
      <c r="G48">
        <v>2508</v>
      </c>
      <c r="H48">
        <v>1</v>
      </c>
      <c r="I48">
        <v>1.2200000289999999</v>
      </c>
      <c r="J48">
        <v>1</v>
      </c>
      <c r="K48">
        <v>0</v>
      </c>
    </row>
    <row r="49" spans="1:11" x14ac:dyDescent="0.25">
      <c r="A49">
        <v>710968</v>
      </c>
      <c r="B49">
        <v>916</v>
      </c>
      <c r="C49">
        <v>104287</v>
      </c>
      <c r="D49" t="s">
        <v>13</v>
      </c>
      <c r="E49" t="s">
        <v>16</v>
      </c>
      <c r="F49">
        <v>27</v>
      </c>
      <c r="G49">
        <v>5864</v>
      </c>
      <c r="H49">
        <v>2</v>
      </c>
      <c r="I49">
        <v>2.7999999519999998</v>
      </c>
      <c r="J49">
        <v>1</v>
      </c>
      <c r="K49">
        <v>1</v>
      </c>
    </row>
    <row r="50" spans="1:11" x14ac:dyDescent="0.25">
      <c r="A50">
        <v>711217</v>
      </c>
      <c r="B50">
        <v>916</v>
      </c>
      <c r="C50">
        <v>104328</v>
      </c>
      <c r="D50" t="s">
        <v>13</v>
      </c>
      <c r="E50" t="s">
        <v>16</v>
      </c>
      <c r="F50">
        <v>20</v>
      </c>
      <c r="G50">
        <v>2783</v>
      </c>
      <c r="H50">
        <v>1</v>
      </c>
      <c r="I50">
        <v>1.6000000240000001</v>
      </c>
      <c r="J50">
        <v>1</v>
      </c>
      <c r="K50">
        <v>0</v>
      </c>
    </row>
    <row r="51" spans="1:11" x14ac:dyDescent="0.25">
      <c r="A51">
        <v>711623</v>
      </c>
      <c r="B51">
        <v>916</v>
      </c>
      <c r="C51">
        <v>104396</v>
      </c>
      <c r="D51" t="s">
        <v>14</v>
      </c>
      <c r="E51" t="s">
        <v>16</v>
      </c>
      <c r="F51">
        <v>15</v>
      </c>
      <c r="G51">
        <v>3812</v>
      </c>
      <c r="H51">
        <v>1</v>
      </c>
      <c r="I51">
        <v>1.1299999949999999</v>
      </c>
      <c r="J51">
        <v>2</v>
      </c>
      <c r="K51">
        <v>1</v>
      </c>
    </row>
    <row r="52" spans="1:11" x14ac:dyDescent="0.25">
      <c r="A52">
        <v>711764</v>
      </c>
      <c r="B52">
        <v>916</v>
      </c>
      <c r="C52">
        <v>104419</v>
      </c>
      <c r="D52" t="s">
        <v>15</v>
      </c>
      <c r="E52" t="s">
        <v>16</v>
      </c>
      <c r="F52">
        <v>10</v>
      </c>
      <c r="G52">
        <v>11199</v>
      </c>
      <c r="H52">
        <v>4</v>
      </c>
      <c r="I52">
        <v>5.7300000190000002</v>
      </c>
      <c r="J52">
        <v>1</v>
      </c>
      <c r="K52">
        <v>1</v>
      </c>
    </row>
    <row r="53" spans="1:11" x14ac:dyDescent="0.25">
      <c r="A53">
        <v>711785</v>
      </c>
      <c r="B53">
        <v>916</v>
      </c>
      <c r="C53">
        <v>104423</v>
      </c>
      <c r="D53" t="s">
        <v>15</v>
      </c>
      <c r="E53" t="s">
        <v>16</v>
      </c>
      <c r="F53">
        <v>19</v>
      </c>
      <c r="G53">
        <v>292</v>
      </c>
      <c r="H53">
        <v>0</v>
      </c>
      <c r="I53">
        <v>0</v>
      </c>
      <c r="J53">
        <v>1</v>
      </c>
      <c r="K53">
        <v>0</v>
      </c>
    </row>
    <row r="54" spans="1:11" x14ac:dyDescent="0.25">
      <c r="A54">
        <v>711877</v>
      </c>
      <c r="B54">
        <v>916</v>
      </c>
      <c r="C54">
        <v>104438</v>
      </c>
      <c r="D54" t="s">
        <v>15</v>
      </c>
      <c r="E54" t="s">
        <v>16</v>
      </c>
      <c r="F54">
        <v>63</v>
      </c>
      <c r="G54">
        <v>17572</v>
      </c>
      <c r="H54">
        <v>7</v>
      </c>
      <c r="I54">
        <v>9.3799999950000004</v>
      </c>
      <c r="J54">
        <v>1</v>
      </c>
      <c r="K54">
        <v>0</v>
      </c>
    </row>
    <row r="55" spans="1:11" x14ac:dyDescent="0.25">
      <c r="A55">
        <v>712052</v>
      </c>
      <c r="B55">
        <v>916</v>
      </c>
      <c r="C55">
        <v>104467</v>
      </c>
      <c r="D55" t="s">
        <v>15</v>
      </c>
      <c r="E55" t="s">
        <v>16</v>
      </c>
      <c r="F55">
        <v>10</v>
      </c>
      <c r="G55">
        <v>1448</v>
      </c>
      <c r="H55">
        <v>0</v>
      </c>
      <c r="I55">
        <v>0</v>
      </c>
      <c r="J55">
        <v>1</v>
      </c>
      <c r="K55">
        <v>1</v>
      </c>
    </row>
    <row r="56" spans="1:11" x14ac:dyDescent="0.25">
      <c r="A56">
        <v>734209</v>
      </c>
      <c r="B56">
        <v>936</v>
      </c>
      <c r="C56">
        <v>108654</v>
      </c>
      <c r="D56" t="s">
        <v>11</v>
      </c>
      <c r="E56" t="s">
        <v>12</v>
      </c>
      <c r="F56">
        <v>10</v>
      </c>
      <c r="G56">
        <v>1772</v>
      </c>
      <c r="H56">
        <v>0</v>
      </c>
      <c r="I56">
        <v>0</v>
      </c>
      <c r="J56">
        <v>1</v>
      </c>
      <c r="K56">
        <v>1</v>
      </c>
    </row>
    <row r="57" spans="1:11" x14ac:dyDescent="0.25">
      <c r="A57">
        <v>734210</v>
      </c>
      <c r="B57">
        <v>936</v>
      </c>
      <c r="C57">
        <v>108654</v>
      </c>
      <c r="D57" t="s">
        <v>11</v>
      </c>
      <c r="E57" t="s">
        <v>12</v>
      </c>
      <c r="F57">
        <v>10</v>
      </c>
      <c r="G57">
        <v>13329</v>
      </c>
      <c r="H57">
        <v>4</v>
      </c>
      <c r="I57">
        <v>5.6299999950000004</v>
      </c>
      <c r="J57">
        <v>1</v>
      </c>
      <c r="K57">
        <v>1</v>
      </c>
    </row>
    <row r="58" spans="1:11" x14ac:dyDescent="0.25">
      <c r="A58">
        <v>734215</v>
      </c>
      <c r="B58">
        <v>936</v>
      </c>
      <c r="C58">
        <v>108655</v>
      </c>
      <c r="D58" t="s">
        <v>11</v>
      </c>
      <c r="E58" t="s">
        <v>12</v>
      </c>
      <c r="F58">
        <v>15</v>
      </c>
      <c r="G58">
        <v>13659</v>
      </c>
      <c r="H58">
        <v>3</v>
      </c>
      <c r="I58">
        <v>3.8400000329999999</v>
      </c>
      <c r="J58">
        <v>1</v>
      </c>
      <c r="K58">
        <v>0</v>
      </c>
    </row>
    <row r="59" spans="1:11" x14ac:dyDescent="0.25">
      <c r="A59">
        <v>734243</v>
      </c>
      <c r="B59">
        <v>936</v>
      </c>
      <c r="C59">
        <v>108660</v>
      </c>
      <c r="D59" t="s">
        <v>11</v>
      </c>
      <c r="E59" t="s">
        <v>12</v>
      </c>
      <c r="F59">
        <v>21</v>
      </c>
      <c r="G59">
        <v>739</v>
      </c>
      <c r="H59">
        <v>0</v>
      </c>
      <c r="I59">
        <v>0</v>
      </c>
      <c r="J59">
        <v>1</v>
      </c>
      <c r="K59">
        <v>1</v>
      </c>
    </row>
    <row r="60" spans="1:11" x14ac:dyDescent="0.25">
      <c r="A60">
        <v>734266</v>
      </c>
      <c r="B60">
        <v>936</v>
      </c>
      <c r="C60">
        <v>108664</v>
      </c>
      <c r="D60" t="s">
        <v>11</v>
      </c>
      <c r="E60" t="s">
        <v>12</v>
      </c>
      <c r="F60">
        <v>25</v>
      </c>
      <c r="G60">
        <v>605</v>
      </c>
      <c r="H60">
        <v>0</v>
      </c>
      <c r="I60">
        <v>0</v>
      </c>
      <c r="J60">
        <v>1</v>
      </c>
      <c r="K60">
        <v>0</v>
      </c>
    </row>
    <row r="61" spans="1:11" x14ac:dyDescent="0.25">
      <c r="A61">
        <v>734272</v>
      </c>
      <c r="B61">
        <v>936</v>
      </c>
      <c r="C61">
        <v>108665</v>
      </c>
      <c r="D61" t="s">
        <v>11</v>
      </c>
      <c r="E61" t="s">
        <v>12</v>
      </c>
      <c r="F61">
        <v>26</v>
      </c>
      <c r="G61">
        <v>1030</v>
      </c>
      <c r="H61">
        <v>0</v>
      </c>
      <c r="I61">
        <v>0</v>
      </c>
      <c r="J61">
        <v>1</v>
      </c>
      <c r="K61">
        <v>0</v>
      </c>
    </row>
    <row r="62" spans="1:11" x14ac:dyDescent="0.25">
      <c r="A62">
        <v>734290</v>
      </c>
      <c r="B62">
        <v>936</v>
      </c>
      <c r="C62">
        <v>108668</v>
      </c>
      <c r="D62" t="s">
        <v>11</v>
      </c>
      <c r="E62" t="s">
        <v>12</v>
      </c>
      <c r="F62">
        <v>29</v>
      </c>
      <c r="G62">
        <v>5374</v>
      </c>
      <c r="H62">
        <v>1</v>
      </c>
      <c r="I62">
        <v>1.039999962</v>
      </c>
      <c r="J62">
        <v>4</v>
      </c>
      <c r="K62">
        <v>0</v>
      </c>
    </row>
    <row r="63" spans="1:11" x14ac:dyDescent="0.25">
      <c r="A63">
        <v>734313</v>
      </c>
      <c r="B63">
        <v>936</v>
      </c>
      <c r="C63">
        <v>108672</v>
      </c>
      <c r="D63" t="s">
        <v>11</v>
      </c>
      <c r="E63" t="s">
        <v>12</v>
      </c>
      <c r="F63">
        <v>36</v>
      </c>
      <c r="G63">
        <v>790</v>
      </c>
      <c r="H63">
        <v>0</v>
      </c>
      <c r="I63">
        <v>0</v>
      </c>
      <c r="J63">
        <v>1</v>
      </c>
      <c r="K63">
        <v>1</v>
      </c>
    </row>
    <row r="64" spans="1:11" x14ac:dyDescent="0.25">
      <c r="A64">
        <v>734314</v>
      </c>
      <c r="B64">
        <v>936</v>
      </c>
      <c r="C64">
        <v>108672</v>
      </c>
      <c r="D64" t="s">
        <v>11</v>
      </c>
      <c r="E64" t="s">
        <v>12</v>
      </c>
      <c r="F64">
        <v>36</v>
      </c>
      <c r="G64">
        <v>962</v>
      </c>
      <c r="H64">
        <v>0</v>
      </c>
      <c r="I64">
        <v>0</v>
      </c>
      <c r="J64">
        <v>1</v>
      </c>
      <c r="K64">
        <v>0</v>
      </c>
    </row>
    <row r="65" spans="1:11" x14ac:dyDescent="0.25">
      <c r="A65">
        <v>734352</v>
      </c>
      <c r="B65">
        <v>936</v>
      </c>
      <c r="C65">
        <v>108678</v>
      </c>
      <c r="D65" t="s">
        <v>13</v>
      </c>
      <c r="E65" t="s">
        <v>12</v>
      </c>
      <c r="F65">
        <v>10</v>
      </c>
      <c r="G65">
        <v>4423</v>
      </c>
      <c r="H65">
        <v>1</v>
      </c>
      <c r="I65">
        <v>1.460000038</v>
      </c>
      <c r="J65">
        <v>1</v>
      </c>
      <c r="K65">
        <v>1</v>
      </c>
    </row>
    <row r="66" spans="1:11" x14ac:dyDescent="0.25">
      <c r="A66">
        <v>734361</v>
      </c>
      <c r="B66">
        <v>936</v>
      </c>
      <c r="C66">
        <v>108680</v>
      </c>
      <c r="D66" t="s">
        <v>13</v>
      </c>
      <c r="E66" t="s">
        <v>12</v>
      </c>
      <c r="F66">
        <v>16</v>
      </c>
      <c r="G66">
        <v>12382</v>
      </c>
      <c r="H66">
        <v>2</v>
      </c>
      <c r="I66">
        <v>2.8399999139999998</v>
      </c>
      <c r="J66">
        <v>1</v>
      </c>
      <c r="K66">
        <v>1</v>
      </c>
    </row>
    <row r="67" spans="1:11" x14ac:dyDescent="0.25">
      <c r="A67">
        <v>734381</v>
      </c>
      <c r="B67">
        <v>936</v>
      </c>
      <c r="C67">
        <v>108683</v>
      </c>
      <c r="D67" t="s">
        <v>13</v>
      </c>
      <c r="E67" t="s">
        <v>12</v>
      </c>
      <c r="F67">
        <v>20</v>
      </c>
      <c r="G67">
        <v>2938</v>
      </c>
      <c r="H67">
        <v>1</v>
      </c>
      <c r="I67">
        <v>1.3500000240000001</v>
      </c>
      <c r="J67">
        <v>1</v>
      </c>
      <c r="K67">
        <v>1</v>
      </c>
    </row>
    <row r="68" spans="1:11" x14ac:dyDescent="0.25">
      <c r="A68">
        <v>734399</v>
      </c>
      <c r="B68">
        <v>936</v>
      </c>
      <c r="C68">
        <v>108686</v>
      </c>
      <c r="D68" t="s">
        <v>13</v>
      </c>
      <c r="E68" t="s">
        <v>12</v>
      </c>
      <c r="F68">
        <v>23</v>
      </c>
      <c r="G68">
        <v>239</v>
      </c>
      <c r="H68">
        <v>0</v>
      </c>
      <c r="I68">
        <v>0</v>
      </c>
      <c r="J68">
        <v>1</v>
      </c>
      <c r="K68">
        <v>0</v>
      </c>
    </row>
    <row r="69" spans="1:11" x14ac:dyDescent="0.25">
      <c r="A69">
        <v>734418</v>
      </c>
      <c r="B69">
        <v>936</v>
      </c>
      <c r="C69">
        <v>108689</v>
      </c>
      <c r="D69" t="s">
        <v>13</v>
      </c>
      <c r="E69" t="s">
        <v>12</v>
      </c>
      <c r="F69">
        <v>26</v>
      </c>
      <c r="G69">
        <v>591</v>
      </c>
      <c r="H69">
        <v>0</v>
      </c>
      <c r="I69">
        <v>0</v>
      </c>
      <c r="J69">
        <v>1</v>
      </c>
      <c r="K69">
        <v>0</v>
      </c>
    </row>
    <row r="70" spans="1:11" x14ac:dyDescent="0.25">
      <c r="A70">
        <v>734421</v>
      </c>
      <c r="B70">
        <v>936</v>
      </c>
      <c r="C70">
        <v>108690</v>
      </c>
      <c r="D70" t="s">
        <v>13</v>
      </c>
      <c r="E70" t="s">
        <v>12</v>
      </c>
      <c r="F70">
        <v>27</v>
      </c>
      <c r="G70">
        <v>10332</v>
      </c>
      <c r="H70">
        <v>4</v>
      </c>
      <c r="I70">
        <v>5.75</v>
      </c>
      <c r="J70">
        <v>1</v>
      </c>
      <c r="K70">
        <v>0</v>
      </c>
    </row>
    <row r="71" spans="1:11" x14ac:dyDescent="0.25">
      <c r="A71">
        <v>734427</v>
      </c>
      <c r="B71">
        <v>936</v>
      </c>
      <c r="C71">
        <v>108691</v>
      </c>
      <c r="D71" t="s">
        <v>13</v>
      </c>
      <c r="E71" t="s">
        <v>12</v>
      </c>
      <c r="F71">
        <v>28</v>
      </c>
      <c r="G71">
        <v>8259</v>
      </c>
      <c r="H71">
        <v>3</v>
      </c>
      <c r="I71">
        <v>3.9800000190000002</v>
      </c>
      <c r="J71">
        <v>1</v>
      </c>
      <c r="K71">
        <v>0</v>
      </c>
    </row>
    <row r="72" spans="1:11" x14ac:dyDescent="0.25">
      <c r="A72">
        <v>734433</v>
      </c>
      <c r="B72">
        <v>936</v>
      </c>
      <c r="C72">
        <v>108692</v>
      </c>
      <c r="D72" t="s">
        <v>13</v>
      </c>
      <c r="E72" t="s">
        <v>12</v>
      </c>
      <c r="F72">
        <v>29</v>
      </c>
      <c r="G72">
        <v>12158</v>
      </c>
      <c r="H72">
        <v>3</v>
      </c>
      <c r="I72">
        <v>4.4499999280000004</v>
      </c>
      <c r="J72">
        <v>1</v>
      </c>
      <c r="K72">
        <v>0</v>
      </c>
    </row>
    <row r="73" spans="1:11" x14ac:dyDescent="0.25">
      <c r="A73">
        <v>734582</v>
      </c>
      <c r="B73">
        <v>936</v>
      </c>
      <c r="C73">
        <v>108716</v>
      </c>
      <c r="D73" t="s">
        <v>14</v>
      </c>
      <c r="E73" t="s">
        <v>12</v>
      </c>
      <c r="F73">
        <v>29</v>
      </c>
      <c r="G73">
        <v>7709</v>
      </c>
      <c r="H73">
        <v>2</v>
      </c>
      <c r="I73">
        <v>1.3200000519999999</v>
      </c>
      <c r="J73">
        <v>2</v>
      </c>
      <c r="K73">
        <v>0</v>
      </c>
    </row>
    <row r="74" spans="1:11" x14ac:dyDescent="0.25">
      <c r="A74">
        <v>734605</v>
      </c>
      <c r="B74">
        <v>936</v>
      </c>
      <c r="C74">
        <v>108720</v>
      </c>
      <c r="D74" t="s">
        <v>14</v>
      </c>
      <c r="E74" t="s">
        <v>12</v>
      </c>
      <c r="F74">
        <v>36</v>
      </c>
      <c r="G74">
        <v>834</v>
      </c>
      <c r="H74">
        <v>0</v>
      </c>
      <c r="I74">
        <v>0</v>
      </c>
      <c r="J74">
        <v>1</v>
      </c>
      <c r="K74">
        <v>0</v>
      </c>
    </row>
    <row r="75" spans="1:11" x14ac:dyDescent="0.25">
      <c r="A75">
        <v>734660</v>
      </c>
      <c r="B75">
        <v>936</v>
      </c>
      <c r="C75">
        <v>108729</v>
      </c>
      <c r="D75" t="s">
        <v>15</v>
      </c>
      <c r="E75" t="s">
        <v>12</v>
      </c>
      <c r="F75">
        <v>18</v>
      </c>
      <c r="G75">
        <v>1299</v>
      </c>
      <c r="H75">
        <v>0</v>
      </c>
      <c r="I75">
        <v>0</v>
      </c>
      <c r="J75">
        <v>2</v>
      </c>
      <c r="K75">
        <v>0</v>
      </c>
    </row>
    <row r="76" spans="1:11" x14ac:dyDescent="0.25">
      <c r="A76">
        <v>734666</v>
      </c>
      <c r="B76">
        <v>936</v>
      </c>
      <c r="C76">
        <v>108730</v>
      </c>
      <c r="D76" t="s">
        <v>15</v>
      </c>
      <c r="E76" t="s">
        <v>12</v>
      </c>
      <c r="F76">
        <v>19</v>
      </c>
      <c r="G76">
        <v>371</v>
      </c>
      <c r="H76">
        <v>0</v>
      </c>
      <c r="I76">
        <v>0</v>
      </c>
      <c r="J76">
        <v>1</v>
      </c>
      <c r="K76">
        <v>0</v>
      </c>
    </row>
    <row r="77" spans="1:11" x14ac:dyDescent="0.25">
      <c r="A77">
        <v>734726</v>
      </c>
      <c r="B77">
        <v>936</v>
      </c>
      <c r="C77">
        <v>108740</v>
      </c>
      <c r="D77" t="s">
        <v>15</v>
      </c>
      <c r="E77" t="s">
        <v>12</v>
      </c>
      <c r="F77">
        <v>29</v>
      </c>
      <c r="G77">
        <v>10466</v>
      </c>
      <c r="H77">
        <v>3</v>
      </c>
      <c r="I77">
        <v>4.0900000329999999</v>
      </c>
      <c r="J77">
        <v>1</v>
      </c>
      <c r="K77">
        <v>0</v>
      </c>
    </row>
    <row r="78" spans="1:11" x14ac:dyDescent="0.25">
      <c r="A78">
        <v>734737</v>
      </c>
      <c r="B78">
        <v>936</v>
      </c>
      <c r="C78">
        <v>108742</v>
      </c>
      <c r="D78" t="s">
        <v>15</v>
      </c>
      <c r="E78" t="s">
        <v>12</v>
      </c>
      <c r="F78">
        <v>31</v>
      </c>
      <c r="G78">
        <v>839</v>
      </c>
      <c r="H78">
        <v>0</v>
      </c>
      <c r="I78">
        <v>0</v>
      </c>
      <c r="J78">
        <v>1</v>
      </c>
      <c r="K78">
        <v>0</v>
      </c>
    </row>
    <row r="79" spans="1:11" x14ac:dyDescent="0.25">
      <c r="A79">
        <v>734785</v>
      </c>
      <c r="B79">
        <v>936</v>
      </c>
      <c r="C79">
        <v>108750</v>
      </c>
      <c r="D79" t="s">
        <v>11</v>
      </c>
      <c r="E79" t="s">
        <v>16</v>
      </c>
      <c r="F79">
        <v>10</v>
      </c>
      <c r="G79">
        <v>5576</v>
      </c>
      <c r="H79">
        <v>1</v>
      </c>
      <c r="I79">
        <v>1.5299999710000001</v>
      </c>
      <c r="J79">
        <v>1</v>
      </c>
      <c r="K79">
        <v>1</v>
      </c>
    </row>
    <row r="80" spans="1:11" x14ac:dyDescent="0.25">
      <c r="A80">
        <v>734794</v>
      </c>
      <c r="B80">
        <v>936</v>
      </c>
      <c r="C80">
        <v>108752</v>
      </c>
      <c r="D80" t="s">
        <v>11</v>
      </c>
      <c r="E80" t="s">
        <v>16</v>
      </c>
      <c r="F80">
        <v>16</v>
      </c>
      <c r="G80">
        <v>4010</v>
      </c>
      <c r="H80">
        <v>0</v>
      </c>
      <c r="I80">
        <v>0</v>
      </c>
      <c r="J80">
        <v>1</v>
      </c>
      <c r="K80">
        <v>0</v>
      </c>
    </row>
    <row r="81" spans="1:11" x14ac:dyDescent="0.25">
      <c r="A81">
        <v>734796</v>
      </c>
      <c r="B81">
        <v>936</v>
      </c>
      <c r="C81">
        <v>108752</v>
      </c>
      <c r="D81" t="s">
        <v>11</v>
      </c>
      <c r="E81" t="s">
        <v>16</v>
      </c>
      <c r="F81">
        <v>16</v>
      </c>
      <c r="G81">
        <v>39337</v>
      </c>
      <c r="H81">
        <v>7</v>
      </c>
      <c r="I81">
        <v>10.03000009</v>
      </c>
      <c r="J81">
        <v>1</v>
      </c>
      <c r="K81">
        <v>1</v>
      </c>
    </row>
    <row r="82" spans="1:11" x14ac:dyDescent="0.25">
      <c r="A82">
        <v>734800</v>
      </c>
      <c r="B82">
        <v>936</v>
      </c>
      <c r="C82">
        <v>108753</v>
      </c>
      <c r="D82" t="s">
        <v>11</v>
      </c>
      <c r="E82" t="s">
        <v>16</v>
      </c>
      <c r="F82">
        <v>18</v>
      </c>
      <c r="G82">
        <v>1635</v>
      </c>
      <c r="H82">
        <v>0</v>
      </c>
      <c r="I82">
        <v>0</v>
      </c>
      <c r="J82">
        <v>1</v>
      </c>
      <c r="K82">
        <v>0</v>
      </c>
    </row>
    <row r="83" spans="1:11" x14ac:dyDescent="0.25">
      <c r="A83">
        <v>734803</v>
      </c>
      <c r="B83">
        <v>936</v>
      </c>
      <c r="C83">
        <v>108753</v>
      </c>
      <c r="D83" t="s">
        <v>11</v>
      </c>
      <c r="E83" t="s">
        <v>16</v>
      </c>
      <c r="F83">
        <v>18</v>
      </c>
      <c r="G83">
        <v>1631</v>
      </c>
      <c r="H83">
        <v>0</v>
      </c>
      <c r="I83">
        <v>0</v>
      </c>
      <c r="J83">
        <v>1</v>
      </c>
      <c r="K83">
        <v>0</v>
      </c>
    </row>
    <row r="84" spans="1:11" x14ac:dyDescent="0.25">
      <c r="A84">
        <v>734852</v>
      </c>
      <c r="B84">
        <v>936</v>
      </c>
      <c r="C84">
        <v>108761</v>
      </c>
      <c r="D84" t="s">
        <v>11</v>
      </c>
      <c r="E84" t="s">
        <v>16</v>
      </c>
      <c r="F84">
        <v>26</v>
      </c>
      <c r="G84">
        <v>13479</v>
      </c>
      <c r="H84">
        <v>3</v>
      </c>
      <c r="I84">
        <v>4.25</v>
      </c>
      <c r="J84">
        <v>1</v>
      </c>
      <c r="K84">
        <v>0</v>
      </c>
    </row>
    <row r="85" spans="1:11" x14ac:dyDescent="0.25">
      <c r="A85">
        <v>734854</v>
      </c>
      <c r="B85">
        <v>936</v>
      </c>
      <c r="C85">
        <v>108762</v>
      </c>
      <c r="D85" t="s">
        <v>11</v>
      </c>
      <c r="E85" t="s">
        <v>16</v>
      </c>
      <c r="F85">
        <v>27</v>
      </c>
      <c r="G85">
        <v>57022</v>
      </c>
      <c r="H85">
        <v>13</v>
      </c>
      <c r="I85">
        <v>20.290000320000001</v>
      </c>
      <c r="J85">
        <v>3</v>
      </c>
      <c r="K85">
        <v>3</v>
      </c>
    </row>
    <row r="86" spans="1:11" x14ac:dyDescent="0.25">
      <c r="A86">
        <v>734856</v>
      </c>
      <c r="B86">
        <v>936</v>
      </c>
      <c r="C86">
        <v>108762</v>
      </c>
      <c r="D86" t="s">
        <v>11</v>
      </c>
      <c r="E86" t="s">
        <v>16</v>
      </c>
      <c r="F86">
        <v>27</v>
      </c>
      <c r="G86">
        <v>5453</v>
      </c>
      <c r="H86">
        <v>1</v>
      </c>
      <c r="I86">
        <v>1.3899999860000001</v>
      </c>
      <c r="J86">
        <v>1</v>
      </c>
      <c r="K86">
        <v>1</v>
      </c>
    </row>
    <row r="87" spans="1:11" x14ac:dyDescent="0.25">
      <c r="A87">
        <v>734866</v>
      </c>
      <c r="B87">
        <v>936</v>
      </c>
      <c r="C87">
        <v>108764</v>
      </c>
      <c r="D87" t="s">
        <v>11</v>
      </c>
      <c r="E87" t="s">
        <v>16</v>
      </c>
      <c r="F87">
        <v>29</v>
      </c>
      <c r="G87">
        <v>11803</v>
      </c>
      <c r="H87">
        <v>3</v>
      </c>
      <c r="I87">
        <v>4.4400000569999998</v>
      </c>
      <c r="J87">
        <v>1</v>
      </c>
      <c r="K87">
        <v>0</v>
      </c>
    </row>
    <row r="88" spans="1:11" x14ac:dyDescent="0.25">
      <c r="A88">
        <v>734881</v>
      </c>
      <c r="B88">
        <v>936</v>
      </c>
      <c r="C88">
        <v>108766</v>
      </c>
      <c r="D88" t="s">
        <v>11</v>
      </c>
      <c r="E88" t="s">
        <v>16</v>
      </c>
      <c r="F88">
        <v>31</v>
      </c>
      <c r="G88">
        <v>4259</v>
      </c>
      <c r="H88">
        <v>1</v>
      </c>
      <c r="I88">
        <v>1.5700000519999999</v>
      </c>
      <c r="J88">
        <v>1</v>
      </c>
      <c r="K88">
        <v>1</v>
      </c>
    </row>
    <row r="89" spans="1:11" x14ac:dyDescent="0.25">
      <c r="A89">
        <v>734901</v>
      </c>
      <c r="B89">
        <v>936</v>
      </c>
      <c r="C89">
        <v>108770</v>
      </c>
      <c r="D89" t="s">
        <v>11</v>
      </c>
      <c r="E89" t="s">
        <v>16</v>
      </c>
      <c r="F89">
        <v>64</v>
      </c>
      <c r="G89">
        <v>1554</v>
      </c>
      <c r="H89">
        <v>0</v>
      </c>
      <c r="I89">
        <v>0</v>
      </c>
      <c r="J89">
        <v>1</v>
      </c>
      <c r="K89">
        <v>0</v>
      </c>
    </row>
    <row r="90" spans="1:11" x14ac:dyDescent="0.25">
      <c r="A90">
        <v>734903</v>
      </c>
      <c r="B90">
        <v>936</v>
      </c>
      <c r="C90">
        <v>108770</v>
      </c>
      <c r="D90" t="s">
        <v>11</v>
      </c>
      <c r="E90" t="s">
        <v>16</v>
      </c>
      <c r="F90">
        <v>64</v>
      </c>
      <c r="G90">
        <v>5323</v>
      </c>
      <c r="H90">
        <v>1</v>
      </c>
      <c r="I90">
        <v>1.289999962</v>
      </c>
      <c r="J90">
        <v>1</v>
      </c>
      <c r="K90">
        <v>1</v>
      </c>
    </row>
    <row r="91" spans="1:11" x14ac:dyDescent="0.25">
      <c r="A91">
        <v>734925</v>
      </c>
      <c r="B91">
        <v>936</v>
      </c>
      <c r="C91">
        <v>108774</v>
      </c>
      <c r="D91" t="s">
        <v>13</v>
      </c>
      <c r="E91" t="s">
        <v>16</v>
      </c>
      <c r="F91">
        <v>10</v>
      </c>
      <c r="G91">
        <v>5024</v>
      </c>
      <c r="H91">
        <v>1</v>
      </c>
      <c r="I91">
        <v>1.4099999670000001</v>
      </c>
      <c r="J91">
        <v>1</v>
      </c>
      <c r="K91">
        <v>1</v>
      </c>
    </row>
    <row r="92" spans="1:11" x14ac:dyDescent="0.25">
      <c r="A92">
        <v>734939</v>
      </c>
      <c r="B92">
        <v>936</v>
      </c>
      <c r="C92">
        <v>108776</v>
      </c>
      <c r="D92" t="s">
        <v>13</v>
      </c>
      <c r="E92" t="s">
        <v>16</v>
      </c>
      <c r="F92">
        <v>16</v>
      </c>
      <c r="G92">
        <v>104648</v>
      </c>
      <c r="H92">
        <v>24</v>
      </c>
      <c r="I92">
        <v>33.330000040000002</v>
      </c>
      <c r="J92">
        <v>4</v>
      </c>
      <c r="K92">
        <v>2</v>
      </c>
    </row>
    <row r="93" spans="1:11" x14ac:dyDescent="0.25">
      <c r="A93">
        <v>734968</v>
      </c>
      <c r="B93">
        <v>936</v>
      </c>
      <c r="C93">
        <v>108781</v>
      </c>
      <c r="D93" t="s">
        <v>13</v>
      </c>
      <c r="E93" t="s">
        <v>16</v>
      </c>
      <c r="F93">
        <v>22</v>
      </c>
      <c r="G93">
        <v>8504</v>
      </c>
      <c r="H93">
        <v>3</v>
      </c>
      <c r="I93">
        <v>3.340000093</v>
      </c>
      <c r="J93">
        <v>1</v>
      </c>
      <c r="K93">
        <v>1</v>
      </c>
    </row>
    <row r="94" spans="1:11" x14ac:dyDescent="0.25">
      <c r="A94">
        <v>734999</v>
      </c>
      <c r="B94">
        <v>936</v>
      </c>
      <c r="C94">
        <v>108786</v>
      </c>
      <c r="D94" t="s">
        <v>13</v>
      </c>
      <c r="E94" t="s">
        <v>16</v>
      </c>
      <c r="F94">
        <v>27</v>
      </c>
      <c r="G94">
        <v>20277</v>
      </c>
      <c r="H94">
        <v>6</v>
      </c>
      <c r="I94">
        <v>8.0500000719999996</v>
      </c>
      <c r="J94">
        <v>1</v>
      </c>
      <c r="K94">
        <v>0</v>
      </c>
    </row>
    <row r="95" spans="1:11" x14ac:dyDescent="0.25">
      <c r="A95">
        <v>735014</v>
      </c>
      <c r="B95">
        <v>936</v>
      </c>
      <c r="C95">
        <v>108788</v>
      </c>
      <c r="D95" t="s">
        <v>13</v>
      </c>
      <c r="E95" t="s">
        <v>16</v>
      </c>
      <c r="F95">
        <v>29</v>
      </c>
      <c r="G95">
        <v>12403</v>
      </c>
      <c r="H95">
        <v>4</v>
      </c>
      <c r="I95">
        <v>5.2100000380000004</v>
      </c>
      <c r="J95">
        <v>1</v>
      </c>
      <c r="K95">
        <v>1</v>
      </c>
    </row>
    <row r="96" spans="1:11" x14ac:dyDescent="0.25">
      <c r="A96">
        <v>735032</v>
      </c>
      <c r="B96">
        <v>936</v>
      </c>
      <c r="C96">
        <v>108791</v>
      </c>
      <c r="D96" t="s">
        <v>13</v>
      </c>
      <c r="E96" t="s">
        <v>16</v>
      </c>
      <c r="F96">
        <v>32</v>
      </c>
      <c r="G96">
        <v>498</v>
      </c>
      <c r="H96">
        <v>0</v>
      </c>
      <c r="I96">
        <v>0</v>
      </c>
      <c r="J96">
        <v>1</v>
      </c>
      <c r="K96">
        <v>1</v>
      </c>
    </row>
    <row r="97" spans="1:11" x14ac:dyDescent="0.25">
      <c r="A97">
        <v>735033</v>
      </c>
      <c r="B97">
        <v>936</v>
      </c>
      <c r="C97">
        <v>108792</v>
      </c>
      <c r="D97" t="s">
        <v>13</v>
      </c>
      <c r="E97" t="s">
        <v>16</v>
      </c>
      <c r="F97">
        <v>36</v>
      </c>
      <c r="G97">
        <v>652</v>
      </c>
      <c r="H97">
        <v>0</v>
      </c>
      <c r="I97">
        <v>0</v>
      </c>
      <c r="J97">
        <v>0</v>
      </c>
      <c r="K97">
        <v>0</v>
      </c>
    </row>
    <row r="98" spans="1:11" x14ac:dyDescent="0.25">
      <c r="A98">
        <v>735043</v>
      </c>
      <c r="B98">
        <v>936</v>
      </c>
      <c r="C98">
        <v>108793</v>
      </c>
      <c r="D98" t="s">
        <v>13</v>
      </c>
      <c r="E98" t="s">
        <v>16</v>
      </c>
      <c r="F98">
        <v>63</v>
      </c>
      <c r="G98">
        <v>1357</v>
      </c>
      <c r="H98">
        <v>0</v>
      </c>
      <c r="I98">
        <v>0</v>
      </c>
      <c r="J98">
        <v>1</v>
      </c>
      <c r="K98">
        <v>1</v>
      </c>
    </row>
    <row r="99" spans="1:11" x14ac:dyDescent="0.25">
      <c r="A99">
        <v>735048</v>
      </c>
      <c r="B99">
        <v>936</v>
      </c>
      <c r="C99">
        <v>108794</v>
      </c>
      <c r="D99" t="s">
        <v>13</v>
      </c>
      <c r="E99" t="s">
        <v>16</v>
      </c>
      <c r="F99">
        <v>64</v>
      </c>
      <c r="G99">
        <v>1393</v>
      </c>
      <c r="H99">
        <v>0</v>
      </c>
      <c r="I99">
        <v>0</v>
      </c>
      <c r="J99">
        <v>1</v>
      </c>
      <c r="K99">
        <v>0</v>
      </c>
    </row>
    <row r="100" spans="1:11" x14ac:dyDescent="0.25">
      <c r="A100">
        <v>735065</v>
      </c>
      <c r="B100">
        <v>936</v>
      </c>
      <c r="C100">
        <v>108797</v>
      </c>
      <c r="D100" t="s">
        <v>14</v>
      </c>
      <c r="E100" t="s">
        <v>16</v>
      </c>
      <c r="F100">
        <v>7</v>
      </c>
      <c r="G100">
        <v>648</v>
      </c>
      <c r="H100">
        <v>0</v>
      </c>
      <c r="I100">
        <v>0</v>
      </c>
      <c r="J100">
        <v>1</v>
      </c>
      <c r="K100">
        <v>0</v>
      </c>
    </row>
    <row r="101" spans="1:11" x14ac:dyDescent="0.25">
      <c r="A101">
        <v>735109</v>
      </c>
      <c r="B101">
        <v>936</v>
      </c>
      <c r="C101">
        <v>108804</v>
      </c>
      <c r="D101" t="s">
        <v>14</v>
      </c>
      <c r="E101" t="s">
        <v>16</v>
      </c>
      <c r="F101">
        <v>21</v>
      </c>
      <c r="G101">
        <v>708</v>
      </c>
      <c r="H101">
        <v>0</v>
      </c>
      <c r="I101">
        <v>0</v>
      </c>
      <c r="J101">
        <v>1</v>
      </c>
      <c r="K101">
        <v>1</v>
      </c>
    </row>
    <row r="102" spans="1:11" x14ac:dyDescent="0.25">
      <c r="A102">
        <v>735140</v>
      </c>
      <c r="B102">
        <v>936</v>
      </c>
      <c r="C102">
        <v>108809</v>
      </c>
      <c r="D102" t="s">
        <v>14</v>
      </c>
      <c r="E102" t="s">
        <v>16</v>
      </c>
      <c r="F102">
        <v>26</v>
      </c>
      <c r="G102">
        <v>6907</v>
      </c>
      <c r="H102">
        <v>2</v>
      </c>
      <c r="I102">
        <v>2.3499999640000002</v>
      </c>
      <c r="J102">
        <v>1</v>
      </c>
      <c r="K102">
        <v>0</v>
      </c>
    </row>
    <row r="103" spans="1:11" x14ac:dyDescent="0.25">
      <c r="A103">
        <v>735143</v>
      </c>
      <c r="B103">
        <v>936</v>
      </c>
      <c r="C103">
        <v>108810</v>
      </c>
      <c r="D103" t="s">
        <v>14</v>
      </c>
      <c r="E103" t="s">
        <v>16</v>
      </c>
      <c r="F103">
        <v>27</v>
      </c>
      <c r="G103">
        <v>39035</v>
      </c>
      <c r="H103">
        <v>13</v>
      </c>
      <c r="I103">
        <v>19.329999569999998</v>
      </c>
      <c r="J103">
        <v>1</v>
      </c>
      <c r="K103">
        <v>0</v>
      </c>
    </row>
    <row r="104" spans="1:11" x14ac:dyDescent="0.25">
      <c r="A104">
        <v>735151</v>
      </c>
      <c r="B104">
        <v>936</v>
      </c>
      <c r="C104">
        <v>108811</v>
      </c>
      <c r="D104" t="s">
        <v>14</v>
      </c>
      <c r="E104" t="s">
        <v>16</v>
      </c>
      <c r="F104">
        <v>28</v>
      </c>
      <c r="G104">
        <v>926</v>
      </c>
      <c r="H104">
        <v>0</v>
      </c>
      <c r="I104">
        <v>0</v>
      </c>
      <c r="J104">
        <v>1</v>
      </c>
      <c r="K104">
        <v>0</v>
      </c>
    </row>
    <row r="105" spans="1:11" x14ac:dyDescent="0.25">
      <c r="A105">
        <v>735184</v>
      </c>
      <c r="B105">
        <v>936</v>
      </c>
      <c r="C105">
        <v>108817</v>
      </c>
      <c r="D105" t="s">
        <v>14</v>
      </c>
      <c r="E105" t="s">
        <v>16</v>
      </c>
      <c r="F105">
        <v>63</v>
      </c>
      <c r="G105">
        <v>4412</v>
      </c>
      <c r="H105">
        <v>1</v>
      </c>
      <c r="I105">
        <v>1.4500000479999999</v>
      </c>
      <c r="J105">
        <v>1</v>
      </c>
      <c r="K105">
        <v>0</v>
      </c>
    </row>
    <row r="106" spans="1:11" x14ac:dyDescent="0.25">
      <c r="A106">
        <v>735189</v>
      </c>
      <c r="B106">
        <v>936</v>
      </c>
      <c r="C106">
        <v>108818</v>
      </c>
      <c r="D106" t="s">
        <v>14</v>
      </c>
      <c r="E106" t="s">
        <v>16</v>
      </c>
      <c r="F106">
        <v>64</v>
      </c>
      <c r="G106">
        <v>9965</v>
      </c>
      <c r="H106">
        <v>3</v>
      </c>
      <c r="I106">
        <v>4.0500000719999996</v>
      </c>
      <c r="J106">
        <v>1</v>
      </c>
      <c r="K106">
        <v>0</v>
      </c>
    </row>
    <row r="107" spans="1:11" x14ac:dyDescent="0.25">
      <c r="A107">
        <v>735213</v>
      </c>
      <c r="B107">
        <v>936</v>
      </c>
      <c r="C107">
        <v>108822</v>
      </c>
      <c r="D107" t="s">
        <v>15</v>
      </c>
      <c r="E107" t="s">
        <v>16</v>
      </c>
      <c r="F107">
        <v>10</v>
      </c>
      <c r="G107">
        <v>73634</v>
      </c>
      <c r="H107">
        <v>23</v>
      </c>
      <c r="I107">
        <v>32.97999978</v>
      </c>
      <c r="J107">
        <v>1</v>
      </c>
      <c r="K107">
        <v>0</v>
      </c>
    </row>
    <row r="108" spans="1:11" x14ac:dyDescent="0.25">
      <c r="A108">
        <v>735220</v>
      </c>
      <c r="B108">
        <v>936</v>
      </c>
      <c r="C108">
        <v>108823</v>
      </c>
      <c r="D108" t="s">
        <v>15</v>
      </c>
      <c r="E108" t="s">
        <v>16</v>
      </c>
      <c r="F108">
        <v>15</v>
      </c>
      <c r="G108">
        <v>69708</v>
      </c>
      <c r="H108">
        <v>20</v>
      </c>
      <c r="I108">
        <v>31.28999949</v>
      </c>
      <c r="J108">
        <v>1</v>
      </c>
      <c r="K108">
        <v>0</v>
      </c>
    </row>
    <row r="109" spans="1:11" x14ac:dyDescent="0.25">
      <c r="A109">
        <v>735242</v>
      </c>
      <c r="B109">
        <v>936</v>
      </c>
      <c r="C109">
        <v>108826</v>
      </c>
      <c r="D109" t="s">
        <v>15</v>
      </c>
      <c r="E109" t="s">
        <v>16</v>
      </c>
      <c r="F109">
        <v>19</v>
      </c>
      <c r="G109">
        <v>530</v>
      </c>
      <c r="H109">
        <v>0</v>
      </c>
      <c r="I109">
        <v>0</v>
      </c>
      <c r="J109">
        <v>1</v>
      </c>
      <c r="K109">
        <v>0</v>
      </c>
    </row>
    <row r="110" spans="1:11" x14ac:dyDescent="0.25">
      <c r="A110">
        <v>735247</v>
      </c>
      <c r="B110">
        <v>936</v>
      </c>
      <c r="C110">
        <v>108827</v>
      </c>
      <c r="D110" t="s">
        <v>15</v>
      </c>
      <c r="E110" t="s">
        <v>16</v>
      </c>
      <c r="F110">
        <v>20</v>
      </c>
      <c r="G110">
        <v>14257</v>
      </c>
      <c r="H110">
        <v>6</v>
      </c>
      <c r="I110">
        <v>8.7899999619999996</v>
      </c>
      <c r="J110">
        <v>1</v>
      </c>
      <c r="K110">
        <v>0</v>
      </c>
    </row>
    <row r="111" spans="1:11" x14ac:dyDescent="0.25">
      <c r="A111">
        <v>735289</v>
      </c>
      <c r="B111">
        <v>936</v>
      </c>
      <c r="C111">
        <v>108834</v>
      </c>
      <c r="D111" t="s">
        <v>15</v>
      </c>
      <c r="E111" t="s">
        <v>16</v>
      </c>
      <c r="F111">
        <v>27</v>
      </c>
      <c r="G111">
        <v>20362</v>
      </c>
      <c r="H111">
        <v>5</v>
      </c>
      <c r="I111">
        <v>9.1199998860000004</v>
      </c>
      <c r="J111">
        <v>1</v>
      </c>
      <c r="K111">
        <v>1</v>
      </c>
    </row>
    <row r="112" spans="1:11" x14ac:dyDescent="0.25">
      <c r="A112">
        <v>735290</v>
      </c>
      <c r="B112">
        <v>936</v>
      </c>
      <c r="C112">
        <v>108834</v>
      </c>
      <c r="D112" t="s">
        <v>15</v>
      </c>
      <c r="E112" t="s">
        <v>16</v>
      </c>
      <c r="F112">
        <v>27</v>
      </c>
      <c r="G112">
        <v>12215</v>
      </c>
      <c r="H112">
        <v>4</v>
      </c>
      <c r="I112">
        <v>6.26000011</v>
      </c>
      <c r="J112">
        <v>1</v>
      </c>
      <c r="K112">
        <v>0</v>
      </c>
    </row>
    <row r="113" spans="1:11" x14ac:dyDescent="0.25">
      <c r="A113">
        <v>735298</v>
      </c>
      <c r="B113">
        <v>936</v>
      </c>
      <c r="C113">
        <v>108836</v>
      </c>
      <c r="D113" t="s">
        <v>15</v>
      </c>
      <c r="E113" t="s">
        <v>16</v>
      </c>
      <c r="F113">
        <v>29</v>
      </c>
      <c r="G113">
        <v>85412</v>
      </c>
      <c r="H113">
        <v>28</v>
      </c>
      <c r="I113">
        <v>38.63999999</v>
      </c>
      <c r="J113">
        <v>2</v>
      </c>
      <c r="K113">
        <v>1</v>
      </c>
    </row>
    <row r="114" spans="1:11" x14ac:dyDescent="0.25">
      <c r="A114">
        <v>736869</v>
      </c>
      <c r="B114">
        <v>936</v>
      </c>
      <c r="C114">
        <v>109448</v>
      </c>
      <c r="D114" t="s">
        <v>11</v>
      </c>
      <c r="E114" t="s">
        <v>12</v>
      </c>
      <c r="F114">
        <v>2</v>
      </c>
      <c r="G114">
        <v>2338</v>
      </c>
      <c r="H114">
        <v>1</v>
      </c>
      <c r="I114">
        <v>0.23999999499999999</v>
      </c>
      <c r="J114">
        <v>1</v>
      </c>
      <c r="K114">
        <v>0</v>
      </c>
    </row>
    <row r="115" spans="1:11" x14ac:dyDescent="0.25">
      <c r="A115">
        <v>736890</v>
      </c>
      <c r="B115">
        <v>936</v>
      </c>
      <c r="C115">
        <v>109451</v>
      </c>
      <c r="D115" t="s">
        <v>11</v>
      </c>
      <c r="E115" t="s">
        <v>12</v>
      </c>
      <c r="F115">
        <v>15</v>
      </c>
      <c r="G115">
        <v>2522</v>
      </c>
      <c r="H115">
        <v>0</v>
      </c>
      <c r="I115">
        <v>0</v>
      </c>
      <c r="J115">
        <v>1</v>
      </c>
      <c r="K115">
        <v>0</v>
      </c>
    </row>
    <row r="116" spans="1:11" x14ac:dyDescent="0.25">
      <c r="A116">
        <v>736893</v>
      </c>
      <c r="B116">
        <v>936</v>
      </c>
      <c r="C116">
        <v>109452</v>
      </c>
      <c r="D116" t="s">
        <v>11</v>
      </c>
      <c r="E116" t="s">
        <v>12</v>
      </c>
      <c r="F116">
        <v>16</v>
      </c>
      <c r="G116">
        <v>3587</v>
      </c>
      <c r="H116">
        <v>0</v>
      </c>
      <c r="I116">
        <v>0</v>
      </c>
      <c r="J116">
        <v>1</v>
      </c>
      <c r="K116">
        <v>0</v>
      </c>
    </row>
    <row r="117" spans="1:11" x14ac:dyDescent="0.25">
      <c r="A117">
        <v>736977</v>
      </c>
      <c r="B117">
        <v>936</v>
      </c>
      <c r="C117">
        <v>109470</v>
      </c>
      <c r="D117" t="s">
        <v>11</v>
      </c>
      <c r="E117" t="s">
        <v>12</v>
      </c>
      <c r="F117">
        <v>27</v>
      </c>
      <c r="G117">
        <v>1273</v>
      </c>
      <c r="H117">
        <v>0</v>
      </c>
      <c r="I117">
        <v>0</v>
      </c>
      <c r="J117">
        <v>1</v>
      </c>
      <c r="K117">
        <v>0</v>
      </c>
    </row>
    <row r="118" spans="1:11" x14ac:dyDescent="0.25">
      <c r="A118">
        <v>736988</v>
      </c>
      <c r="B118">
        <v>936</v>
      </c>
      <c r="C118">
        <v>109472</v>
      </c>
      <c r="D118" t="s">
        <v>11</v>
      </c>
      <c r="E118" t="s">
        <v>12</v>
      </c>
      <c r="F118">
        <v>28</v>
      </c>
      <c r="G118">
        <v>3891</v>
      </c>
      <c r="H118">
        <v>1</v>
      </c>
      <c r="I118">
        <v>1.0900000329999999</v>
      </c>
      <c r="J118">
        <v>1</v>
      </c>
      <c r="K118">
        <v>0</v>
      </c>
    </row>
    <row r="119" spans="1:11" x14ac:dyDescent="0.25">
      <c r="A119">
        <v>736995</v>
      </c>
      <c r="B119">
        <v>936</v>
      </c>
      <c r="C119">
        <v>109473</v>
      </c>
      <c r="D119" t="s">
        <v>11</v>
      </c>
      <c r="E119" t="s">
        <v>12</v>
      </c>
      <c r="F119">
        <v>29</v>
      </c>
      <c r="G119">
        <v>1888</v>
      </c>
      <c r="H119">
        <v>0</v>
      </c>
      <c r="I119">
        <v>0</v>
      </c>
      <c r="J119">
        <v>1</v>
      </c>
      <c r="K119">
        <v>0</v>
      </c>
    </row>
    <row r="120" spans="1:11" x14ac:dyDescent="0.25">
      <c r="A120">
        <v>736997</v>
      </c>
      <c r="B120">
        <v>936</v>
      </c>
      <c r="C120">
        <v>109473</v>
      </c>
      <c r="D120" t="s">
        <v>11</v>
      </c>
      <c r="E120" t="s">
        <v>12</v>
      </c>
      <c r="F120">
        <v>29</v>
      </c>
      <c r="G120">
        <v>1895</v>
      </c>
      <c r="H120">
        <v>0</v>
      </c>
      <c r="I120">
        <v>0</v>
      </c>
      <c r="J120">
        <v>1</v>
      </c>
      <c r="K120">
        <v>0</v>
      </c>
    </row>
    <row r="121" spans="1:11" x14ac:dyDescent="0.25">
      <c r="A121">
        <v>737097</v>
      </c>
      <c r="B121">
        <v>936</v>
      </c>
      <c r="C121">
        <v>109498</v>
      </c>
      <c r="D121" t="s">
        <v>13</v>
      </c>
      <c r="E121" t="s">
        <v>12</v>
      </c>
      <c r="F121">
        <v>7</v>
      </c>
      <c r="G121">
        <v>715</v>
      </c>
      <c r="H121">
        <v>0</v>
      </c>
      <c r="I121">
        <v>0</v>
      </c>
      <c r="J121">
        <v>1</v>
      </c>
      <c r="K121">
        <v>0</v>
      </c>
    </row>
    <row r="122" spans="1:11" x14ac:dyDescent="0.25">
      <c r="A122">
        <v>737130</v>
      </c>
      <c r="B122">
        <v>936</v>
      </c>
      <c r="C122">
        <v>109507</v>
      </c>
      <c r="D122" t="s">
        <v>13</v>
      </c>
      <c r="E122" t="s">
        <v>12</v>
      </c>
      <c r="F122">
        <v>16</v>
      </c>
      <c r="G122">
        <v>11199</v>
      </c>
      <c r="H122">
        <v>2</v>
      </c>
      <c r="I122">
        <v>2.6800000669999999</v>
      </c>
      <c r="J122">
        <v>1</v>
      </c>
      <c r="K122">
        <v>0</v>
      </c>
    </row>
    <row r="123" spans="1:11" x14ac:dyDescent="0.25">
      <c r="A123">
        <v>737320</v>
      </c>
      <c r="B123">
        <v>936</v>
      </c>
      <c r="C123">
        <v>109553</v>
      </c>
      <c r="D123" t="s">
        <v>13</v>
      </c>
      <c r="E123" t="s">
        <v>12</v>
      </c>
      <c r="F123">
        <v>63</v>
      </c>
      <c r="G123">
        <v>5676</v>
      </c>
      <c r="H123">
        <v>2</v>
      </c>
      <c r="I123">
        <v>3.0099999899999998</v>
      </c>
      <c r="J123">
        <v>1</v>
      </c>
      <c r="K123">
        <v>0</v>
      </c>
    </row>
    <row r="124" spans="1:11" x14ac:dyDescent="0.25">
      <c r="A124">
        <v>737375</v>
      </c>
      <c r="B124">
        <v>936</v>
      </c>
      <c r="C124">
        <v>109565</v>
      </c>
      <c r="D124" t="s">
        <v>14</v>
      </c>
      <c r="E124" t="s">
        <v>12</v>
      </c>
      <c r="F124">
        <v>10</v>
      </c>
      <c r="G124">
        <v>1415</v>
      </c>
      <c r="H124">
        <v>0</v>
      </c>
      <c r="I124">
        <v>0</v>
      </c>
      <c r="J124">
        <v>1</v>
      </c>
      <c r="K124">
        <v>0</v>
      </c>
    </row>
    <row r="125" spans="1:11" x14ac:dyDescent="0.25">
      <c r="A125">
        <v>737524</v>
      </c>
      <c r="B125">
        <v>936</v>
      </c>
      <c r="C125">
        <v>109601</v>
      </c>
      <c r="D125" t="s">
        <v>14</v>
      </c>
      <c r="E125" t="s">
        <v>12</v>
      </c>
      <c r="F125">
        <v>30</v>
      </c>
      <c r="G125">
        <v>2148</v>
      </c>
      <c r="H125">
        <v>1</v>
      </c>
      <c r="I125">
        <v>1.5800000430000001</v>
      </c>
      <c r="J125">
        <v>1</v>
      </c>
      <c r="K125">
        <v>1</v>
      </c>
    </row>
    <row r="126" spans="1:11" x14ac:dyDescent="0.25">
      <c r="A126">
        <v>737644</v>
      </c>
      <c r="B126">
        <v>936</v>
      </c>
      <c r="C126">
        <v>109629</v>
      </c>
      <c r="D126" t="s">
        <v>15</v>
      </c>
      <c r="E126" t="s">
        <v>12</v>
      </c>
      <c r="F126">
        <v>16</v>
      </c>
      <c r="G126">
        <v>45401</v>
      </c>
      <c r="H126">
        <v>10</v>
      </c>
      <c r="I126">
        <v>14.06000042</v>
      </c>
      <c r="J126">
        <v>1</v>
      </c>
      <c r="K126">
        <v>0</v>
      </c>
    </row>
    <row r="127" spans="1:11" x14ac:dyDescent="0.25">
      <c r="A127">
        <v>737657</v>
      </c>
      <c r="B127">
        <v>936</v>
      </c>
      <c r="C127">
        <v>109633</v>
      </c>
      <c r="D127" t="s">
        <v>15</v>
      </c>
      <c r="E127" t="s">
        <v>12</v>
      </c>
      <c r="F127">
        <v>18</v>
      </c>
      <c r="G127">
        <v>7478</v>
      </c>
      <c r="H127">
        <v>2</v>
      </c>
      <c r="I127">
        <v>2.9000000950000002</v>
      </c>
      <c r="J127">
        <v>1</v>
      </c>
      <c r="K127">
        <v>1</v>
      </c>
    </row>
    <row r="128" spans="1:11" x14ac:dyDescent="0.25">
      <c r="A128">
        <v>737658</v>
      </c>
      <c r="B128">
        <v>936</v>
      </c>
      <c r="C128">
        <v>109633</v>
      </c>
      <c r="D128" t="s">
        <v>15</v>
      </c>
      <c r="E128" t="s">
        <v>12</v>
      </c>
      <c r="F128">
        <v>18</v>
      </c>
      <c r="G128">
        <v>4919</v>
      </c>
      <c r="H128">
        <v>1</v>
      </c>
      <c r="I128">
        <v>1.5900000329999999</v>
      </c>
      <c r="J128">
        <v>1</v>
      </c>
      <c r="K128">
        <v>0</v>
      </c>
    </row>
    <row r="129" spans="1:11" x14ac:dyDescent="0.25">
      <c r="A129">
        <v>737674</v>
      </c>
      <c r="B129">
        <v>936</v>
      </c>
      <c r="C129">
        <v>109637</v>
      </c>
      <c r="D129" t="s">
        <v>15</v>
      </c>
      <c r="E129" t="s">
        <v>12</v>
      </c>
      <c r="F129">
        <v>20</v>
      </c>
      <c r="G129">
        <v>533</v>
      </c>
      <c r="H129">
        <v>0</v>
      </c>
      <c r="I129">
        <v>0</v>
      </c>
      <c r="J129">
        <v>1</v>
      </c>
      <c r="K129">
        <v>1</v>
      </c>
    </row>
    <row r="130" spans="1:11" x14ac:dyDescent="0.25">
      <c r="A130">
        <v>737766</v>
      </c>
      <c r="B130">
        <v>936</v>
      </c>
      <c r="C130">
        <v>109659</v>
      </c>
      <c r="D130" t="s">
        <v>15</v>
      </c>
      <c r="E130" t="s">
        <v>12</v>
      </c>
      <c r="F130">
        <v>29</v>
      </c>
      <c r="G130">
        <v>1447</v>
      </c>
      <c r="H130">
        <v>0</v>
      </c>
      <c r="I130">
        <v>0</v>
      </c>
      <c r="J130">
        <v>1</v>
      </c>
      <c r="K130">
        <v>1</v>
      </c>
    </row>
    <row r="131" spans="1:11" x14ac:dyDescent="0.25">
      <c r="A131">
        <v>737896</v>
      </c>
      <c r="B131">
        <v>936</v>
      </c>
      <c r="C131">
        <v>109689</v>
      </c>
      <c r="D131" t="s">
        <v>11</v>
      </c>
      <c r="E131" t="s">
        <v>16</v>
      </c>
      <c r="F131">
        <v>16</v>
      </c>
      <c r="G131">
        <v>17553</v>
      </c>
      <c r="H131">
        <v>3</v>
      </c>
      <c r="I131">
        <v>4.5900001530000001</v>
      </c>
      <c r="J131">
        <v>1</v>
      </c>
      <c r="K131">
        <v>0</v>
      </c>
    </row>
    <row r="132" spans="1:11" x14ac:dyDescent="0.25">
      <c r="A132">
        <v>737931</v>
      </c>
      <c r="B132">
        <v>936</v>
      </c>
      <c r="C132">
        <v>109698</v>
      </c>
      <c r="D132" t="s">
        <v>11</v>
      </c>
      <c r="E132" t="s">
        <v>16</v>
      </c>
      <c r="F132">
        <v>20</v>
      </c>
      <c r="G132">
        <v>3343</v>
      </c>
      <c r="H132">
        <v>1</v>
      </c>
      <c r="I132">
        <v>0.540000021</v>
      </c>
      <c r="J132">
        <v>1</v>
      </c>
      <c r="K132">
        <v>0</v>
      </c>
    </row>
    <row r="133" spans="1:11" x14ac:dyDescent="0.25">
      <c r="A133">
        <v>737961</v>
      </c>
      <c r="B133">
        <v>936</v>
      </c>
      <c r="C133">
        <v>109706</v>
      </c>
      <c r="D133" t="s">
        <v>11</v>
      </c>
      <c r="E133" t="s">
        <v>16</v>
      </c>
      <c r="F133">
        <v>23</v>
      </c>
      <c r="G133">
        <v>523</v>
      </c>
      <c r="H133">
        <v>0</v>
      </c>
      <c r="I133">
        <v>0</v>
      </c>
      <c r="J133">
        <v>1</v>
      </c>
      <c r="K133">
        <v>0</v>
      </c>
    </row>
    <row r="134" spans="1:11" x14ac:dyDescent="0.25">
      <c r="A134">
        <v>737995</v>
      </c>
      <c r="B134">
        <v>936</v>
      </c>
      <c r="C134">
        <v>109714</v>
      </c>
      <c r="D134" t="s">
        <v>11</v>
      </c>
      <c r="E134" t="s">
        <v>16</v>
      </c>
      <c r="F134">
        <v>26</v>
      </c>
      <c r="G134">
        <v>1873</v>
      </c>
      <c r="H134">
        <v>0</v>
      </c>
      <c r="I134">
        <v>0</v>
      </c>
      <c r="J134">
        <v>1</v>
      </c>
      <c r="K134">
        <v>0</v>
      </c>
    </row>
    <row r="135" spans="1:11" x14ac:dyDescent="0.25">
      <c r="A135">
        <v>738006</v>
      </c>
      <c r="B135">
        <v>936</v>
      </c>
      <c r="C135">
        <v>109717</v>
      </c>
      <c r="D135" t="s">
        <v>11</v>
      </c>
      <c r="E135" t="s">
        <v>16</v>
      </c>
      <c r="F135">
        <v>27</v>
      </c>
      <c r="G135">
        <v>34740</v>
      </c>
      <c r="H135">
        <v>7</v>
      </c>
      <c r="I135">
        <v>13.41000009</v>
      </c>
      <c r="J135">
        <v>1</v>
      </c>
      <c r="K135">
        <v>1</v>
      </c>
    </row>
    <row r="136" spans="1:11" x14ac:dyDescent="0.25">
      <c r="A136">
        <v>738067</v>
      </c>
      <c r="B136">
        <v>936</v>
      </c>
      <c r="C136">
        <v>109731</v>
      </c>
      <c r="D136" t="s">
        <v>11</v>
      </c>
      <c r="E136" t="s">
        <v>16</v>
      </c>
      <c r="F136">
        <v>32</v>
      </c>
      <c r="G136">
        <v>658</v>
      </c>
      <c r="H136">
        <v>0</v>
      </c>
      <c r="I136">
        <v>0</v>
      </c>
      <c r="J136">
        <v>1</v>
      </c>
      <c r="K136">
        <v>0</v>
      </c>
    </row>
    <row r="137" spans="1:11" x14ac:dyDescent="0.25">
      <c r="A137">
        <v>738098</v>
      </c>
      <c r="B137">
        <v>936</v>
      </c>
      <c r="C137">
        <v>109738</v>
      </c>
      <c r="D137" t="s">
        <v>11</v>
      </c>
      <c r="E137" t="s">
        <v>16</v>
      </c>
      <c r="F137">
        <v>64</v>
      </c>
      <c r="G137">
        <v>1539</v>
      </c>
      <c r="H137">
        <v>0</v>
      </c>
      <c r="I137">
        <v>0</v>
      </c>
      <c r="J137">
        <v>1</v>
      </c>
      <c r="K137">
        <v>0</v>
      </c>
    </row>
    <row r="138" spans="1:11" x14ac:dyDescent="0.25">
      <c r="A138">
        <v>738307</v>
      </c>
      <c r="B138">
        <v>936</v>
      </c>
      <c r="C138">
        <v>109788</v>
      </c>
      <c r="D138" t="s">
        <v>13</v>
      </c>
      <c r="E138" t="s">
        <v>16</v>
      </c>
      <c r="F138">
        <v>31</v>
      </c>
      <c r="G138">
        <v>3010</v>
      </c>
      <c r="H138">
        <v>1</v>
      </c>
      <c r="I138">
        <v>0.86000001400000003</v>
      </c>
      <c r="J138">
        <v>1</v>
      </c>
      <c r="K138">
        <v>1</v>
      </c>
    </row>
    <row r="139" spans="1:11" x14ac:dyDescent="0.25">
      <c r="A139">
        <v>738389</v>
      </c>
      <c r="B139">
        <v>936</v>
      </c>
      <c r="C139">
        <v>109808</v>
      </c>
      <c r="D139" t="s">
        <v>14</v>
      </c>
      <c r="E139" t="s">
        <v>16</v>
      </c>
      <c r="F139">
        <v>10</v>
      </c>
      <c r="G139">
        <v>27081</v>
      </c>
      <c r="H139">
        <v>9</v>
      </c>
      <c r="I139">
        <v>10.77000046</v>
      </c>
      <c r="J139">
        <v>1</v>
      </c>
      <c r="K139">
        <v>1</v>
      </c>
    </row>
    <row r="140" spans="1:11" x14ac:dyDescent="0.25">
      <c r="A140">
        <v>738408</v>
      </c>
      <c r="B140">
        <v>936</v>
      </c>
      <c r="C140">
        <v>109813</v>
      </c>
      <c r="D140" t="s">
        <v>14</v>
      </c>
      <c r="E140" t="s">
        <v>16</v>
      </c>
      <c r="F140">
        <v>16</v>
      </c>
      <c r="G140">
        <v>20233</v>
      </c>
      <c r="H140">
        <v>4</v>
      </c>
      <c r="I140">
        <v>5.5900001530000001</v>
      </c>
      <c r="J140">
        <v>3</v>
      </c>
      <c r="K140">
        <v>0</v>
      </c>
    </row>
    <row r="141" spans="1:11" x14ac:dyDescent="0.25">
      <c r="A141">
        <v>738413</v>
      </c>
      <c r="B141">
        <v>936</v>
      </c>
      <c r="C141">
        <v>109813</v>
      </c>
      <c r="D141" t="s">
        <v>14</v>
      </c>
      <c r="E141" t="s">
        <v>16</v>
      </c>
      <c r="F141">
        <v>16</v>
      </c>
      <c r="G141">
        <v>147159</v>
      </c>
      <c r="H141">
        <v>36</v>
      </c>
      <c r="I141">
        <v>58.160000439999997</v>
      </c>
      <c r="J141">
        <v>3</v>
      </c>
      <c r="K141">
        <v>1</v>
      </c>
    </row>
    <row r="142" spans="1:11" x14ac:dyDescent="0.25">
      <c r="A142">
        <v>738423</v>
      </c>
      <c r="B142">
        <v>936</v>
      </c>
      <c r="C142">
        <v>109816</v>
      </c>
      <c r="D142" t="s">
        <v>14</v>
      </c>
      <c r="E142" t="s">
        <v>16</v>
      </c>
      <c r="F142">
        <v>18</v>
      </c>
      <c r="G142">
        <v>21664</v>
      </c>
      <c r="H142">
        <v>7</v>
      </c>
      <c r="I142">
        <v>10.61999977</v>
      </c>
      <c r="J142">
        <v>1</v>
      </c>
      <c r="K142">
        <v>1</v>
      </c>
    </row>
    <row r="143" spans="1:11" x14ac:dyDescent="0.25">
      <c r="A143">
        <v>738436</v>
      </c>
      <c r="B143">
        <v>936</v>
      </c>
      <c r="C143">
        <v>109820</v>
      </c>
      <c r="D143" t="s">
        <v>14</v>
      </c>
      <c r="E143" t="s">
        <v>16</v>
      </c>
      <c r="F143">
        <v>19</v>
      </c>
      <c r="G143">
        <v>9112</v>
      </c>
      <c r="H143">
        <v>4</v>
      </c>
      <c r="I143">
        <v>5.4600000380000004</v>
      </c>
      <c r="J143">
        <v>1</v>
      </c>
      <c r="K143">
        <v>1</v>
      </c>
    </row>
    <row r="144" spans="1:11" x14ac:dyDescent="0.25">
      <c r="A144">
        <v>738463</v>
      </c>
      <c r="B144">
        <v>936</v>
      </c>
      <c r="C144">
        <v>109826</v>
      </c>
      <c r="D144" t="s">
        <v>14</v>
      </c>
      <c r="E144" t="s">
        <v>16</v>
      </c>
      <c r="F144">
        <v>21</v>
      </c>
      <c r="G144">
        <v>542</v>
      </c>
      <c r="H144">
        <v>0</v>
      </c>
      <c r="I144">
        <v>0</v>
      </c>
      <c r="J144">
        <v>1</v>
      </c>
      <c r="K144">
        <v>0</v>
      </c>
    </row>
    <row r="145" spans="1:11" x14ac:dyDescent="0.25">
      <c r="A145">
        <v>738528</v>
      </c>
      <c r="B145">
        <v>936</v>
      </c>
      <c r="C145">
        <v>109839</v>
      </c>
      <c r="D145" t="s">
        <v>14</v>
      </c>
      <c r="E145" t="s">
        <v>16</v>
      </c>
      <c r="F145">
        <v>30</v>
      </c>
      <c r="G145">
        <v>402</v>
      </c>
      <c r="H145">
        <v>0</v>
      </c>
      <c r="I145">
        <v>0</v>
      </c>
      <c r="J145">
        <v>1</v>
      </c>
      <c r="K145">
        <v>1</v>
      </c>
    </row>
    <row r="146" spans="1:11" x14ac:dyDescent="0.25">
      <c r="A146">
        <v>738560</v>
      </c>
      <c r="B146">
        <v>936</v>
      </c>
      <c r="C146">
        <v>109844</v>
      </c>
      <c r="D146" t="s">
        <v>14</v>
      </c>
      <c r="E146" t="s">
        <v>16</v>
      </c>
      <c r="F146">
        <v>64</v>
      </c>
      <c r="G146">
        <v>1338</v>
      </c>
      <c r="H146">
        <v>0</v>
      </c>
      <c r="I146">
        <v>0</v>
      </c>
      <c r="J146">
        <v>1</v>
      </c>
      <c r="K146">
        <v>0</v>
      </c>
    </row>
    <row r="147" spans="1:11" x14ac:dyDescent="0.25">
      <c r="A147">
        <v>738582</v>
      </c>
      <c r="B147">
        <v>936</v>
      </c>
      <c r="C147">
        <v>109848</v>
      </c>
      <c r="D147" t="s">
        <v>15</v>
      </c>
      <c r="E147" t="s">
        <v>16</v>
      </c>
      <c r="F147">
        <v>10</v>
      </c>
      <c r="G147">
        <v>46150</v>
      </c>
      <c r="H147">
        <v>15</v>
      </c>
      <c r="I147">
        <v>20.17999983</v>
      </c>
      <c r="J147">
        <v>1</v>
      </c>
      <c r="K147">
        <v>1</v>
      </c>
    </row>
    <row r="148" spans="1:11" x14ac:dyDescent="0.25">
      <c r="A148">
        <v>738592</v>
      </c>
      <c r="B148">
        <v>936</v>
      </c>
      <c r="C148">
        <v>109850</v>
      </c>
      <c r="D148" t="s">
        <v>15</v>
      </c>
      <c r="E148" t="s">
        <v>16</v>
      </c>
      <c r="F148">
        <v>16</v>
      </c>
      <c r="G148">
        <v>493821</v>
      </c>
      <c r="H148">
        <v>116</v>
      </c>
      <c r="I148">
        <v>176.37999769999999</v>
      </c>
      <c r="J148">
        <v>4</v>
      </c>
      <c r="K148">
        <v>1</v>
      </c>
    </row>
    <row r="149" spans="1:11" x14ac:dyDescent="0.25">
      <c r="A149">
        <v>738593</v>
      </c>
      <c r="B149">
        <v>936</v>
      </c>
      <c r="C149">
        <v>109850</v>
      </c>
      <c r="D149" t="s">
        <v>15</v>
      </c>
      <c r="E149" t="s">
        <v>16</v>
      </c>
      <c r="F149">
        <v>16</v>
      </c>
      <c r="G149">
        <v>92011</v>
      </c>
      <c r="H149">
        <v>27</v>
      </c>
      <c r="I149">
        <v>34.390000460000003</v>
      </c>
      <c r="J149">
        <v>2</v>
      </c>
      <c r="K149">
        <v>1</v>
      </c>
    </row>
    <row r="150" spans="1:11" x14ac:dyDescent="0.25">
      <c r="A150">
        <v>738598</v>
      </c>
      <c r="B150">
        <v>936</v>
      </c>
      <c r="C150">
        <v>109851</v>
      </c>
      <c r="D150" t="s">
        <v>15</v>
      </c>
      <c r="E150" t="s">
        <v>16</v>
      </c>
      <c r="F150">
        <v>18</v>
      </c>
      <c r="G150">
        <v>12956</v>
      </c>
      <c r="H150">
        <v>4</v>
      </c>
      <c r="I150">
        <v>5.4900000100000002</v>
      </c>
      <c r="J150">
        <v>1</v>
      </c>
      <c r="K150">
        <v>1</v>
      </c>
    </row>
    <row r="151" spans="1:11" x14ac:dyDescent="0.25">
      <c r="A151">
        <v>738606</v>
      </c>
      <c r="B151">
        <v>936</v>
      </c>
      <c r="C151">
        <v>109852</v>
      </c>
      <c r="D151" t="s">
        <v>15</v>
      </c>
      <c r="E151" t="s">
        <v>16</v>
      </c>
      <c r="F151">
        <v>19</v>
      </c>
      <c r="G151">
        <v>529</v>
      </c>
      <c r="H151">
        <v>0</v>
      </c>
      <c r="I151">
        <v>0</v>
      </c>
      <c r="J151">
        <v>1</v>
      </c>
      <c r="K151">
        <v>0</v>
      </c>
    </row>
    <row r="152" spans="1:11" x14ac:dyDescent="0.25">
      <c r="A152">
        <v>738637</v>
      </c>
      <c r="B152">
        <v>936</v>
      </c>
      <c r="C152">
        <v>109857</v>
      </c>
      <c r="D152" t="s">
        <v>15</v>
      </c>
      <c r="E152" t="s">
        <v>16</v>
      </c>
      <c r="F152">
        <v>24</v>
      </c>
      <c r="G152">
        <v>944</v>
      </c>
      <c r="H152">
        <v>1</v>
      </c>
      <c r="I152">
        <v>1.4199999569999999</v>
      </c>
      <c r="J152">
        <v>1</v>
      </c>
      <c r="K152">
        <v>0</v>
      </c>
    </row>
    <row r="153" spans="1:11" x14ac:dyDescent="0.25">
      <c r="A153">
        <v>738648</v>
      </c>
      <c r="B153">
        <v>936</v>
      </c>
      <c r="C153">
        <v>109859</v>
      </c>
      <c r="D153" t="s">
        <v>15</v>
      </c>
      <c r="E153" t="s">
        <v>16</v>
      </c>
      <c r="F153">
        <v>26</v>
      </c>
      <c r="G153">
        <v>111090</v>
      </c>
      <c r="H153">
        <v>38</v>
      </c>
      <c r="I153">
        <v>51.97000027</v>
      </c>
      <c r="J153">
        <v>5</v>
      </c>
      <c r="K153">
        <v>1</v>
      </c>
    </row>
    <row r="154" spans="1:11" x14ac:dyDescent="0.25">
      <c r="A154">
        <v>747212</v>
      </c>
      <c r="B154">
        <v>936</v>
      </c>
      <c r="C154">
        <v>110836</v>
      </c>
      <c r="D154" t="s">
        <v>11</v>
      </c>
      <c r="E154" t="s">
        <v>12</v>
      </c>
      <c r="F154">
        <v>10</v>
      </c>
      <c r="G154">
        <v>7208</v>
      </c>
      <c r="H154">
        <v>2</v>
      </c>
      <c r="I154">
        <v>3.1900000569999998</v>
      </c>
      <c r="J154">
        <v>1</v>
      </c>
      <c r="K154">
        <v>0</v>
      </c>
    </row>
    <row r="155" spans="1:11" x14ac:dyDescent="0.25">
      <c r="A155">
        <v>747213</v>
      </c>
      <c r="B155">
        <v>936</v>
      </c>
      <c r="C155">
        <v>110836</v>
      </c>
      <c r="D155" t="s">
        <v>11</v>
      </c>
      <c r="E155" t="s">
        <v>12</v>
      </c>
      <c r="F155">
        <v>10</v>
      </c>
      <c r="G155">
        <v>1746</v>
      </c>
      <c r="H155">
        <v>0</v>
      </c>
      <c r="I155">
        <v>0</v>
      </c>
      <c r="J155">
        <v>1</v>
      </c>
      <c r="K155">
        <v>0</v>
      </c>
    </row>
    <row r="156" spans="1:11" x14ac:dyDescent="0.25">
      <c r="A156">
        <v>747220</v>
      </c>
      <c r="B156">
        <v>936</v>
      </c>
      <c r="C156">
        <v>110837</v>
      </c>
      <c r="D156" t="s">
        <v>11</v>
      </c>
      <c r="E156" t="s">
        <v>12</v>
      </c>
      <c r="F156">
        <v>15</v>
      </c>
      <c r="G156">
        <v>2474</v>
      </c>
      <c r="H156">
        <v>0</v>
      </c>
      <c r="I156">
        <v>0</v>
      </c>
      <c r="J156">
        <v>2</v>
      </c>
      <c r="K156">
        <v>2</v>
      </c>
    </row>
    <row r="157" spans="1:11" x14ac:dyDescent="0.25">
      <c r="A157">
        <v>747222</v>
      </c>
      <c r="B157">
        <v>936</v>
      </c>
      <c r="C157">
        <v>110838</v>
      </c>
      <c r="D157" t="s">
        <v>11</v>
      </c>
      <c r="E157" t="s">
        <v>12</v>
      </c>
      <c r="F157">
        <v>16</v>
      </c>
      <c r="G157">
        <v>12489</v>
      </c>
      <c r="H157">
        <v>2</v>
      </c>
      <c r="I157">
        <v>1.960000038</v>
      </c>
      <c r="J157">
        <v>1</v>
      </c>
      <c r="K157">
        <v>0</v>
      </c>
    </row>
    <row r="158" spans="1:11" x14ac:dyDescent="0.25">
      <c r="A158">
        <v>747223</v>
      </c>
      <c r="B158">
        <v>936</v>
      </c>
      <c r="C158">
        <v>110838</v>
      </c>
      <c r="D158" t="s">
        <v>11</v>
      </c>
      <c r="E158" t="s">
        <v>12</v>
      </c>
      <c r="F158">
        <v>16</v>
      </c>
      <c r="G158">
        <v>8032</v>
      </c>
      <c r="H158">
        <v>1</v>
      </c>
      <c r="I158">
        <v>0.60000002399999997</v>
      </c>
      <c r="J158">
        <v>2</v>
      </c>
      <c r="K158">
        <v>0</v>
      </c>
    </row>
    <row r="159" spans="1:11" x14ac:dyDescent="0.25">
      <c r="A159">
        <v>747248</v>
      </c>
      <c r="B159">
        <v>936</v>
      </c>
      <c r="C159">
        <v>110842</v>
      </c>
      <c r="D159" t="s">
        <v>11</v>
      </c>
      <c r="E159" t="s">
        <v>12</v>
      </c>
      <c r="F159">
        <v>21</v>
      </c>
      <c r="G159">
        <v>472</v>
      </c>
      <c r="H159">
        <v>0</v>
      </c>
      <c r="I159">
        <v>0</v>
      </c>
      <c r="J159">
        <v>1</v>
      </c>
      <c r="K159">
        <v>1</v>
      </c>
    </row>
    <row r="160" spans="1:11" x14ac:dyDescent="0.25">
      <c r="A160">
        <v>747332</v>
      </c>
      <c r="B160">
        <v>936</v>
      </c>
      <c r="C160">
        <v>110856</v>
      </c>
      <c r="D160" t="s">
        <v>11</v>
      </c>
      <c r="E160" t="s">
        <v>12</v>
      </c>
      <c r="F160">
        <v>64</v>
      </c>
      <c r="G160">
        <v>792</v>
      </c>
      <c r="H160">
        <v>0</v>
      </c>
      <c r="I160">
        <v>0</v>
      </c>
      <c r="J160">
        <v>1</v>
      </c>
      <c r="K160">
        <v>1</v>
      </c>
    </row>
    <row r="161" spans="1:11" x14ac:dyDescent="0.25">
      <c r="A161">
        <v>747362</v>
      </c>
      <c r="B161">
        <v>936</v>
      </c>
      <c r="C161">
        <v>110861</v>
      </c>
      <c r="D161" t="s">
        <v>13</v>
      </c>
      <c r="E161" t="s">
        <v>12</v>
      </c>
      <c r="F161">
        <v>15</v>
      </c>
      <c r="G161">
        <v>4607</v>
      </c>
      <c r="H161">
        <v>1</v>
      </c>
      <c r="I161">
        <v>1.1499999759999999</v>
      </c>
      <c r="J161">
        <v>1</v>
      </c>
      <c r="K161">
        <v>1</v>
      </c>
    </row>
    <row r="162" spans="1:11" x14ac:dyDescent="0.25">
      <c r="A162">
        <v>747369</v>
      </c>
      <c r="B162">
        <v>936</v>
      </c>
      <c r="C162">
        <v>110862</v>
      </c>
      <c r="D162" t="s">
        <v>13</v>
      </c>
      <c r="E162" t="s">
        <v>12</v>
      </c>
      <c r="F162">
        <v>16</v>
      </c>
      <c r="G162">
        <v>13355</v>
      </c>
      <c r="H162">
        <v>2</v>
      </c>
      <c r="I162">
        <v>3.1800000669999999</v>
      </c>
      <c r="J162">
        <v>1</v>
      </c>
      <c r="K162">
        <v>1</v>
      </c>
    </row>
    <row r="163" spans="1:11" x14ac:dyDescent="0.25">
      <c r="A163">
        <v>747370</v>
      </c>
      <c r="B163">
        <v>936</v>
      </c>
      <c r="C163">
        <v>110862</v>
      </c>
      <c r="D163" t="s">
        <v>13</v>
      </c>
      <c r="E163" t="s">
        <v>12</v>
      </c>
      <c r="F163">
        <v>16</v>
      </c>
      <c r="G163">
        <v>2936</v>
      </c>
      <c r="H163">
        <v>0</v>
      </c>
      <c r="I163">
        <v>0</v>
      </c>
      <c r="J163">
        <v>1</v>
      </c>
      <c r="K163">
        <v>0</v>
      </c>
    </row>
    <row r="164" spans="1:11" x14ac:dyDescent="0.25">
      <c r="A164">
        <v>747401</v>
      </c>
      <c r="B164">
        <v>936</v>
      </c>
      <c r="C164">
        <v>110867</v>
      </c>
      <c r="D164" t="s">
        <v>13</v>
      </c>
      <c r="E164" t="s">
        <v>12</v>
      </c>
      <c r="F164">
        <v>22</v>
      </c>
      <c r="G164">
        <v>2793</v>
      </c>
      <c r="H164">
        <v>1</v>
      </c>
      <c r="I164">
        <v>0.980000019</v>
      </c>
      <c r="J164">
        <v>1</v>
      </c>
      <c r="K164">
        <v>1</v>
      </c>
    </row>
    <row r="165" spans="1:11" x14ac:dyDescent="0.25">
      <c r="A165">
        <v>747435</v>
      </c>
      <c r="B165">
        <v>936</v>
      </c>
      <c r="C165">
        <v>110873</v>
      </c>
      <c r="D165" t="s">
        <v>13</v>
      </c>
      <c r="E165" t="s">
        <v>12</v>
      </c>
      <c r="F165">
        <v>28</v>
      </c>
      <c r="G165">
        <v>1032</v>
      </c>
      <c r="H165">
        <v>0</v>
      </c>
      <c r="I165">
        <v>0</v>
      </c>
      <c r="J165">
        <v>1</v>
      </c>
      <c r="K165">
        <v>0</v>
      </c>
    </row>
    <row r="166" spans="1:11" x14ac:dyDescent="0.25">
      <c r="A166">
        <v>747439</v>
      </c>
      <c r="B166">
        <v>936</v>
      </c>
      <c r="C166">
        <v>110874</v>
      </c>
      <c r="D166" t="s">
        <v>13</v>
      </c>
      <c r="E166" t="s">
        <v>12</v>
      </c>
      <c r="F166">
        <v>29</v>
      </c>
      <c r="G166">
        <v>1662</v>
      </c>
      <c r="H166">
        <v>0</v>
      </c>
      <c r="I166">
        <v>0</v>
      </c>
      <c r="J166">
        <v>1</v>
      </c>
      <c r="K166">
        <v>1</v>
      </c>
    </row>
    <row r="167" spans="1:11" x14ac:dyDescent="0.25">
      <c r="A167">
        <v>747489</v>
      </c>
      <c r="B167">
        <v>936</v>
      </c>
      <c r="C167">
        <v>110882</v>
      </c>
      <c r="D167" t="s">
        <v>14</v>
      </c>
      <c r="E167" t="s">
        <v>12</v>
      </c>
      <c r="F167">
        <v>2</v>
      </c>
      <c r="G167">
        <v>4016</v>
      </c>
      <c r="H167">
        <v>2</v>
      </c>
      <c r="I167">
        <v>1.480000049</v>
      </c>
      <c r="J167">
        <v>1</v>
      </c>
      <c r="K167">
        <v>1</v>
      </c>
    </row>
    <row r="168" spans="1:11" x14ac:dyDescent="0.25">
      <c r="A168">
        <v>747514</v>
      </c>
      <c r="B168">
        <v>936</v>
      </c>
      <c r="C168">
        <v>110886</v>
      </c>
      <c r="D168" t="s">
        <v>14</v>
      </c>
      <c r="E168" t="s">
        <v>12</v>
      </c>
      <c r="F168">
        <v>16</v>
      </c>
      <c r="G168">
        <v>14843</v>
      </c>
      <c r="H168">
        <v>3</v>
      </c>
      <c r="I168">
        <v>2.9399999380000001</v>
      </c>
      <c r="J168">
        <v>1</v>
      </c>
      <c r="K168">
        <v>1</v>
      </c>
    </row>
    <row r="169" spans="1:11" x14ac:dyDescent="0.25">
      <c r="A169">
        <v>747645</v>
      </c>
      <c r="B169">
        <v>936</v>
      </c>
      <c r="C169">
        <v>110908</v>
      </c>
      <c r="D169" t="s">
        <v>15</v>
      </c>
      <c r="E169" t="s">
        <v>12</v>
      </c>
      <c r="F169">
        <v>10</v>
      </c>
      <c r="G169">
        <v>9674</v>
      </c>
      <c r="H169">
        <v>3</v>
      </c>
      <c r="I169">
        <v>4.6000000239999999</v>
      </c>
      <c r="J169">
        <v>1</v>
      </c>
      <c r="K169">
        <v>1</v>
      </c>
    </row>
    <row r="170" spans="1:11" x14ac:dyDescent="0.25">
      <c r="A170">
        <v>747659</v>
      </c>
      <c r="B170">
        <v>936</v>
      </c>
      <c r="C170">
        <v>110910</v>
      </c>
      <c r="D170" t="s">
        <v>15</v>
      </c>
      <c r="E170" t="s">
        <v>12</v>
      </c>
      <c r="F170">
        <v>16</v>
      </c>
      <c r="G170">
        <v>12186</v>
      </c>
      <c r="H170">
        <v>2</v>
      </c>
      <c r="I170">
        <v>2.6699999569999999</v>
      </c>
      <c r="J170">
        <v>1</v>
      </c>
      <c r="K170">
        <v>0</v>
      </c>
    </row>
    <row r="171" spans="1:11" x14ac:dyDescent="0.25">
      <c r="A171">
        <v>747675</v>
      </c>
      <c r="B171">
        <v>936</v>
      </c>
      <c r="C171">
        <v>110913</v>
      </c>
      <c r="D171" t="s">
        <v>15</v>
      </c>
      <c r="E171" t="s">
        <v>12</v>
      </c>
      <c r="F171">
        <v>20</v>
      </c>
      <c r="G171">
        <v>673</v>
      </c>
      <c r="H171">
        <v>0</v>
      </c>
      <c r="I171">
        <v>0</v>
      </c>
      <c r="J171">
        <v>1</v>
      </c>
      <c r="K171">
        <v>0</v>
      </c>
    </row>
    <row r="172" spans="1:11" x14ac:dyDescent="0.25">
      <c r="A172">
        <v>747678</v>
      </c>
      <c r="B172">
        <v>936</v>
      </c>
      <c r="C172">
        <v>110914</v>
      </c>
      <c r="D172" t="s">
        <v>15</v>
      </c>
      <c r="E172" t="s">
        <v>12</v>
      </c>
      <c r="F172">
        <v>21</v>
      </c>
      <c r="G172">
        <v>370</v>
      </c>
      <c r="H172">
        <v>0</v>
      </c>
      <c r="I172">
        <v>0</v>
      </c>
      <c r="J172">
        <v>1</v>
      </c>
      <c r="K172">
        <v>1</v>
      </c>
    </row>
    <row r="173" spans="1:11" x14ac:dyDescent="0.25">
      <c r="A173">
        <v>747712</v>
      </c>
      <c r="B173">
        <v>936</v>
      </c>
      <c r="C173">
        <v>110919</v>
      </c>
      <c r="D173" t="s">
        <v>15</v>
      </c>
      <c r="E173" t="s">
        <v>12</v>
      </c>
      <c r="F173">
        <v>26</v>
      </c>
      <c r="G173">
        <v>450</v>
      </c>
      <c r="H173">
        <v>0</v>
      </c>
      <c r="I173">
        <v>0</v>
      </c>
      <c r="J173">
        <v>1</v>
      </c>
      <c r="K173">
        <v>1</v>
      </c>
    </row>
    <row r="174" spans="1:11" x14ac:dyDescent="0.25">
      <c r="A174">
        <v>747790</v>
      </c>
      <c r="B174">
        <v>936</v>
      </c>
      <c r="C174">
        <v>110932</v>
      </c>
      <c r="D174" t="s">
        <v>11</v>
      </c>
      <c r="E174" t="s">
        <v>16</v>
      </c>
      <c r="F174">
        <v>10</v>
      </c>
      <c r="G174">
        <v>2077</v>
      </c>
      <c r="H174">
        <v>0</v>
      </c>
      <c r="I174">
        <v>0</v>
      </c>
      <c r="J174">
        <v>1</v>
      </c>
      <c r="K174">
        <v>1</v>
      </c>
    </row>
    <row r="175" spans="1:11" x14ac:dyDescent="0.25">
      <c r="A175">
        <v>747791</v>
      </c>
      <c r="B175">
        <v>936</v>
      </c>
      <c r="C175">
        <v>110932</v>
      </c>
      <c r="D175" t="s">
        <v>11</v>
      </c>
      <c r="E175" t="s">
        <v>16</v>
      </c>
      <c r="F175">
        <v>10</v>
      </c>
      <c r="G175">
        <v>31393</v>
      </c>
      <c r="H175">
        <v>8</v>
      </c>
      <c r="I175">
        <v>10.96000051</v>
      </c>
      <c r="J175">
        <v>1</v>
      </c>
      <c r="K175">
        <v>1</v>
      </c>
    </row>
    <row r="176" spans="1:11" x14ac:dyDescent="0.25">
      <c r="A176">
        <v>747795</v>
      </c>
      <c r="B176">
        <v>936</v>
      </c>
      <c r="C176">
        <v>110933</v>
      </c>
      <c r="D176" t="s">
        <v>11</v>
      </c>
      <c r="E176" t="s">
        <v>16</v>
      </c>
      <c r="F176">
        <v>15</v>
      </c>
      <c r="G176">
        <v>8410</v>
      </c>
      <c r="H176">
        <v>2</v>
      </c>
      <c r="I176">
        <v>2.3599998950000001</v>
      </c>
      <c r="J176">
        <v>1</v>
      </c>
      <c r="K176">
        <v>1</v>
      </c>
    </row>
    <row r="177" spans="1:11" x14ac:dyDescent="0.25">
      <c r="A177">
        <v>747798</v>
      </c>
      <c r="B177">
        <v>936</v>
      </c>
      <c r="C177">
        <v>110934</v>
      </c>
      <c r="D177" t="s">
        <v>11</v>
      </c>
      <c r="E177" t="s">
        <v>16</v>
      </c>
      <c r="F177">
        <v>16</v>
      </c>
      <c r="G177">
        <v>25884</v>
      </c>
      <c r="H177">
        <v>5</v>
      </c>
      <c r="I177">
        <v>7.3500001429999999</v>
      </c>
      <c r="J177">
        <v>1</v>
      </c>
      <c r="K177">
        <v>0</v>
      </c>
    </row>
    <row r="178" spans="1:11" x14ac:dyDescent="0.25">
      <c r="A178">
        <v>747824</v>
      </c>
      <c r="B178">
        <v>936</v>
      </c>
      <c r="C178">
        <v>110938</v>
      </c>
      <c r="D178" t="s">
        <v>11</v>
      </c>
      <c r="E178" t="s">
        <v>16</v>
      </c>
      <c r="F178">
        <v>21</v>
      </c>
      <c r="G178">
        <v>608</v>
      </c>
      <c r="H178">
        <v>0</v>
      </c>
      <c r="I178">
        <v>0</v>
      </c>
      <c r="J178">
        <v>1</v>
      </c>
      <c r="K178">
        <v>1</v>
      </c>
    </row>
    <row r="179" spans="1:11" x14ac:dyDescent="0.25">
      <c r="A179">
        <v>747828</v>
      </c>
      <c r="B179">
        <v>936</v>
      </c>
      <c r="C179">
        <v>110939</v>
      </c>
      <c r="D179" t="s">
        <v>11</v>
      </c>
      <c r="E179" t="s">
        <v>16</v>
      </c>
      <c r="F179">
        <v>22</v>
      </c>
      <c r="G179">
        <v>28488</v>
      </c>
      <c r="H179">
        <v>10</v>
      </c>
      <c r="I179">
        <v>9.3400000330000008</v>
      </c>
      <c r="J179">
        <v>1</v>
      </c>
      <c r="K179">
        <v>0</v>
      </c>
    </row>
    <row r="180" spans="1:11" x14ac:dyDescent="0.25">
      <c r="A180">
        <v>747852</v>
      </c>
      <c r="B180">
        <v>936</v>
      </c>
      <c r="C180">
        <v>110943</v>
      </c>
      <c r="D180" t="s">
        <v>11</v>
      </c>
      <c r="E180" t="s">
        <v>16</v>
      </c>
      <c r="F180">
        <v>26</v>
      </c>
      <c r="G180">
        <v>10126</v>
      </c>
      <c r="H180">
        <v>3</v>
      </c>
      <c r="I180">
        <v>4.6199998860000004</v>
      </c>
      <c r="J180">
        <v>1</v>
      </c>
      <c r="K180">
        <v>0</v>
      </c>
    </row>
    <row r="181" spans="1:11" x14ac:dyDescent="0.25">
      <c r="A181">
        <v>747859</v>
      </c>
      <c r="B181">
        <v>936</v>
      </c>
      <c r="C181">
        <v>110944</v>
      </c>
      <c r="D181" t="s">
        <v>11</v>
      </c>
      <c r="E181" t="s">
        <v>16</v>
      </c>
      <c r="F181">
        <v>27</v>
      </c>
      <c r="G181">
        <v>22572</v>
      </c>
      <c r="H181">
        <v>5</v>
      </c>
      <c r="I181">
        <v>8.5</v>
      </c>
      <c r="J181">
        <v>1</v>
      </c>
      <c r="K181">
        <v>0</v>
      </c>
    </row>
    <row r="182" spans="1:11" x14ac:dyDescent="0.25">
      <c r="A182">
        <v>747863</v>
      </c>
      <c r="B182">
        <v>936</v>
      </c>
      <c r="C182">
        <v>110944</v>
      </c>
      <c r="D182" t="s">
        <v>11</v>
      </c>
      <c r="E182" t="s">
        <v>16</v>
      </c>
      <c r="F182">
        <v>27</v>
      </c>
      <c r="G182">
        <v>1955</v>
      </c>
      <c r="H182">
        <v>0</v>
      </c>
      <c r="I182">
        <v>0</v>
      </c>
      <c r="J182">
        <v>1</v>
      </c>
      <c r="K182">
        <v>1</v>
      </c>
    </row>
    <row r="183" spans="1:11" x14ac:dyDescent="0.25">
      <c r="A183">
        <v>747879</v>
      </c>
      <c r="B183">
        <v>936</v>
      </c>
      <c r="C183">
        <v>110947</v>
      </c>
      <c r="D183" t="s">
        <v>11</v>
      </c>
      <c r="E183" t="s">
        <v>16</v>
      </c>
      <c r="F183">
        <v>30</v>
      </c>
      <c r="G183">
        <v>493</v>
      </c>
      <c r="H183">
        <v>0</v>
      </c>
      <c r="I183">
        <v>0</v>
      </c>
      <c r="J183">
        <v>1</v>
      </c>
      <c r="K183">
        <v>0</v>
      </c>
    </row>
    <row r="184" spans="1:11" x14ac:dyDescent="0.25">
      <c r="A184">
        <v>747903</v>
      </c>
      <c r="B184">
        <v>936</v>
      </c>
      <c r="C184">
        <v>110951</v>
      </c>
      <c r="D184" t="s">
        <v>11</v>
      </c>
      <c r="E184" t="s">
        <v>16</v>
      </c>
      <c r="F184">
        <v>63</v>
      </c>
      <c r="G184">
        <v>1491</v>
      </c>
      <c r="H184">
        <v>0</v>
      </c>
      <c r="I184">
        <v>0</v>
      </c>
      <c r="J184">
        <v>1</v>
      </c>
      <c r="K184">
        <v>1</v>
      </c>
    </row>
    <row r="185" spans="1:11" x14ac:dyDescent="0.25">
      <c r="A185">
        <v>747911</v>
      </c>
      <c r="B185">
        <v>936</v>
      </c>
      <c r="C185">
        <v>110952</v>
      </c>
      <c r="D185" t="s">
        <v>11</v>
      </c>
      <c r="E185" t="s">
        <v>16</v>
      </c>
      <c r="F185">
        <v>64</v>
      </c>
      <c r="G185">
        <v>1495</v>
      </c>
      <c r="H185">
        <v>0</v>
      </c>
      <c r="I185">
        <v>0</v>
      </c>
      <c r="J185">
        <v>1</v>
      </c>
      <c r="K185">
        <v>1</v>
      </c>
    </row>
    <row r="186" spans="1:11" x14ac:dyDescent="0.25">
      <c r="A186">
        <v>747968</v>
      </c>
      <c r="B186">
        <v>936</v>
      </c>
      <c r="C186">
        <v>110962</v>
      </c>
      <c r="D186" t="s">
        <v>13</v>
      </c>
      <c r="E186" t="s">
        <v>16</v>
      </c>
      <c r="F186">
        <v>21</v>
      </c>
      <c r="G186">
        <v>512</v>
      </c>
      <c r="H186">
        <v>0</v>
      </c>
      <c r="I186">
        <v>0</v>
      </c>
      <c r="J186">
        <v>0</v>
      </c>
      <c r="K186">
        <v>0</v>
      </c>
    </row>
    <row r="187" spans="1:11" x14ac:dyDescent="0.25">
      <c r="A187">
        <v>747991</v>
      </c>
      <c r="B187">
        <v>936</v>
      </c>
      <c r="C187">
        <v>110966</v>
      </c>
      <c r="D187" t="s">
        <v>13</v>
      </c>
      <c r="E187" t="s">
        <v>16</v>
      </c>
      <c r="F187">
        <v>25</v>
      </c>
      <c r="G187">
        <v>4868</v>
      </c>
      <c r="H187">
        <v>2</v>
      </c>
      <c r="I187">
        <v>2.420000076</v>
      </c>
      <c r="J187">
        <v>1</v>
      </c>
      <c r="K187">
        <v>0</v>
      </c>
    </row>
    <row r="188" spans="1:11" x14ac:dyDescent="0.25">
      <c r="A188">
        <v>748000</v>
      </c>
      <c r="B188">
        <v>936</v>
      </c>
      <c r="C188">
        <v>110967</v>
      </c>
      <c r="D188" t="s">
        <v>13</v>
      </c>
      <c r="E188" t="s">
        <v>16</v>
      </c>
      <c r="F188">
        <v>26</v>
      </c>
      <c r="G188">
        <v>6585</v>
      </c>
      <c r="H188">
        <v>2</v>
      </c>
      <c r="I188">
        <v>2.9500000480000002</v>
      </c>
      <c r="J188">
        <v>1</v>
      </c>
      <c r="K188">
        <v>0</v>
      </c>
    </row>
    <row r="189" spans="1:11" x14ac:dyDescent="0.25">
      <c r="A189">
        <v>748007</v>
      </c>
      <c r="B189">
        <v>936</v>
      </c>
      <c r="C189">
        <v>110968</v>
      </c>
      <c r="D189" t="s">
        <v>13</v>
      </c>
      <c r="E189" t="s">
        <v>16</v>
      </c>
      <c r="F189">
        <v>27</v>
      </c>
      <c r="G189">
        <v>10164</v>
      </c>
      <c r="H189">
        <v>2</v>
      </c>
      <c r="I189">
        <v>3.7200000289999999</v>
      </c>
      <c r="J189">
        <v>1</v>
      </c>
      <c r="K189">
        <v>1</v>
      </c>
    </row>
    <row r="190" spans="1:11" x14ac:dyDescent="0.25">
      <c r="A190">
        <v>748014</v>
      </c>
      <c r="B190">
        <v>936</v>
      </c>
      <c r="C190">
        <v>110970</v>
      </c>
      <c r="D190" t="s">
        <v>13</v>
      </c>
      <c r="E190" t="s">
        <v>16</v>
      </c>
      <c r="F190">
        <v>29</v>
      </c>
      <c r="G190">
        <v>11182</v>
      </c>
      <c r="H190">
        <v>4</v>
      </c>
      <c r="I190">
        <v>4.4499998090000004</v>
      </c>
      <c r="J190">
        <v>1</v>
      </c>
      <c r="K190">
        <v>0</v>
      </c>
    </row>
    <row r="191" spans="1:11" x14ac:dyDescent="0.25">
      <c r="A191">
        <v>748045</v>
      </c>
      <c r="B191">
        <v>936</v>
      </c>
      <c r="C191">
        <v>110975</v>
      </c>
      <c r="D191" t="s">
        <v>13</v>
      </c>
      <c r="E191" t="s">
        <v>16</v>
      </c>
      <c r="F191">
        <v>63</v>
      </c>
      <c r="G191">
        <v>1238</v>
      </c>
      <c r="H191">
        <v>0</v>
      </c>
      <c r="I191">
        <v>0</v>
      </c>
      <c r="J191">
        <v>1</v>
      </c>
      <c r="K191">
        <v>0</v>
      </c>
    </row>
    <row r="192" spans="1:11" x14ac:dyDescent="0.25">
      <c r="A192">
        <v>748086</v>
      </c>
      <c r="B192">
        <v>936</v>
      </c>
      <c r="C192">
        <v>110982</v>
      </c>
      <c r="D192" t="s">
        <v>14</v>
      </c>
      <c r="E192" t="s">
        <v>16</v>
      </c>
      <c r="F192">
        <v>16</v>
      </c>
      <c r="G192">
        <v>34127</v>
      </c>
      <c r="H192">
        <v>8</v>
      </c>
      <c r="I192">
        <v>13.07000017</v>
      </c>
      <c r="J192">
        <v>1</v>
      </c>
      <c r="K192">
        <v>0</v>
      </c>
    </row>
    <row r="193" spans="1:11" x14ac:dyDescent="0.25">
      <c r="A193">
        <v>748087</v>
      </c>
      <c r="B193">
        <v>936</v>
      </c>
      <c r="C193">
        <v>110982</v>
      </c>
      <c r="D193" t="s">
        <v>14</v>
      </c>
      <c r="E193" t="s">
        <v>16</v>
      </c>
      <c r="F193">
        <v>16</v>
      </c>
      <c r="G193">
        <v>29466</v>
      </c>
      <c r="H193">
        <v>7</v>
      </c>
      <c r="I193">
        <v>10.849999670000001</v>
      </c>
      <c r="J193">
        <v>2</v>
      </c>
      <c r="K193">
        <v>0</v>
      </c>
    </row>
    <row r="194" spans="1:11" x14ac:dyDescent="0.25">
      <c r="A194">
        <v>748089</v>
      </c>
      <c r="B194">
        <v>936</v>
      </c>
      <c r="C194">
        <v>110982</v>
      </c>
      <c r="D194" t="s">
        <v>14</v>
      </c>
      <c r="E194" t="s">
        <v>16</v>
      </c>
      <c r="F194">
        <v>16</v>
      </c>
      <c r="G194">
        <v>38759</v>
      </c>
      <c r="H194">
        <v>9</v>
      </c>
      <c r="I194">
        <v>10.849999670000001</v>
      </c>
      <c r="J194">
        <v>1</v>
      </c>
      <c r="K194">
        <v>0</v>
      </c>
    </row>
    <row r="195" spans="1:11" x14ac:dyDescent="0.25">
      <c r="A195">
        <v>748091</v>
      </c>
      <c r="B195">
        <v>936</v>
      </c>
      <c r="C195">
        <v>110982</v>
      </c>
      <c r="D195" t="s">
        <v>14</v>
      </c>
      <c r="E195" t="s">
        <v>16</v>
      </c>
      <c r="F195">
        <v>16</v>
      </c>
      <c r="G195">
        <v>41720</v>
      </c>
      <c r="H195">
        <v>10</v>
      </c>
      <c r="I195">
        <v>12.06000006</v>
      </c>
      <c r="J195">
        <v>1</v>
      </c>
      <c r="K195">
        <v>1</v>
      </c>
    </row>
    <row r="196" spans="1:11" x14ac:dyDescent="0.25">
      <c r="A196">
        <v>748225</v>
      </c>
      <c r="B196">
        <v>936</v>
      </c>
      <c r="C196">
        <v>111005</v>
      </c>
      <c r="D196" t="s">
        <v>15</v>
      </c>
      <c r="E196" t="s">
        <v>16</v>
      </c>
      <c r="F196">
        <v>15</v>
      </c>
      <c r="G196">
        <v>18602</v>
      </c>
      <c r="H196">
        <v>5</v>
      </c>
      <c r="I196">
        <v>8.8600001339999999</v>
      </c>
      <c r="J196">
        <v>1</v>
      </c>
      <c r="K196">
        <v>0</v>
      </c>
    </row>
    <row r="197" spans="1:11" x14ac:dyDescent="0.25">
      <c r="A197">
        <v>748230</v>
      </c>
      <c r="B197">
        <v>936</v>
      </c>
      <c r="C197">
        <v>111006</v>
      </c>
      <c r="D197" t="s">
        <v>15</v>
      </c>
      <c r="E197" t="s">
        <v>16</v>
      </c>
      <c r="F197">
        <v>16</v>
      </c>
      <c r="G197">
        <v>83929</v>
      </c>
      <c r="H197">
        <v>21</v>
      </c>
      <c r="I197">
        <v>27.729999540000001</v>
      </c>
      <c r="J197">
        <v>4</v>
      </c>
      <c r="K197">
        <v>1</v>
      </c>
    </row>
    <row r="198" spans="1:11" x14ac:dyDescent="0.25">
      <c r="A198">
        <v>748231</v>
      </c>
      <c r="B198">
        <v>936</v>
      </c>
      <c r="C198">
        <v>111006</v>
      </c>
      <c r="D198" t="s">
        <v>15</v>
      </c>
      <c r="E198" t="s">
        <v>16</v>
      </c>
      <c r="F198">
        <v>16</v>
      </c>
      <c r="G198">
        <v>25194</v>
      </c>
      <c r="H198">
        <v>6</v>
      </c>
      <c r="I198">
        <v>7.3499999049999998</v>
      </c>
      <c r="J198">
        <v>1</v>
      </c>
      <c r="K198">
        <v>0</v>
      </c>
    </row>
    <row r="199" spans="1:11" x14ac:dyDescent="0.25">
      <c r="A199">
        <v>748233</v>
      </c>
      <c r="B199">
        <v>936</v>
      </c>
      <c r="C199">
        <v>111006</v>
      </c>
      <c r="D199" t="s">
        <v>15</v>
      </c>
      <c r="E199" t="s">
        <v>16</v>
      </c>
      <c r="F199">
        <v>16</v>
      </c>
      <c r="G199">
        <v>78627</v>
      </c>
      <c r="H199">
        <v>19</v>
      </c>
      <c r="I199">
        <v>26.530000449999999</v>
      </c>
      <c r="J199">
        <v>1</v>
      </c>
      <c r="K199">
        <v>0</v>
      </c>
    </row>
    <row r="200" spans="1:11" x14ac:dyDescent="0.25">
      <c r="A200">
        <v>748235</v>
      </c>
      <c r="B200">
        <v>936</v>
      </c>
      <c r="C200">
        <v>111006</v>
      </c>
      <c r="D200" t="s">
        <v>15</v>
      </c>
      <c r="E200" t="s">
        <v>16</v>
      </c>
      <c r="F200">
        <v>16</v>
      </c>
      <c r="G200">
        <v>102695</v>
      </c>
      <c r="H200">
        <v>25</v>
      </c>
      <c r="I200">
        <v>39.42999983</v>
      </c>
      <c r="J200">
        <v>3</v>
      </c>
      <c r="K200">
        <v>0</v>
      </c>
    </row>
    <row r="201" spans="1:11" x14ac:dyDescent="0.25">
      <c r="A201">
        <v>748294</v>
      </c>
      <c r="B201">
        <v>936</v>
      </c>
      <c r="C201">
        <v>111016</v>
      </c>
      <c r="D201" t="s">
        <v>15</v>
      </c>
      <c r="E201" t="s">
        <v>16</v>
      </c>
      <c r="F201">
        <v>27</v>
      </c>
      <c r="G201">
        <v>82827</v>
      </c>
      <c r="H201">
        <v>24</v>
      </c>
      <c r="I201">
        <v>47.930000309999997</v>
      </c>
      <c r="J201">
        <v>3</v>
      </c>
      <c r="K201">
        <v>0</v>
      </c>
    </row>
    <row r="202" spans="1:11" x14ac:dyDescent="0.25">
      <c r="A202">
        <v>748295</v>
      </c>
      <c r="B202">
        <v>936</v>
      </c>
      <c r="C202">
        <v>111016</v>
      </c>
      <c r="D202" t="s">
        <v>15</v>
      </c>
      <c r="E202" t="s">
        <v>16</v>
      </c>
      <c r="F202">
        <v>27</v>
      </c>
      <c r="G202">
        <v>9240</v>
      </c>
      <c r="H202">
        <v>3</v>
      </c>
      <c r="I202">
        <v>6.0399999619999996</v>
      </c>
      <c r="J202">
        <v>1</v>
      </c>
      <c r="K202">
        <v>0</v>
      </c>
    </row>
    <row r="203" spans="1:11" x14ac:dyDescent="0.25">
      <c r="A203">
        <v>748303</v>
      </c>
      <c r="B203">
        <v>936</v>
      </c>
      <c r="C203">
        <v>111018</v>
      </c>
      <c r="D203" t="s">
        <v>15</v>
      </c>
      <c r="E203" t="s">
        <v>16</v>
      </c>
      <c r="F203">
        <v>29</v>
      </c>
      <c r="G203">
        <v>7706</v>
      </c>
      <c r="H203">
        <v>2</v>
      </c>
      <c r="I203">
        <v>2.369999886</v>
      </c>
      <c r="J203">
        <v>1</v>
      </c>
      <c r="K203">
        <v>0</v>
      </c>
    </row>
    <row r="204" spans="1:11" x14ac:dyDescent="0.25">
      <c r="A204">
        <v>748314</v>
      </c>
      <c r="B204">
        <v>936</v>
      </c>
      <c r="C204">
        <v>111020</v>
      </c>
      <c r="D204" t="s">
        <v>15</v>
      </c>
      <c r="E204" t="s">
        <v>16</v>
      </c>
      <c r="F204">
        <v>31</v>
      </c>
      <c r="G204">
        <v>7821</v>
      </c>
      <c r="H204">
        <v>4</v>
      </c>
      <c r="I204">
        <v>6.3400001530000001</v>
      </c>
      <c r="J204">
        <v>1</v>
      </c>
      <c r="K204">
        <v>1</v>
      </c>
    </row>
    <row r="205" spans="1:11" x14ac:dyDescent="0.25">
      <c r="A205">
        <v>748341</v>
      </c>
      <c r="B205">
        <v>936</v>
      </c>
      <c r="C205">
        <v>111024</v>
      </c>
      <c r="D205" t="s">
        <v>15</v>
      </c>
      <c r="E205" t="s">
        <v>16</v>
      </c>
      <c r="F205">
        <v>64</v>
      </c>
      <c r="G205">
        <v>1363</v>
      </c>
      <c r="H205">
        <v>0</v>
      </c>
      <c r="I205">
        <v>0</v>
      </c>
      <c r="J205">
        <v>1</v>
      </c>
      <c r="K205">
        <v>1</v>
      </c>
    </row>
    <row r="206" spans="1:11" x14ac:dyDescent="0.25">
      <c r="A206">
        <v>776318</v>
      </c>
      <c r="B206">
        <v>936</v>
      </c>
      <c r="C206">
        <v>115484</v>
      </c>
      <c r="D206" t="s">
        <v>15</v>
      </c>
      <c r="E206" t="s">
        <v>16</v>
      </c>
      <c r="F206">
        <v>15</v>
      </c>
      <c r="G206">
        <v>3569</v>
      </c>
      <c r="H206">
        <v>0</v>
      </c>
      <c r="I206">
        <v>0</v>
      </c>
      <c r="J206">
        <v>1</v>
      </c>
      <c r="K206">
        <v>1</v>
      </c>
    </row>
    <row r="207" spans="1:11" x14ac:dyDescent="0.25">
      <c r="A207">
        <v>776322</v>
      </c>
      <c r="B207">
        <v>936</v>
      </c>
      <c r="C207">
        <v>115485</v>
      </c>
      <c r="D207" t="s">
        <v>15</v>
      </c>
      <c r="E207" t="s">
        <v>16</v>
      </c>
      <c r="F207">
        <v>16</v>
      </c>
      <c r="G207">
        <v>119063</v>
      </c>
      <c r="H207">
        <v>34</v>
      </c>
      <c r="I207">
        <v>53.219999489999999</v>
      </c>
      <c r="J207">
        <v>1</v>
      </c>
      <c r="K207">
        <v>0</v>
      </c>
    </row>
    <row r="208" spans="1:11" x14ac:dyDescent="0.25">
      <c r="A208">
        <v>776323</v>
      </c>
      <c r="B208">
        <v>936</v>
      </c>
      <c r="C208">
        <v>115485</v>
      </c>
      <c r="D208" t="s">
        <v>15</v>
      </c>
      <c r="E208" t="s">
        <v>16</v>
      </c>
      <c r="F208">
        <v>16</v>
      </c>
      <c r="G208">
        <v>99078</v>
      </c>
      <c r="H208">
        <v>23</v>
      </c>
      <c r="I208">
        <v>35.799999479999997</v>
      </c>
      <c r="J208">
        <v>2</v>
      </c>
      <c r="K208">
        <v>0</v>
      </c>
    </row>
    <row r="209" spans="1:11" x14ac:dyDescent="0.25">
      <c r="A209">
        <v>776325</v>
      </c>
      <c r="B209">
        <v>936</v>
      </c>
      <c r="C209">
        <v>115485</v>
      </c>
      <c r="D209" t="s">
        <v>15</v>
      </c>
      <c r="E209" t="s">
        <v>16</v>
      </c>
      <c r="F209">
        <v>16</v>
      </c>
      <c r="G209">
        <v>452398</v>
      </c>
      <c r="H209">
        <v>114</v>
      </c>
      <c r="I209">
        <v>180.22000120000001</v>
      </c>
      <c r="J209">
        <v>1</v>
      </c>
      <c r="K209">
        <v>0</v>
      </c>
    </row>
    <row r="210" spans="1:11" x14ac:dyDescent="0.25">
      <c r="A210">
        <v>776334</v>
      </c>
      <c r="B210">
        <v>936</v>
      </c>
      <c r="C210">
        <v>115487</v>
      </c>
      <c r="D210" t="s">
        <v>15</v>
      </c>
      <c r="E210" t="s">
        <v>16</v>
      </c>
      <c r="F210">
        <v>10</v>
      </c>
      <c r="G210">
        <v>191223</v>
      </c>
      <c r="H210">
        <v>48</v>
      </c>
      <c r="I210">
        <v>76.41000056</v>
      </c>
      <c r="J210">
        <v>1</v>
      </c>
      <c r="K210">
        <v>0</v>
      </c>
    </row>
    <row r="211" spans="1:11" x14ac:dyDescent="0.25">
      <c r="A211">
        <v>776336</v>
      </c>
      <c r="B211">
        <v>936</v>
      </c>
      <c r="C211">
        <v>115487</v>
      </c>
      <c r="D211" t="s">
        <v>15</v>
      </c>
      <c r="E211" t="s">
        <v>16</v>
      </c>
      <c r="F211">
        <v>10</v>
      </c>
      <c r="G211">
        <v>22216</v>
      </c>
      <c r="H211">
        <v>6</v>
      </c>
      <c r="I211">
        <v>9.5499999520000003</v>
      </c>
      <c r="J211">
        <v>1</v>
      </c>
      <c r="K211">
        <v>0</v>
      </c>
    </row>
    <row r="212" spans="1:11" x14ac:dyDescent="0.25">
      <c r="A212">
        <v>776338</v>
      </c>
      <c r="B212">
        <v>936</v>
      </c>
      <c r="C212">
        <v>115487</v>
      </c>
      <c r="D212" t="s">
        <v>15</v>
      </c>
      <c r="E212" t="s">
        <v>16</v>
      </c>
      <c r="F212">
        <v>10</v>
      </c>
      <c r="G212">
        <v>48291</v>
      </c>
      <c r="H212">
        <v>11</v>
      </c>
      <c r="I212">
        <v>18.019999980000001</v>
      </c>
      <c r="J212">
        <v>1</v>
      </c>
      <c r="K212">
        <v>0</v>
      </c>
    </row>
    <row r="213" spans="1:11" x14ac:dyDescent="0.25">
      <c r="A213">
        <v>776353</v>
      </c>
      <c r="B213">
        <v>936</v>
      </c>
      <c r="C213">
        <v>115490</v>
      </c>
      <c r="D213" t="s">
        <v>14</v>
      </c>
      <c r="E213" t="s">
        <v>16</v>
      </c>
      <c r="F213">
        <v>63</v>
      </c>
      <c r="G213">
        <v>27559</v>
      </c>
      <c r="H213">
        <v>8</v>
      </c>
      <c r="I213">
        <v>13.37</v>
      </c>
      <c r="J213">
        <v>1</v>
      </c>
      <c r="K213">
        <v>0</v>
      </c>
    </row>
    <row r="214" spans="1:11" x14ac:dyDescent="0.25">
      <c r="A214">
        <v>776373</v>
      </c>
      <c r="B214">
        <v>936</v>
      </c>
      <c r="C214">
        <v>115493</v>
      </c>
      <c r="D214" t="s">
        <v>15</v>
      </c>
      <c r="E214" t="s">
        <v>16</v>
      </c>
      <c r="F214">
        <v>25</v>
      </c>
      <c r="G214">
        <v>10194</v>
      </c>
      <c r="H214">
        <v>4</v>
      </c>
      <c r="I214">
        <v>4.5900000329999999</v>
      </c>
      <c r="J214">
        <v>2</v>
      </c>
      <c r="K214">
        <v>1</v>
      </c>
    </row>
    <row r="215" spans="1:11" x14ac:dyDescent="0.25">
      <c r="A215">
        <v>776383</v>
      </c>
      <c r="B215">
        <v>936</v>
      </c>
      <c r="C215">
        <v>115495</v>
      </c>
      <c r="D215" t="s">
        <v>15</v>
      </c>
      <c r="E215" t="s">
        <v>16</v>
      </c>
      <c r="F215">
        <v>23</v>
      </c>
      <c r="G215">
        <v>1168</v>
      </c>
      <c r="H215">
        <v>0</v>
      </c>
      <c r="I215">
        <v>0</v>
      </c>
      <c r="J215">
        <v>1</v>
      </c>
      <c r="K215">
        <v>1</v>
      </c>
    </row>
    <row r="216" spans="1:11" x14ac:dyDescent="0.25">
      <c r="A216">
        <v>776405</v>
      </c>
      <c r="B216">
        <v>936</v>
      </c>
      <c r="C216">
        <v>115498</v>
      </c>
      <c r="D216" t="s">
        <v>15</v>
      </c>
      <c r="E216" t="s">
        <v>16</v>
      </c>
      <c r="F216">
        <v>21</v>
      </c>
      <c r="G216">
        <v>40126</v>
      </c>
      <c r="H216">
        <v>16</v>
      </c>
      <c r="I216">
        <v>25.86000001</v>
      </c>
      <c r="J216">
        <v>1</v>
      </c>
      <c r="K216">
        <v>0</v>
      </c>
    </row>
    <row r="217" spans="1:11" x14ac:dyDescent="0.25">
      <c r="A217">
        <v>776416</v>
      </c>
      <c r="B217">
        <v>936</v>
      </c>
      <c r="C217">
        <v>115500</v>
      </c>
      <c r="D217" t="s">
        <v>15</v>
      </c>
      <c r="E217" t="s">
        <v>16</v>
      </c>
      <c r="F217">
        <v>19</v>
      </c>
      <c r="G217">
        <v>3659</v>
      </c>
      <c r="H217">
        <v>1</v>
      </c>
      <c r="I217">
        <v>0.49000000999999999</v>
      </c>
      <c r="J217">
        <v>1</v>
      </c>
      <c r="K217">
        <v>1</v>
      </c>
    </row>
    <row r="218" spans="1:11" x14ac:dyDescent="0.25">
      <c r="A218">
        <v>776430</v>
      </c>
      <c r="B218">
        <v>936</v>
      </c>
      <c r="C218">
        <v>115503</v>
      </c>
      <c r="D218" t="s">
        <v>11</v>
      </c>
      <c r="E218" t="s">
        <v>12</v>
      </c>
      <c r="F218">
        <v>10</v>
      </c>
      <c r="G218">
        <v>3200</v>
      </c>
      <c r="H218">
        <v>0</v>
      </c>
      <c r="I218">
        <v>0</v>
      </c>
      <c r="J218">
        <v>1</v>
      </c>
      <c r="K218">
        <v>0</v>
      </c>
    </row>
    <row r="219" spans="1:11" x14ac:dyDescent="0.25">
      <c r="A219">
        <v>776464</v>
      </c>
      <c r="B219">
        <v>936</v>
      </c>
      <c r="C219">
        <v>115508</v>
      </c>
      <c r="D219" t="s">
        <v>15</v>
      </c>
      <c r="E219" t="s">
        <v>16</v>
      </c>
      <c r="F219">
        <v>29</v>
      </c>
      <c r="G219">
        <v>7550</v>
      </c>
      <c r="H219">
        <v>1</v>
      </c>
      <c r="I219">
        <v>1.6799999480000001</v>
      </c>
      <c r="J219">
        <v>1</v>
      </c>
      <c r="K219">
        <v>1</v>
      </c>
    </row>
    <row r="220" spans="1:11" x14ac:dyDescent="0.25">
      <c r="A220">
        <v>776469</v>
      </c>
      <c r="B220">
        <v>936</v>
      </c>
      <c r="C220">
        <v>115509</v>
      </c>
      <c r="D220" t="s">
        <v>15</v>
      </c>
      <c r="E220" t="s">
        <v>16</v>
      </c>
      <c r="F220">
        <v>28</v>
      </c>
      <c r="G220">
        <v>45397</v>
      </c>
      <c r="H220">
        <v>15</v>
      </c>
      <c r="I220">
        <v>25.419999359999998</v>
      </c>
      <c r="J220">
        <v>1</v>
      </c>
      <c r="K220">
        <v>1</v>
      </c>
    </row>
    <row r="221" spans="1:11" x14ac:dyDescent="0.25">
      <c r="A221">
        <v>776473</v>
      </c>
      <c r="B221">
        <v>936</v>
      </c>
      <c r="C221">
        <v>115510</v>
      </c>
      <c r="D221" t="s">
        <v>11</v>
      </c>
      <c r="E221" t="s">
        <v>12</v>
      </c>
      <c r="F221">
        <v>16</v>
      </c>
      <c r="G221">
        <v>23086</v>
      </c>
      <c r="H221">
        <v>2</v>
      </c>
      <c r="I221">
        <v>3.3100000619999999</v>
      </c>
      <c r="J221">
        <v>1</v>
      </c>
      <c r="K221">
        <v>1</v>
      </c>
    </row>
    <row r="222" spans="1:11" x14ac:dyDescent="0.25">
      <c r="A222">
        <v>776475</v>
      </c>
      <c r="B222">
        <v>936</v>
      </c>
      <c r="C222">
        <v>115510</v>
      </c>
      <c r="D222" t="s">
        <v>11</v>
      </c>
      <c r="E222" t="s">
        <v>12</v>
      </c>
      <c r="F222">
        <v>16</v>
      </c>
      <c r="G222">
        <v>16425</v>
      </c>
      <c r="H222">
        <v>1</v>
      </c>
      <c r="I222">
        <v>1.5499999520000001</v>
      </c>
      <c r="J222">
        <v>1</v>
      </c>
      <c r="K222">
        <v>0</v>
      </c>
    </row>
    <row r="223" spans="1:11" x14ac:dyDescent="0.25">
      <c r="A223">
        <v>776476</v>
      </c>
      <c r="B223">
        <v>936</v>
      </c>
      <c r="C223">
        <v>115510</v>
      </c>
      <c r="D223" t="s">
        <v>11</v>
      </c>
      <c r="E223" t="s">
        <v>12</v>
      </c>
      <c r="F223">
        <v>16</v>
      </c>
      <c r="G223">
        <v>43756</v>
      </c>
      <c r="H223">
        <v>5</v>
      </c>
      <c r="I223">
        <v>5.4399999379999997</v>
      </c>
      <c r="J223">
        <v>0</v>
      </c>
      <c r="K223">
        <v>0</v>
      </c>
    </row>
    <row r="224" spans="1:11" x14ac:dyDescent="0.25">
      <c r="A224">
        <v>776477</v>
      </c>
      <c r="B224">
        <v>936</v>
      </c>
      <c r="C224">
        <v>115510</v>
      </c>
      <c r="D224" t="s">
        <v>11</v>
      </c>
      <c r="E224" t="s">
        <v>12</v>
      </c>
      <c r="F224">
        <v>16</v>
      </c>
      <c r="G224">
        <v>9982</v>
      </c>
      <c r="H224">
        <v>0</v>
      </c>
      <c r="I224">
        <v>0</v>
      </c>
      <c r="J224">
        <v>1</v>
      </c>
      <c r="K224">
        <v>0</v>
      </c>
    </row>
    <row r="225" spans="1:11" x14ac:dyDescent="0.25">
      <c r="A225">
        <v>776489</v>
      </c>
      <c r="B225">
        <v>936</v>
      </c>
      <c r="C225">
        <v>115512</v>
      </c>
      <c r="D225" t="s">
        <v>15</v>
      </c>
      <c r="E225" t="s">
        <v>16</v>
      </c>
      <c r="F225">
        <v>26</v>
      </c>
      <c r="G225">
        <v>175389</v>
      </c>
      <c r="H225">
        <v>55</v>
      </c>
      <c r="I225">
        <v>81.609997870000001</v>
      </c>
      <c r="J225">
        <v>1</v>
      </c>
      <c r="K225">
        <v>0</v>
      </c>
    </row>
    <row r="226" spans="1:11" x14ac:dyDescent="0.25">
      <c r="A226">
        <v>776494</v>
      </c>
      <c r="B226">
        <v>936</v>
      </c>
      <c r="C226">
        <v>115513</v>
      </c>
      <c r="D226" t="s">
        <v>11</v>
      </c>
      <c r="E226" t="s">
        <v>12</v>
      </c>
      <c r="F226">
        <v>15</v>
      </c>
      <c r="G226">
        <v>7015</v>
      </c>
      <c r="H226">
        <v>0</v>
      </c>
      <c r="I226">
        <v>0</v>
      </c>
      <c r="J226">
        <v>1</v>
      </c>
      <c r="K226">
        <v>0</v>
      </c>
    </row>
    <row r="227" spans="1:11" x14ac:dyDescent="0.25">
      <c r="A227">
        <v>776515</v>
      </c>
      <c r="B227">
        <v>936</v>
      </c>
      <c r="C227">
        <v>115517</v>
      </c>
      <c r="D227" t="s">
        <v>15</v>
      </c>
      <c r="E227" t="s">
        <v>16</v>
      </c>
      <c r="F227">
        <v>65</v>
      </c>
      <c r="G227">
        <v>12706</v>
      </c>
      <c r="H227">
        <v>3</v>
      </c>
      <c r="I227">
        <v>4.98999989</v>
      </c>
      <c r="J227">
        <v>1</v>
      </c>
      <c r="K227">
        <v>1</v>
      </c>
    </row>
    <row r="228" spans="1:11" x14ac:dyDescent="0.25">
      <c r="A228">
        <v>776519</v>
      </c>
      <c r="B228">
        <v>936</v>
      </c>
      <c r="C228">
        <v>115517</v>
      </c>
      <c r="D228" t="s">
        <v>15</v>
      </c>
      <c r="E228" t="s">
        <v>16</v>
      </c>
      <c r="F228">
        <v>65</v>
      </c>
      <c r="G228">
        <v>70702</v>
      </c>
      <c r="H228">
        <v>20</v>
      </c>
      <c r="I228">
        <v>31.709999799999999</v>
      </c>
      <c r="J228">
        <v>1</v>
      </c>
      <c r="K228">
        <v>0</v>
      </c>
    </row>
    <row r="229" spans="1:11" x14ac:dyDescent="0.25">
      <c r="A229">
        <v>776533</v>
      </c>
      <c r="B229">
        <v>936</v>
      </c>
      <c r="C229">
        <v>115520</v>
      </c>
      <c r="D229" t="s">
        <v>15</v>
      </c>
      <c r="E229" t="s">
        <v>16</v>
      </c>
      <c r="F229">
        <v>63</v>
      </c>
      <c r="G229">
        <v>63927</v>
      </c>
      <c r="H229">
        <v>16</v>
      </c>
      <c r="I229">
        <v>25.520000459999999</v>
      </c>
      <c r="J229">
        <v>2</v>
      </c>
      <c r="K229">
        <v>0</v>
      </c>
    </row>
    <row r="230" spans="1:11" x14ac:dyDescent="0.25">
      <c r="A230">
        <v>776534</v>
      </c>
      <c r="B230">
        <v>936</v>
      </c>
      <c r="C230">
        <v>115520</v>
      </c>
      <c r="D230" t="s">
        <v>15</v>
      </c>
      <c r="E230" t="s">
        <v>16</v>
      </c>
      <c r="F230">
        <v>63</v>
      </c>
      <c r="G230">
        <v>15105</v>
      </c>
      <c r="H230">
        <v>3</v>
      </c>
      <c r="I230">
        <v>4.2599999899999998</v>
      </c>
      <c r="J230">
        <v>1</v>
      </c>
      <c r="K230">
        <v>0</v>
      </c>
    </row>
    <row r="231" spans="1:11" x14ac:dyDescent="0.25">
      <c r="A231">
        <v>776538</v>
      </c>
      <c r="B231">
        <v>936</v>
      </c>
      <c r="C231">
        <v>115521</v>
      </c>
      <c r="D231" t="s">
        <v>11</v>
      </c>
      <c r="E231" t="s">
        <v>16</v>
      </c>
      <c r="F231">
        <v>15</v>
      </c>
      <c r="G231">
        <v>8774</v>
      </c>
      <c r="H231">
        <v>1</v>
      </c>
      <c r="I231">
        <v>1.8300000430000001</v>
      </c>
      <c r="J231">
        <v>1</v>
      </c>
      <c r="K231">
        <v>0</v>
      </c>
    </row>
    <row r="232" spans="1:11" x14ac:dyDescent="0.25">
      <c r="A232">
        <v>776551</v>
      </c>
      <c r="B232">
        <v>936</v>
      </c>
      <c r="C232">
        <v>115523</v>
      </c>
      <c r="D232" t="s">
        <v>11</v>
      </c>
      <c r="E232" t="s">
        <v>16</v>
      </c>
      <c r="F232">
        <v>16</v>
      </c>
      <c r="G232">
        <v>14459</v>
      </c>
      <c r="H232">
        <v>1</v>
      </c>
      <c r="I232">
        <v>1.3899999860000001</v>
      </c>
      <c r="J232">
        <v>1</v>
      </c>
      <c r="K232">
        <v>0</v>
      </c>
    </row>
    <row r="233" spans="1:11" x14ac:dyDescent="0.25">
      <c r="A233">
        <v>776552</v>
      </c>
      <c r="B233">
        <v>936</v>
      </c>
      <c r="C233">
        <v>115523</v>
      </c>
      <c r="D233" t="s">
        <v>11</v>
      </c>
      <c r="E233" t="s">
        <v>16</v>
      </c>
      <c r="F233">
        <v>16</v>
      </c>
      <c r="G233">
        <v>21596</v>
      </c>
      <c r="H233">
        <v>2</v>
      </c>
      <c r="I233">
        <v>2.8099999430000002</v>
      </c>
      <c r="J233">
        <v>1</v>
      </c>
      <c r="K233">
        <v>0</v>
      </c>
    </row>
    <row r="234" spans="1:11" x14ac:dyDescent="0.25">
      <c r="A234">
        <v>776553</v>
      </c>
      <c r="B234">
        <v>936</v>
      </c>
      <c r="C234">
        <v>115523</v>
      </c>
      <c r="D234" t="s">
        <v>11</v>
      </c>
      <c r="E234" t="s">
        <v>16</v>
      </c>
      <c r="F234">
        <v>16</v>
      </c>
      <c r="G234">
        <v>66765</v>
      </c>
      <c r="H234">
        <v>8</v>
      </c>
      <c r="I234">
        <v>11.04999971</v>
      </c>
      <c r="J234">
        <v>1</v>
      </c>
      <c r="K234">
        <v>0</v>
      </c>
    </row>
    <row r="235" spans="1:11" x14ac:dyDescent="0.25">
      <c r="A235">
        <v>776563</v>
      </c>
      <c r="B235">
        <v>936</v>
      </c>
      <c r="C235">
        <v>115525</v>
      </c>
      <c r="D235" t="s">
        <v>11</v>
      </c>
      <c r="E235" t="s">
        <v>16</v>
      </c>
      <c r="F235">
        <v>7</v>
      </c>
      <c r="G235">
        <v>1369</v>
      </c>
      <c r="H235">
        <v>0</v>
      </c>
      <c r="I235">
        <v>0</v>
      </c>
      <c r="J235">
        <v>1</v>
      </c>
      <c r="K235">
        <v>1</v>
      </c>
    </row>
    <row r="236" spans="1:11" x14ac:dyDescent="0.25">
      <c r="A236">
        <v>776579</v>
      </c>
      <c r="B236">
        <v>936</v>
      </c>
      <c r="C236">
        <v>115527</v>
      </c>
      <c r="D236" t="s">
        <v>11</v>
      </c>
      <c r="E236" t="s">
        <v>16</v>
      </c>
      <c r="F236">
        <v>10</v>
      </c>
      <c r="G236">
        <v>26910</v>
      </c>
      <c r="H236">
        <v>5</v>
      </c>
      <c r="I236">
        <v>7.2299997810000001</v>
      </c>
      <c r="J236">
        <v>1</v>
      </c>
      <c r="K236">
        <v>0</v>
      </c>
    </row>
    <row r="237" spans="1:11" x14ac:dyDescent="0.25">
      <c r="A237">
        <v>776603</v>
      </c>
      <c r="B237">
        <v>936</v>
      </c>
      <c r="C237">
        <v>115531</v>
      </c>
      <c r="D237" t="s">
        <v>11</v>
      </c>
      <c r="E237" t="s">
        <v>16</v>
      </c>
      <c r="F237">
        <v>2</v>
      </c>
      <c r="G237">
        <v>506</v>
      </c>
      <c r="H237">
        <v>0</v>
      </c>
      <c r="I237">
        <v>0</v>
      </c>
      <c r="J237">
        <v>1</v>
      </c>
      <c r="K237">
        <v>0</v>
      </c>
    </row>
    <row r="238" spans="1:11" x14ac:dyDescent="0.25">
      <c r="A238">
        <v>776615</v>
      </c>
      <c r="B238">
        <v>936</v>
      </c>
      <c r="C238">
        <v>115533</v>
      </c>
      <c r="D238" t="s">
        <v>15</v>
      </c>
      <c r="E238" t="s">
        <v>12</v>
      </c>
      <c r="F238">
        <v>63</v>
      </c>
      <c r="G238">
        <v>11988</v>
      </c>
      <c r="H238">
        <v>3</v>
      </c>
      <c r="I238">
        <v>4.2699998619999997</v>
      </c>
      <c r="J238">
        <v>1</v>
      </c>
      <c r="K238">
        <v>0</v>
      </c>
    </row>
    <row r="239" spans="1:11" x14ac:dyDescent="0.25">
      <c r="A239">
        <v>776623</v>
      </c>
      <c r="B239">
        <v>936</v>
      </c>
      <c r="C239">
        <v>115535</v>
      </c>
      <c r="D239" t="s">
        <v>15</v>
      </c>
      <c r="E239" t="s">
        <v>12</v>
      </c>
      <c r="F239">
        <v>64</v>
      </c>
      <c r="G239">
        <v>19353</v>
      </c>
      <c r="H239">
        <v>6</v>
      </c>
      <c r="I239">
        <v>9.4799998999999993</v>
      </c>
      <c r="J239">
        <v>1</v>
      </c>
      <c r="K239">
        <v>1</v>
      </c>
    </row>
    <row r="240" spans="1:11" x14ac:dyDescent="0.25">
      <c r="A240">
        <v>776631</v>
      </c>
      <c r="B240">
        <v>936</v>
      </c>
      <c r="C240">
        <v>115536</v>
      </c>
      <c r="D240" t="s">
        <v>14</v>
      </c>
      <c r="E240" t="s">
        <v>12</v>
      </c>
      <c r="F240">
        <v>29</v>
      </c>
      <c r="G240">
        <v>10960</v>
      </c>
      <c r="H240">
        <v>2</v>
      </c>
      <c r="I240">
        <v>2.8900001049999999</v>
      </c>
      <c r="J240">
        <v>1</v>
      </c>
      <c r="K240">
        <v>0</v>
      </c>
    </row>
    <row r="241" spans="1:11" x14ac:dyDescent="0.25">
      <c r="A241">
        <v>776643</v>
      </c>
      <c r="B241">
        <v>936</v>
      </c>
      <c r="C241">
        <v>115538</v>
      </c>
      <c r="D241" t="s">
        <v>11</v>
      </c>
      <c r="E241" t="s">
        <v>12</v>
      </c>
      <c r="F241">
        <v>15</v>
      </c>
      <c r="G241">
        <v>33491</v>
      </c>
      <c r="H241">
        <v>6</v>
      </c>
      <c r="I241">
        <v>10.56999969</v>
      </c>
      <c r="J241">
        <v>2</v>
      </c>
      <c r="K241">
        <v>1</v>
      </c>
    </row>
    <row r="242" spans="1:11" x14ac:dyDescent="0.25">
      <c r="A242">
        <v>776644</v>
      </c>
      <c r="B242">
        <v>936</v>
      </c>
      <c r="C242">
        <v>115538</v>
      </c>
      <c r="D242" t="s">
        <v>11</v>
      </c>
      <c r="E242" t="s">
        <v>12</v>
      </c>
      <c r="F242">
        <v>15</v>
      </c>
      <c r="G242">
        <v>20083</v>
      </c>
      <c r="H242">
        <v>2</v>
      </c>
      <c r="I242">
        <v>3.2000000480000002</v>
      </c>
      <c r="J242">
        <v>2</v>
      </c>
      <c r="K242">
        <v>1</v>
      </c>
    </row>
    <row r="243" spans="1:11" x14ac:dyDescent="0.25">
      <c r="A243">
        <v>776659</v>
      </c>
      <c r="B243">
        <v>936</v>
      </c>
      <c r="C243">
        <v>115541</v>
      </c>
      <c r="D243" t="s">
        <v>11</v>
      </c>
      <c r="E243" t="s">
        <v>12</v>
      </c>
      <c r="F243">
        <v>16</v>
      </c>
      <c r="G243">
        <v>8817</v>
      </c>
      <c r="H243">
        <v>0</v>
      </c>
      <c r="I243">
        <v>0</v>
      </c>
      <c r="J243">
        <v>1</v>
      </c>
      <c r="K243">
        <v>1</v>
      </c>
    </row>
    <row r="244" spans="1:11" x14ac:dyDescent="0.25">
      <c r="A244">
        <v>776661</v>
      </c>
      <c r="B244">
        <v>936</v>
      </c>
      <c r="C244">
        <v>115541</v>
      </c>
      <c r="D244" t="s">
        <v>11</v>
      </c>
      <c r="E244" t="s">
        <v>12</v>
      </c>
      <c r="F244">
        <v>16</v>
      </c>
      <c r="G244">
        <v>15466</v>
      </c>
      <c r="H244">
        <v>1</v>
      </c>
      <c r="I244">
        <v>0.97000002900000004</v>
      </c>
      <c r="J244">
        <v>1</v>
      </c>
      <c r="K244">
        <v>0</v>
      </c>
    </row>
    <row r="245" spans="1:11" x14ac:dyDescent="0.25">
      <c r="A245">
        <v>776662</v>
      </c>
      <c r="B245">
        <v>936</v>
      </c>
      <c r="C245">
        <v>115541</v>
      </c>
      <c r="D245" t="s">
        <v>11</v>
      </c>
      <c r="E245" t="s">
        <v>12</v>
      </c>
      <c r="F245">
        <v>16</v>
      </c>
      <c r="G245">
        <v>27072</v>
      </c>
      <c r="H245">
        <v>3</v>
      </c>
      <c r="I245">
        <v>4.3700000049999996</v>
      </c>
      <c r="J245">
        <v>1</v>
      </c>
      <c r="K245">
        <v>0</v>
      </c>
    </row>
    <row r="246" spans="1:11" x14ac:dyDescent="0.25">
      <c r="A246">
        <v>776663</v>
      </c>
      <c r="B246">
        <v>936</v>
      </c>
      <c r="C246">
        <v>115541</v>
      </c>
      <c r="D246" t="s">
        <v>11</v>
      </c>
      <c r="E246" t="s">
        <v>12</v>
      </c>
      <c r="F246">
        <v>16</v>
      </c>
      <c r="G246">
        <v>15753</v>
      </c>
      <c r="H246">
        <v>1</v>
      </c>
      <c r="I246">
        <v>0.56999999300000004</v>
      </c>
      <c r="J246">
        <v>1</v>
      </c>
      <c r="K246">
        <v>1</v>
      </c>
    </row>
    <row r="247" spans="1:11" x14ac:dyDescent="0.25">
      <c r="A247">
        <v>776668</v>
      </c>
      <c r="B247">
        <v>936</v>
      </c>
      <c r="C247">
        <v>115542</v>
      </c>
      <c r="D247" t="s">
        <v>14</v>
      </c>
      <c r="E247" t="s">
        <v>12</v>
      </c>
      <c r="F247">
        <v>19</v>
      </c>
      <c r="G247">
        <v>3523</v>
      </c>
      <c r="H247">
        <v>1</v>
      </c>
      <c r="I247">
        <v>1.809999943</v>
      </c>
      <c r="J247">
        <v>1</v>
      </c>
      <c r="K247">
        <v>1</v>
      </c>
    </row>
    <row r="248" spans="1:11" x14ac:dyDescent="0.25">
      <c r="A248">
        <v>776685</v>
      </c>
      <c r="B248">
        <v>936</v>
      </c>
      <c r="C248">
        <v>115545</v>
      </c>
      <c r="D248" t="s">
        <v>14</v>
      </c>
      <c r="E248" t="s">
        <v>12</v>
      </c>
      <c r="F248">
        <v>16</v>
      </c>
      <c r="G248">
        <v>7745</v>
      </c>
      <c r="H248">
        <v>0</v>
      </c>
      <c r="I248">
        <v>0</v>
      </c>
      <c r="J248">
        <v>1</v>
      </c>
      <c r="K248">
        <v>0</v>
      </c>
    </row>
    <row r="249" spans="1:11" x14ac:dyDescent="0.25">
      <c r="A249">
        <v>776686</v>
      </c>
      <c r="B249">
        <v>936</v>
      </c>
      <c r="C249">
        <v>115545</v>
      </c>
      <c r="D249" t="s">
        <v>14</v>
      </c>
      <c r="E249" t="s">
        <v>12</v>
      </c>
      <c r="F249">
        <v>16</v>
      </c>
      <c r="G249">
        <v>18709</v>
      </c>
      <c r="H249">
        <v>2</v>
      </c>
      <c r="I249">
        <v>3.3199999330000001</v>
      </c>
      <c r="J249">
        <v>1</v>
      </c>
      <c r="K249">
        <v>0</v>
      </c>
    </row>
    <row r="250" spans="1:11" x14ac:dyDescent="0.25">
      <c r="A250">
        <v>776687</v>
      </c>
      <c r="B250">
        <v>936</v>
      </c>
      <c r="C250">
        <v>115545</v>
      </c>
      <c r="D250" t="s">
        <v>14</v>
      </c>
      <c r="E250" t="s">
        <v>12</v>
      </c>
      <c r="F250">
        <v>16</v>
      </c>
      <c r="G250">
        <v>8022</v>
      </c>
      <c r="H250">
        <v>0</v>
      </c>
      <c r="I250">
        <v>0</v>
      </c>
      <c r="J250">
        <v>2</v>
      </c>
      <c r="K250">
        <v>1</v>
      </c>
    </row>
    <row r="251" spans="1:11" x14ac:dyDescent="0.25">
      <c r="A251">
        <v>776696</v>
      </c>
      <c r="B251">
        <v>936</v>
      </c>
      <c r="C251">
        <v>115547</v>
      </c>
      <c r="D251" t="s">
        <v>11</v>
      </c>
      <c r="E251" t="s">
        <v>12</v>
      </c>
      <c r="F251">
        <v>10</v>
      </c>
      <c r="G251">
        <v>7966</v>
      </c>
      <c r="H251">
        <v>1</v>
      </c>
      <c r="I251">
        <v>1.1799999480000001</v>
      </c>
      <c r="J251">
        <v>1</v>
      </c>
      <c r="K251">
        <v>1</v>
      </c>
    </row>
    <row r="252" spans="1:11" x14ac:dyDescent="0.25">
      <c r="A252">
        <v>776697</v>
      </c>
      <c r="B252">
        <v>936</v>
      </c>
      <c r="C252">
        <v>115547</v>
      </c>
      <c r="D252" t="s">
        <v>11</v>
      </c>
      <c r="E252" t="s">
        <v>12</v>
      </c>
      <c r="F252">
        <v>10</v>
      </c>
      <c r="G252">
        <v>4132</v>
      </c>
      <c r="H252">
        <v>0</v>
      </c>
      <c r="I252">
        <v>0</v>
      </c>
      <c r="J252">
        <v>1</v>
      </c>
      <c r="K252">
        <v>1</v>
      </c>
    </row>
    <row r="253" spans="1:11" x14ac:dyDescent="0.25">
      <c r="A253">
        <v>776698</v>
      </c>
      <c r="B253">
        <v>936</v>
      </c>
      <c r="C253">
        <v>115547</v>
      </c>
      <c r="D253" t="s">
        <v>11</v>
      </c>
      <c r="E253" t="s">
        <v>12</v>
      </c>
      <c r="F253">
        <v>10</v>
      </c>
      <c r="G253">
        <v>12785</v>
      </c>
      <c r="H253">
        <v>3</v>
      </c>
      <c r="I253">
        <v>4.7300000190000002</v>
      </c>
      <c r="J253">
        <v>2</v>
      </c>
      <c r="K253">
        <v>1</v>
      </c>
    </row>
    <row r="254" spans="1:11" x14ac:dyDescent="0.25">
      <c r="A254">
        <v>776699</v>
      </c>
      <c r="B254">
        <v>936</v>
      </c>
      <c r="C254">
        <v>115547</v>
      </c>
      <c r="D254" t="s">
        <v>11</v>
      </c>
      <c r="E254" t="s">
        <v>12</v>
      </c>
      <c r="F254">
        <v>10</v>
      </c>
      <c r="G254">
        <v>8213</v>
      </c>
      <c r="H254">
        <v>1</v>
      </c>
      <c r="I254">
        <v>1.3799999949999999</v>
      </c>
      <c r="J254">
        <v>1</v>
      </c>
      <c r="K254">
        <v>1</v>
      </c>
    </row>
    <row r="255" spans="1:11" x14ac:dyDescent="0.25">
      <c r="A255">
        <v>776722</v>
      </c>
      <c r="B255">
        <v>936</v>
      </c>
      <c r="C255">
        <v>115551</v>
      </c>
      <c r="D255" t="s">
        <v>11</v>
      </c>
      <c r="E255" t="s">
        <v>12</v>
      </c>
      <c r="F255">
        <v>2</v>
      </c>
      <c r="G255">
        <v>545</v>
      </c>
      <c r="H255">
        <v>0</v>
      </c>
      <c r="I255">
        <v>0</v>
      </c>
      <c r="J255">
        <v>1</v>
      </c>
      <c r="K255">
        <v>1</v>
      </c>
    </row>
    <row r="256" spans="1:11" x14ac:dyDescent="0.25">
      <c r="A256">
        <v>776725</v>
      </c>
      <c r="B256">
        <v>936</v>
      </c>
      <c r="C256">
        <v>115552</v>
      </c>
      <c r="D256" t="s">
        <v>14</v>
      </c>
      <c r="E256" t="s">
        <v>12</v>
      </c>
      <c r="F256">
        <v>23</v>
      </c>
      <c r="G256">
        <v>2479</v>
      </c>
      <c r="H256">
        <v>1</v>
      </c>
      <c r="I256">
        <v>1.2599999900000001</v>
      </c>
      <c r="J256">
        <v>1</v>
      </c>
      <c r="K256">
        <v>0</v>
      </c>
    </row>
    <row r="257" spans="1:11" x14ac:dyDescent="0.25">
      <c r="A257">
        <v>776780</v>
      </c>
      <c r="B257">
        <v>936</v>
      </c>
      <c r="C257">
        <v>115561</v>
      </c>
      <c r="D257" t="s">
        <v>14</v>
      </c>
      <c r="E257" t="s">
        <v>12</v>
      </c>
      <c r="F257">
        <v>2</v>
      </c>
      <c r="G257">
        <v>3812</v>
      </c>
      <c r="H257">
        <v>2</v>
      </c>
      <c r="I257">
        <v>3.0499999519999998</v>
      </c>
      <c r="J257">
        <v>1</v>
      </c>
      <c r="K257">
        <v>0</v>
      </c>
    </row>
    <row r="258" spans="1:11" x14ac:dyDescent="0.25">
      <c r="A258">
        <v>776793</v>
      </c>
      <c r="B258">
        <v>936</v>
      </c>
      <c r="C258">
        <v>115563</v>
      </c>
      <c r="D258" t="s">
        <v>15</v>
      </c>
      <c r="E258" t="s">
        <v>12</v>
      </c>
      <c r="F258">
        <v>21</v>
      </c>
      <c r="G258">
        <v>1609</v>
      </c>
      <c r="H258">
        <v>0</v>
      </c>
      <c r="I258">
        <v>0</v>
      </c>
      <c r="J258">
        <v>1</v>
      </c>
      <c r="K258">
        <v>0</v>
      </c>
    </row>
    <row r="259" spans="1:11" x14ac:dyDescent="0.25">
      <c r="A259">
        <v>776799</v>
      </c>
      <c r="B259">
        <v>936</v>
      </c>
      <c r="C259">
        <v>115564</v>
      </c>
      <c r="D259" t="s">
        <v>15</v>
      </c>
      <c r="E259" t="s">
        <v>12</v>
      </c>
      <c r="F259">
        <v>20</v>
      </c>
      <c r="G259">
        <v>10257</v>
      </c>
      <c r="H259">
        <v>3</v>
      </c>
      <c r="I259">
        <v>3.579999924</v>
      </c>
      <c r="J259">
        <v>1</v>
      </c>
      <c r="K259">
        <v>1</v>
      </c>
    </row>
    <row r="260" spans="1:11" x14ac:dyDescent="0.25">
      <c r="A260">
        <v>776817</v>
      </c>
      <c r="B260">
        <v>936</v>
      </c>
      <c r="C260">
        <v>115567</v>
      </c>
      <c r="D260" t="s">
        <v>14</v>
      </c>
      <c r="E260" t="s">
        <v>12</v>
      </c>
      <c r="F260">
        <v>10</v>
      </c>
      <c r="G260">
        <v>12356</v>
      </c>
      <c r="H260">
        <v>4</v>
      </c>
      <c r="I260">
        <v>6.2799999709999996</v>
      </c>
      <c r="J260">
        <v>1</v>
      </c>
      <c r="K260">
        <v>0</v>
      </c>
    </row>
    <row r="261" spans="1:11" x14ac:dyDescent="0.25">
      <c r="A261">
        <v>776825</v>
      </c>
      <c r="B261">
        <v>936</v>
      </c>
      <c r="C261">
        <v>115568</v>
      </c>
      <c r="D261" t="s">
        <v>15</v>
      </c>
      <c r="E261" t="s">
        <v>12</v>
      </c>
      <c r="F261">
        <v>18</v>
      </c>
      <c r="G261">
        <v>7410</v>
      </c>
      <c r="H261">
        <v>1</v>
      </c>
      <c r="I261">
        <v>1.210000038</v>
      </c>
      <c r="J261">
        <v>1</v>
      </c>
      <c r="K261">
        <v>0</v>
      </c>
    </row>
    <row r="262" spans="1:11" x14ac:dyDescent="0.25">
      <c r="A262">
        <v>776829</v>
      </c>
      <c r="B262">
        <v>936</v>
      </c>
      <c r="C262">
        <v>115569</v>
      </c>
      <c r="D262" t="s">
        <v>15</v>
      </c>
      <c r="E262" t="s">
        <v>12</v>
      </c>
      <c r="F262">
        <v>16</v>
      </c>
      <c r="G262">
        <v>140098</v>
      </c>
      <c r="H262">
        <v>28</v>
      </c>
      <c r="I262">
        <v>46.630000109999997</v>
      </c>
      <c r="J262">
        <v>1</v>
      </c>
      <c r="K262">
        <v>0</v>
      </c>
    </row>
    <row r="263" spans="1:11" x14ac:dyDescent="0.25">
      <c r="A263">
        <v>776831</v>
      </c>
      <c r="B263">
        <v>936</v>
      </c>
      <c r="C263">
        <v>115569</v>
      </c>
      <c r="D263" t="s">
        <v>15</v>
      </c>
      <c r="E263" t="s">
        <v>12</v>
      </c>
      <c r="F263">
        <v>16</v>
      </c>
      <c r="G263">
        <v>107021</v>
      </c>
      <c r="H263">
        <v>20</v>
      </c>
      <c r="I263">
        <v>34.440000120000001</v>
      </c>
      <c r="J263">
        <v>1</v>
      </c>
      <c r="K263">
        <v>0</v>
      </c>
    </row>
    <row r="264" spans="1:11" x14ac:dyDescent="0.25">
      <c r="A264">
        <v>776840</v>
      </c>
      <c r="B264">
        <v>936</v>
      </c>
      <c r="C264">
        <v>115571</v>
      </c>
      <c r="D264" t="s">
        <v>13</v>
      </c>
      <c r="E264" t="s">
        <v>12</v>
      </c>
      <c r="F264">
        <v>36</v>
      </c>
      <c r="G264">
        <v>2797</v>
      </c>
      <c r="H264">
        <v>1</v>
      </c>
      <c r="I264">
        <v>1.289999962</v>
      </c>
      <c r="J264">
        <v>1</v>
      </c>
      <c r="K264">
        <v>0</v>
      </c>
    </row>
    <row r="265" spans="1:11" x14ac:dyDescent="0.25">
      <c r="A265">
        <v>776861</v>
      </c>
      <c r="B265">
        <v>936</v>
      </c>
      <c r="C265">
        <v>115574</v>
      </c>
      <c r="D265" t="s">
        <v>15</v>
      </c>
      <c r="E265" t="s">
        <v>12</v>
      </c>
      <c r="F265">
        <v>7</v>
      </c>
      <c r="G265">
        <v>16461</v>
      </c>
      <c r="H265">
        <v>6</v>
      </c>
      <c r="I265">
        <v>9.2199997899999993</v>
      </c>
      <c r="J265">
        <v>1</v>
      </c>
      <c r="K265">
        <v>0</v>
      </c>
    </row>
    <row r="266" spans="1:11" x14ac:dyDescent="0.25">
      <c r="A266">
        <v>776892</v>
      </c>
      <c r="B266">
        <v>936</v>
      </c>
      <c r="C266">
        <v>115580</v>
      </c>
      <c r="D266" t="s">
        <v>14</v>
      </c>
      <c r="E266" t="s">
        <v>12</v>
      </c>
      <c r="F266">
        <v>63</v>
      </c>
      <c r="G266">
        <v>17488</v>
      </c>
      <c r="H266">
        <v>5</v>
      </c>
      <c r="I266">
        <v>7.7199999090000002</v>
      </c>
      <c r="J266">
        <v>1</v>
      </c>
      <c r="K266">
        <v>0</v>
      </c>
    </row>
    <row r="267" spans="1:11" x14ac:dyDescent="0.25">
      <c r="A267">
        <v>776928</v>
      </c>
      <c r="B267">
        <v>936</v>
      </c>
      <c r="C267">
        <v>115586</v>
      </c>
      <c r="D267" t="s">
        <v>13</v>
      </c>
      <c r="E267" t="s">
        <v>12</v>
      </c>
      <c r="F267">
        <v>10</v>
      </c>
      <c r="G267">
        <v>9750</v>
      </c>
      <c r="H267">
        <v>2</v>
      </c>
      <c r="I267">
        <v>1.5</v>
      </c>
      <c r="J267">
        <v>1</v>
      </c>
      <c r="K267">
        <v>1</v>
      </c>
    </row>
    <row r="268" spans="1:11" x14ac:dyDescent="0.25">
      <c r="A268">
        <v>776935</v>
      </c>
      <c r="B268">
        <v>936</v>
      </c>
      <c r="C268">
        <v>115587</v>
      </c>
      <c r="D268" t="s">
        <v>15</v>
      </c>
      <c r="E268" t="s">
        <v>12</v>
      </c>
      <c r="F268">
        <v>36</v>
      </c>
      <c r="G268">
        <v>1136</v>
      </c>
      <c r="H268">
        <v>0</v>
      </c>
      <c r="I268">
        <v>0</v>
      </c>
      <c r="J268">
        <v>1</v>
      </c>
      <c r="K268">
        <v>1</v>
      </c>
    </row>
    <row r="269" spans="1:11" x14ac:dyDescent="0.25">
      <c r="A269">
        <v>777105</v>
      </c>
      <c r="B269">
        <v>936</v>
      </c>
      <c r="C269">
        <v>115615</v>
      </c>
      <c r="D269" t="s">
        <v>15</v>
      </c>
      <c r="E269" t="s">
        <v>12</v>
      </c>
      <c r="F269">
        <v>63</v>
      </c>
      <c r="G269">
        <v>4333</v>
      </c>
      <c r="H269">
        <v>1</v>
      </c>
      <c r="I269">
        <v>0.18000000699999999</v>
      </c>
      <c r="J269">
        <v>1</v>
      </c>
      <c r="K269">
        <v>1</v>
      </c>
    </row>
    <row r="270" spans="1:11" x14ac:dyDescent="0.25">
      <c r="A270">
        <v>777130</v>
      </c>
      <c r="B270">
        <v>936</v>
      </c>
      <c r="C270">
        <v>115619</v>
      </c>
      <c r="D270" t="s">
        <v>13</v>
      </c>
      <c r="E270" t="s">
        <v>12</v>
      </c>
      <c r="F270">
        <v>16</v>
      </c>
      <c r="G270">
        <v>6260</v>
      </c>
      <c r="H270">
        <v>0</v>
      </c>
      <c r="I270">
        <v>0</v>
      </c>
      <c r="J270">
        <v>1</v>
      </c>
      <c r="K270">
        <v>0</v>
      </c>
    </row>
    <row r="271" spans="1:11" x14ac:dyDescent="0.25">
      <c r="A271">
        <v>777131</v>
      </c>
      <c r="B271">
        <v>936</v>
      </c>
      <c r="C271">
        <v>115619</v>
      </c>
      <c r="D271" t="s">
        <v>13</v>
      </c>
      <c r="E271" t="s">
        <v>12</v>
      </c>
      <c r="F271">
        <v>16</v>
      </c>
      <c r="G271">
        <v>6359</v>
      </c>
      <c r="H271">
        <v>0</v>
      </c>
      <c r="I271">
        <v>0</v>
      </c>
      <c r="J271">
        <v>1</v>
      </c>
      <c r="K271">
        <v>0</v>
      </c>
    </row>
    <row r="272" spans="1:11" x14ac:dyDescent="0.25">
      <c r="A272">
        <v>777166</v>
      </c>
      <c r="B272">
        <v>936</v>
      </c>
      <c r="C272">
        <v>115625</v>
      </c>
      <c r="D272" t="s">
        <v>11</v>
      </c>
      <c r="E272" t="s">
        <v>12</v>
      </c>
      <c r="F272">
        <v>63</v>
      </c>
      <c r="G272">
        <v>2383</v>
      </c>
      <c r="H272">
        <v>0</v>
      </c>
      <c r="I272">
        <v>0</v>
      </c>
      <c r="J272">
        <v>1</v>
      </c>
      <c r="K272">
        <v>1</v>
      </c>
    </row>
    <row r="273" spans="1:11" x14ac:dyDescent="0.25">
      <c r="A273">
        <v>777187</v>
      </c>
      <c r="B273">
        <v>936</v>
      </c>
      <c r="C273">
        <v>115629</v>
      </c>
      <c r="D273" t="s">
        <v>14</v>
      </c>
      <c r="E273" t="s">
        <v>12</v>
      </c>
      <c r="F273">
        <v>27</v>
      </c>
      <c r="G273">
        <v>11292</v>
      </c>
      <c r="H273">
        <v>3</v>
      </c>
      <c r="I273">
        <v>5.3899998660000001</v>
      </c>
      <c r="J273">
        <v>1</v>
      </c>
      <c r="K273">
        <v>1</v>
      </c>
    </row>
    <row r="274" spans="1:11" x14ac:dyDescent="0.25">
      <c r="A274">
        <v>777198</v>
      </c>
      <c r="B274">
        <v>936</v>
      </c>
      <c r="C274">
        <v>115631</v>
      </c>
      <c r="D274" t="s">
        <v>11</v>
      </c>
      <c r="E274" t="s">
        <v>12</v>
      </c>
      <c r="F274">
        <v>64</v>
      </c>
      <c r="G274">
        <v>12729</v>
      </c>
      <c r="H274">
        <v>4</v>
      </c>
      <c r="I274">
        <v>5.7799998520000004</v>
      </c>
      <c r="J274">
        <v>1</v>
      </c>
      <c r="K274">
        <v>0</v>
      </c>
    </row>
    <row r="275" spans="1:11" x14ac:dyDescent="0.25">
      <c r="A275">
        <v>777200</v>
      </c>
      <c r="B275">
        <v>936</v>
      </c>
      <c r="C275">
        <v>115631</v>
      </c>
      <c r="D275" t="s">
        <v>11</v>
      </c>
      <c r="E275" t="s">
        <v>12</v>
      </c>
      <c r="F275">
        <v>64</v>
      </c>
      <c r="G275">
        <v>1898</v>
      </c>
      <c r="H275">
        <v>0</v>
      </c>
      <c r="I275">
        <v>0</v>
      </c>
      <c r="J275">
        <v>1</v>
      </c>
      <c r="K275">
        <v>1</v>
      </c>
    </row>
    <row r="276" spans="1:11" x14ac:dyDescent="0.25">
      <c r="A276">
        <v>777201</v>
      </c>
      <c r="B276">
        <v>936</v>
      </c>
      <c r="C276">
        <v>115631</v>
      </c>
      <c r="D276" t="s">
        <v>11</v>
      </c>
      <c r="E276" t="s">
        <v>12</v>
      </c>
      <c r="F276">
        <v>64</v>
      </c>
      <c r="G276">
        <v>1882</v>
      </c>
      <c r="H276">
        <v>0</v>
      </c>
      <c r="I276">
        <v>0</v>
      </c>
      <c r="J276">
        <v>1</v>
      </c>
      <c r="K276">
        <v>1</v>
      </c>
    </row>
    <row r="277" spans="1:11" x14ac:dyDescent="0.25">
      <c r="A277">
        <v>777235</v>
      </c>
      <c r="B277">
        <v>936</v>
      </c>
      <c r="C277">
        <v>115637</v>
      </c>
      <c r="D277" t="s">
        <v>11</v>
      </c>
      <c r="E277" t="s">
        <v>12</v>
      </c>
      <c r="F277">
        <v>65</v>
      </c>
      <c r="G277">
        <v>2883</v>
      </c>
      <c r="H277">
        <v>1</v>
      </c>
      <c r="I277">
        <v>0.99000001000000004</v>
      </c>
      <c r="J277">
        <v>1</v>
      </c>
      <c r="K277">
        <v>1</v>
      </c>
    </row>
    <row r="278" spans="1:11" x14ac:dyDescent="0.25">
      <c r="A278">
        <v>777248</v>
      </c>
      <c r="B278">
        <v>936</v>
      </c>
      <c r="C278">
        <v>115639</v>
      </c>
      <c r="D278" t="s">
        <v>11</v>
      </c>
      <c r="E278" t="s">
        <v>16</v>
      </c>
      <c r="F278">
        <v>7</v>
      </c>
      <c r="G278">
        <v>3989</v>
      </c>
      <c r="H278">
        <v>1</v>
      </c>
      <c r="I278">
        <v>1.2799999710000001</v>
      </c>
      <c r="J278">
        <v>1</v>
      </c>
      <c r="K278">
        <v>0</v>
      </c>
    </row>
    <row r="279" spans="1:11" x14ac:dyDescent="0.25">
      <c r="A279">
        <v>777261</v>
      </c>
      <c r="B279">
        <v>936</v>
      </c>
      <c r="C279">
        <v>115641</v>
      </c>
      <c r="D279" t="s">
        <v>14</v>
      </c>
      <c r="E279" t="s">
        <v>12</v>
      </c>
      <c r="F279">
        <v>29</v>
      </c>
      <c r="G279">
        <v>19603</v>
      </c>
      <c r="H279">
        <v>4</v>
      </c>
      <c r="I279">
        <v>5.2799999709999996</v>
      </c>
      <c r="J279">
        <v>1</v>
      </c>
      <c r="K279">
        <v>1</v>
      </c>
    </row>
    <row r="280" spans="1:11" x14ac:dyDescent="0.25">
      <c r="A280">
        <v>777382</v>
      </c>
      <c r="B280">
        <v>936</v>
      </c>
      <c r="C280">
        <v>115675</v>
      </c>
      <c r="D280" t="s">
        <v>14</v>
      </c>
      <c r="E280" t="s">
        <v>12</v>
      </c>
      <c r="F280">
        <v>24</v>
      </c>
      <c r="G280">
        <v>3047</v>
      </c>
      <c r="H280">
        <v>1</v>
      </c>
      <c r="I280">
        <v>1.3799999949999999</v>
      </c>
      <c r="J280">
        <v>1</v>
      </c>
      <c r="K280">
        <v>0</v>
      </c>
    </row>
    <row r="281" spans="1:11" x14ac:dyDescent="0.25">
      <c r="A281">
        <v>777398</v>
      </c>
      <c r="B281">
        <v>936</v>
      </c>
      <c r="C281">
        <v>115677</v>
      </c>
      <c r="D281" t="s">
        <v>13</v>
      </c>
      <c r="E281" t="s">
        <v>12</v>
      </c>
      <c r="F281">
        <v>24</v>
      </c>
      <c r="G281">
        <v>3029</v>
      </c>
      <c r="H281">
        <v>1</v>
      </c>
      <c r="I281">
        <v>1.0499999520000001</v>
      </c>
      <c r="J281">
        <v>1</v>
      </c>
      <c r="K281">
        <v>1</v>
      </c>
    </row>
    <row r="282" spans="1:11" x14ac:dyDescent="0.25">
      <c r="A282">
        <v>777410</v>
      </c>
      <c r="B282">
        <v>936</v>
      </c>
      <c r="C282">
        <v>115679</v>
      </c>
      <c r="D282" t="s">
        <v>15</v>
      </c>
      <c r="E282" t="s">
        <v>12</v>
      </c>
      <c r="F282">
        <v>26</v>
      </c>
      <c r="G282">
        <v>3490</v>
      </c>
      <c r="H282">
        <v>1</v>
      </c>
      <c r="I282">
        <v>1.3400000329999999</v>
      </c>
      <c r="J282">
        <v>1</v>
      </c>
      <c r="K282">
        <v>1</v>
      </c>
    </row>
    <row r="283" spans="1:11" x14ac:dyDescent="0.25">
      <c r="A283">
        <v>777482</v>
      </c>
      <c r="B283">
        <v>936</v>
      </c>
      <c r="C283">
        <v>115691</v>
      </c>
      <c r="D283" t="s">
        <v>15</v>
      </c>
      <c r="E283" t="s">
        <v>12</v>
      </c>
      <c r="F283">
        <v>28</v>
      </c>
      <c r="G283">
        <v>2479</v>
      </c>
      <c r="H283">
        <v>0</v>
      </c>
      <c r="I283">
        <v>0</v>
      </c>
      <c r="J283">
        <v>1</v>
      </c>
      <c r="K283">
        <v>0</v>
      </c>
    </row>
    <row r="284" spans="1:11" x14ac:dyDescent="0.25">
      <c r="A284">
        <v>777495</v>
      </c>
      <c r="B284">
        <v>936</v>
      </c>
      <c r="C284">
        <v>115693</v>
      </c>
      <c r="D284" t="s">
        <v>14</v>
      </c>
      <c r="E284" t="s">
        <v>12</v>
      </c>
      <c r="F284">
        <v>19</v>
      </c>
      <c r="G284">
        <v>19581</v>
      </c>
      <c r="H284">
        <v>7</v>
      </c>
      <c r="I284">
        <v>10.42999983</v>
      </c>
      <c r="J284">
        <v>2</v>
      </c>
      <c r="K284">
        <v>0</v>
      </c>
    </row>
    <row r="285" spans="1:11" x14ac:dyDescent="0.25">
      <c r="A285">
        <v>777519</v>
      </c>
      <c r="B285">
        <v>936</v>
      </c>
      <c r="C285">
        <v>115697</v>
      </c>
      <c r="D285" t="s">
        <v>15</v>
      </c>
      <c r="E285" t="s">
        <v>12</v>
      </c>
      <c r="F285">
        <v>29</v>
      </c>
      <c r="G285">
        <v>19537</v>
      </c>
      <c r="H285">
        <v>5</v>
      </c>
      <c r="I285">
        <v>6.0999999049999998</v>
      </c>
      <c r="J285">
        <v>1</v>
      </c>
      <c r="K285">
        <v>0</v>
      </c>
    </row>
    <row r="286" spans="1:11" x14ac:dyDescent="0.25">
      <c r="A286">
        <v>777625</v>
      </c>
      <c r="B286">
        <v>936</v>
      </c>
      <c r="C286">
        <v>115715</v>
      </c>
      <c r="D286" t="s">
        <v>15</v>
      </c>
      <c r="E286" t="s">
        <v>12</v>
      </c>
      <c r="F286">
        <v>16</v>
      </c>
      <c r="G286">
        <v>59433</v>
      </c>
      <c r="H286">
        <v>12</v>
      </c>
      <c r="I286">
        <v>19.659999490000001</v>
      </c>
      <c r="J286">
        <v>3</v>
      </c>
      <c r="K286">
        <v>0</v>
      </c>
    </row>
    <row r="287" spans="1:11" x14ac:dyDescent="0.25">
      <c r="A287">
        <v>777627</v>
      </c>
      <c r="B287">
        <v>936</v>
      </c>
      <c r="C287">
        <v>115715</v>
      </c>
      <c r="D287" t="s">
        <v>15</v>
      </c>
      <c r="E287" t="s">
        <v>12</v>
      </c>
      <c r="F287">
        <v>16</v>
      </c>
      <c r="G287">
        <v>157534</v>
      </c>
      <c r="H287">
        <v>33</v>
      </c>
      <c r="I287">
        <v>56.190000769999997</v>
      </c>
      <c r="J287">
        <v>2</v>
      </c>
      <c r="K287">
        <v>0</v>
      </c>
    </row>
    <row r="288" spans="1:11" x14ac:dyDescent="0.25">
      <c r="A288">
        <v>777638</v>
      </c>
      <c r="B288">
        <v>936</v>
      </c>
      <c r="C288">
        <v>115717</v>
      </c>
      <c r="D288" t="s">
        <v>14</v>
      </c>
      <c r="E288" t="s">
        <v>12</v>
      </c>
      <c r="F288">
        <v>7</v>
      </c>
      <c r="G288">
        <v>1781</v>
      </c>
      <c r="H288">
        <v>0</v>
      </c>
      <c r="I288">
        <v>0</v>
      </c>
      <c r="J288">
        <v>1</v>
      </c>
      <c r="K288">
        <v>1</v>
      </c>
    </row>
    <row r="289" spans="1:11" x14ac:dyDescent="0.25">
      <c r="A289">
        <v>777670</v>
      </c>
      <c r="B289">
        <v>936</v>
      </c>
      <c r="C289">
        <v>115723</v>
      </c>
      <c r="D289" t="s">
        <v>14</v>
      </c>
      <c r="E289" t="s">
        <v>12</v>
      </c>
      <c r="F289">
        <v>16</v>
      </c>
      <c r="G289">
        <v>23769</v>
      </c>
      <c r="H289">
        <v>4</v>
      </c>
      <c r="I289">
        <v>6.0299998520000004</v>
      </c>
      <c r="J289">
        <v>1</v>
      </c>
      <c r="K289">
        <v>0</v>
      </c>
    </row>
    <row r="290" spans="1:11" x14ac:dyDescent="0.25">
      <c r="A290">
        <v>777673</v>
      </c>
      <c r="B290">
        <v>936</v>
      </c>
      <c r="C290">
        <v>115723</v>
      </c>
      <c r="D290" t="s">
        <v>14</v>
      </c>
      <c r="E290" t="s">
        <v>12</v>
      </c>
      <c r="F290">
        <v>16</v>
      </c>
      <c r="G290">
        <v>7101</v>
      </c>
      <c r="H290">
        <v>0</v>
      </c>
      <c r="I290">
        <v>0</v>
      </c>
      <c r="J290">
        <v>1</v>
      </c>
      <c r="K290">
        <v>0</v>
      </c>
    </row>
    <row r="291" spans="1:11" x14ac:dyDescent="0.25">
      <c r="A291">
        <v>777742</v>
      </c>
      <c r="B291">
        <v>936</v>
      </c>
      <c r="C291">
        <v>115735</v>
      </c>
      <c r="D291" t="s">
        <v>13</v>
      </c>
      <c r="E291" t="s">
        <v>12</v>
      </c>
      <c r="F291">
        <v>64</v>
      </c>
      <c r="G291">
        <v>4726</v>
      </c>
      <c r="H291">
        <v>1</v>
      </c>
      <c r="I291">
        <v>1.8300000430000001</v>
      </c>
      <c r="J291">
        <v>1</v>
      </c>
      <c r="K291">
        <v>1</v>
      </c>
    </row>
    <row r="292" spans="1:11" x14ac:dyDescent="0.25">
      <c r="A292">
        <v>777758</v>
      </c>
      <c r="B292">
        <v>936</v>
      </c>
      <c r="C292">
        <v>115737</v>
      </c>
      <c r="D292" t="s">
        <v>11</v>
      </c>
      <c r="E292" t="s">
        <v>12</v>
      </c>
      <c r="F292">
        <v>19</v>
      </c>
      <c r="G292">
        <v>5209</v>
      </c>
      <c r="H292">
        <v>1</v>
      </c>
      <c r="I292">
        <v>0.959999979</v>
      </c>
      <c r="J292">
        <v>2</v>
      </c>
      <c r="K292">
        <v>0</v>
      </c>
    </row>
    <row r="293" spans="1:11" x14ac:dyDescent="0.25">
      <c r="A293">
        <v>777794</v>
      </c>
      <c r="B293">
        <v>936</v>
      </c>
      <c r="C293">
        <v>115743</v>
      </c>
      <c r="D293" t="s">
        <v>11</v>
      </c>
      <c r="E293" t="s">
        <v>12</v>
      </c>
      <c r="F293">
        <v>18</v>
      </c>
      <c r="G293">
        <v>13473</v>
      </c>
      <c r="H293">
        <v>3</v>
      </c>
      <c r="I293">
        <v>2.619999945</v>
      </c>
      <c r="J293">
        <v>3</v>
      </c>
      <c r="K293">
        <v>0</v>
      </c>
    </row>
    <row r="294" spans="1:11" x14ac:dyDescent="0.25">
      <c r="A294">
        <v>777816</v>
      </c>
      <c r="B294">
        <v>936</v>
      </c>
      <c r="C294">
        <v>115747</v>
      </c>
      <c r="D294" t="s">
        <v>14</v>
      </c>
      <c r="E294" t="s">
        <v>12</v>
      </c>
      <c r="F294">
        <v>2</v>
      </c>
      <c r="G294">
        <v>500</v>
      </c>
      <c r="H294">
        <v>0</v>
      </c>
      <c r="I294">
        <v>0</v>
      </c>
      <c r="J294">
        <v>1</v>
      </c>
      <c r="K294">
        <v>1</v>
      </c>
    </row>
    <row r="295" spans="1:11" x14ac:dyDescent="0.25">
      <c r="A295">
        <v>777871</v>
      </c>
      <c r="B295">
        <v>936</v>
      </c>
      <c r="C295">
        <v>115756</v>
      </c>
      <c r="D295" t="s">
        <v>11</v>
      </c>
      <c r="E295" t="s">
        <v>12</v>
      </c>
      <c r="F295">
        <v>20</v>
      </c>
      <c r="G295">
        <v>4616</v>
      </c>
      <c r="H295">
        <v>1</v>
      </c>
      <c r="I295">
        <v>1.3600000139999999</v>
      </c>
      <c r="J295">
        <v>1</v>
      </c>
      <c r="K295">
        <v>0</v>
      </c>
    </row>
    <row r="296" spans="1:11" x14ac:dyDescent="0.25">
      <c r="A296">
        <v>777904</v>
      </c>
      <c r="B296">
        <v>936</v>
      </c>
      <c r="C296">
        <v>115762</v>
      </c>
      <c r="D296" t="s">
        <v>11</v>
      </c>
      <c r="E296" t="s">
        <v>12</v>
      </c>
      <c r="F296">
        <v>31</v>
      </c>
      <c r="G296">
        <v>3279</v>
      </c>
      <c r="H296">
        <v>0</v>
      </c>
      <c r="I296">
        <v>0</v>
      </c>
      <c r="J296">
        <v>1</v>
      </c>
      <c r="K296">
        <v>0</v>
      </c>
    </row>
    <row r="297" spans="1:11" x14ac:dyDescent="0.25">
      <c r="A297">
        <v>777905</v>
      </c>
      <c r="B297">
        <v>936</v>
      </c>
      <c r="C297">
        <v>115762</v>
      </c>
      <c r="D297" t="s">
        <v>11</v>
      </c>
      <c r="E297" t="s">
        <v>12</v>
      </c>
      <c r="F297">
        <v>31</v>
      </c>
      <c r="G297">
        <v>3288</v>
      </c>
      <c r="H297">
        <v>0</v>
      </c>
      <c r="I297">
        <v>0</v>
      </c>
      <c r="J297">
        <v>1</v>
      </c>
      <c r="K297">
        <v>0</v>
      </c>
    </row>
    <row r="298" spans="1:11" x14ac:dyDescent="0.25">
      <c r="A298">
        <v>778037</v>
      </c>
      <c r="B298">
        <v>936</v>
      </c>
      <c r="C298">
        <v>115784</v>
      </c>
      <c r="D298" t="s">
        <v>13</v>
      </c>
      <c r="E298" t="s">
        <v>12</v>
      </c>
      <c r="F298">
        <v>27</v>
      </c>
      <c r="G298">
        <v>14615</v>
      </c>
      <c r="H298">
        <v>4</v>
      </c>
      <c r="I298">
        <v>6.0500001909999996</v>
      </c>
      <c r="J298">
        <v>1</v>
      </c>
      <c r="K298">
        <v>0</v>
      </c>
    </row>
    <row r="299" spans="1:11" x14ac:dyDescent="0.25">
      <c r="A299">
        <v>778048</v>
      </c>
      <c r="B299">
        <v>936</v>
      </c>
      <c r="C299">
        <v>115786</v>
      </c>
      <c r="D299" t="s">
        <v>11</v>
      </c>
      <c r="E299" t="s">
        <v>12</v>
      </c>
      <c r="F299">
        <v>27</v>
      </c>
      <c r="G299">
        <v>56615</v>
      </c>
      <c r="H299">
        <v>12</v>
      </c>
      <c r="I299">
        <v>19.88000035</v>
      </c>
      <c r="J299">
        <v>2</v>
      </c>
      <c r="K299">
        <v>0</v>
      </c>
    </row>
    <row r="300" spans="1:11" x14ac:dyDescent="0.25">
      <c r="A300">
        <v>778085</v>
      </c>
      <c r="B300">
        <v>936</v>
      </c>
      <c r="C300">
        <v>115792</v>
      </c>
      <c r="D300" t="s">
        <v>11</v>
      </c>
      <c r="E300" t="s">
        <v>12</v>
      </c>
      <c r="F300">
        <v>26</v>
      </c>
      <c r="G300">
        <v>11735</v>
      </c>
      <c r="H300">
        <v>3</v>
      </c>
      <c r="I300">
        <v>4.5299999709999996</v>
      </c>
      <c r="J300">
        <v>1</v>
      </c>
      <c r="K300">
        <v>1</v>
      </c>
    </row>
    <row r="301" spans="1:11" x14ac:dyDescent="0.25">
      <c r="A301">
        <v>778087</v>
      </c>
      <c r="B301">
        <v>936</v>
      </c>
      <c r="C301">
        <v>115792</v>
      </c>
      <c r="D301" t="s">
        <v>11</v>
      </c>
      <c r="E301" t="s">
        <v>12</v>
      </c>
      <c r="F301">
        <v>26</v>
      </c>
      <c r="G301">
        <v>15910</v>
      </c>
      <c r="H301">
        <v>5</v>
      </c>
      <c r="I301">
        <v>6.7799998520000004</v>
      </c>
      <c r="J301">
        <v>1</v>
      </c>
      <c r="K301">
        <v>0</v>
      </c>
    </row>
    <row r="302" spans="1:11" x14ac:dyDescent="0.25">
      <c r="A302">
        <v>778112</v>
      </c>
      <c r="B302">
        <v>936</v>
      </c>
      <c r="C302">
        <v>115796</v>
      </c>
      <c r="D302" t="s">
        <v>13</v>
      </c>
      <c r="E302" t="s">
        <v>12</v>
      </c>
      <c r="F302">
        <v>29</v>
      </c>
      <c r="G302">
        <v>11446</v>
      </c>
      <c r="H302">
        <v>2</v>
      </c>
      <c r="I302">
        <v>3.0900000329999999</v>
      </c>
      <c r="J302">
        <v>1</v>
      </c>
      <c r="K302">
        <v>1</v>
      </c>
    </row>
    <row r="303" spans="1:11" x14ac:dyDescent="0.25">
      <c r="A303">
        <v>778113</v>
      </c>
      <c r="B303">
        <v>936</v>
      </c>
      <c r="C303">
        <v>115796</v>
      </c>
      <c r="D303" t="s">
        <v>13</v>
      </c>
      <c r="E303" t="s">
        <v>12</v>
      </c>
      <c r="F303">
        <v>29</v>
      </c>
      <c r="G303">
        <v>4595</v>
      </c>
      <c r="H303">
        <v>0</v>
      </c>
      <c r="I303">
        <v>0</v>
      </c>
      <c r="J303">
        <v>1</v>
      </c>
      <c r="K303">
        <v>0</v>
      </c>
    </row>
    <row r="304" spans="1:11" x14ac:dyDescent="0.25">
      <c r="A304">
        <v>778124</v>
      </c>
      <c r="B304">
        <v>936</v>
      </c>
      <c r="C304">
        <v>115798</v>
      </c>
      <c r="D304" t="s">
        <v>11</v>
      </c>
      <c r="E304" t="s">
        <v>12</v>
      </c>
      <c r="F304">
        <v>29</v>
      </c>
      <c r="G304">
        <v>4871</v>
      </c>
      <c r="H304">
        <v>0</v>
      </c>
      <c r="I304">
        <v>0</v>
      </c>
      <c r="J304">
        <v>1</v>
      </c>
      <c r="K304">
        <v>0</v>
      </c>
    </row>
    <row r="305" spans="1:11" x14ac:dyDescent="0.25">
      <c r="A305">
        <v>778148</v>
      </c>
      <c r="B305">
        <v>936</v>
      </c>
      <c r="C305">
        <v>115802</v>
      </c>
      <c r="D305" t="s">
        <v>13</v>
      </c>
      <c r="E305" t="s">
        <v>12</v>
      </c>
      <c r="F305">
        <v>28</v>
      </c>
      <c r="G305">
        <v>3199</v>
      </c>
      <c r="H305">
        <v>0</v>
      </c>
      <c r="I305">
        <v>0</v>
      </c>
      <c r="J305">
        <v>1</v>
      </c>
      <c r="K305">
        <v>0</v>
      </c>
    </row>
    <row r="306" spans="1:11" x14ac:dyDescent="0.25">
      <c r="A306">
        <v>778156</v>
      </c>
      <c r="B306">
        <v>936</v>
      </c>
      <c r="C306">
        <v>115804</v>
      </c>
      <c r="D306" t="s">
        <v>11</v>
      </c>
      <c r="E306" t="s">
        <v>12</v>
      </c>
      <c r="F306">
        <v>28</v>
      </c>
      <c r="G306">
        <v>9388</v>
      </c>
      <c r="H306">
        <v>2</v>
      </c>
      <c r="I306">
        <v>3.1400001049999999</v>
      </c>
      <c r="J306">
        <v>1</v>
      </c>
      <c r="K306">
        <v>0</v>
      </c>
    </row>
    <row r="307" spans="1:11" x14ac:dyDescent="0.25">
      <c r="A307">
        <v>778161</v>
      </c>
      <c r="B307">
        <v>936</v>
      </c>
      <c r="C307">
        <v>115804</v>
      </c>
      <c r="D307" t="s">
        <v>11</v>
      </c>
      <c r="E307" t="s">
        <v>12</v>
      </c>
      <c r="F307">
        <v>28</v>
      </c>
      <c r="G307">
        <v>17954</v>
      </c>
      <c r="H307">
        <v>6</v>
      </c>
      <c r="I307">
        <v>7.5400001999999997</v>
      </c>
      <c r="J307">
        <v>2</v>
      </c>
      <c r="K307">
        <v>1</v>
      </c>
    </row>
    <row r="308" spans="1:11" x14ac:dyDescent="0.25">
      <c r="A308">
        <v>778208</v>
      </c>
      <c r="B308">
        <v>936</v>
      </c>
      <c r="C308">
        <v>115812</v>
      </c>
      <c r="D308" t="s">
        <v>14</v>
      </c>
      <c r="E308" t="s">
        <v>16</v>
      </c>
      <c r="F308">
        <v>29</v>
      </c>
      <c r="G308">
        <v>2755</v>
      </c>
      <c r="H308">
        <v>0</v>
      </c>
      <c r="I308">
        <v>0</v>
      </c>
      <c r="J308">
        <v>1</v>
      </c>
      <c r="K308">
        <v>0</v>
      </c>
    </row>
    <row r="309" spans="1:11" x14ac:dyDescent="0.25">
      <c r="A309">
        <v>778264</v>
      </c>
      <c r="B309">
        <v>936</v>
      </c>
      <c r="C309">
        <v>115822</v>
      </c>
      <c r="D309" t="s">
        <v>14</v>
      </c>
      <c r="E309" t="s">
        <v>16</v>
      </c>
      <c r="F309">
        <v>27</v>
      </c>
      <c r="G309">
        <v>8152</v>
      </c>
      <c r="H309">
        <v>1</v>
      </c>
      <c r="I309">
        <v>0.99000001000000004</v>
      </c>
      <c r="J309">
        <v>1</v>
      </c>
      <c r="K309">
        <v>0</v>
      </c>
    </row>
    <row r="310" spans="1:11" x14ac:dyDescent="0.25">
      <c r="A310">
        <v>778266</v>
      </c>
      <c r="B310">
        <v>936</v>
      </c>
      <c r="C310">
        <v>115822</v>
      </c>
      <c r="D310" t="s">
        <v>14</v>
      </c>
      <c r="E310" t="s">
        <v>16</v>
      </c>
      <c r="F310">
        <v>27</v>
      </c>
      <c r="G310">
        <v>74542</v>
      </c>
      <c r="H310">
        <v>19</v>
      </c>
      <c r="I310">
        <v>34.1500001</v>
      </c>
      <c r="J310">
        <v>1</v>
      </c>
      <c r="K310">
        <v>0</v>
      </c>
    </row>
    <row r="311" spans="1:11" x14ac:dyDescent="0.25">
      <c r="A311">
        <v>778421</v>
      </c>
      <c r="B311">
        <v>936</v>
      </c>
      <c r="C311">
        <v>115848</v>
      </c>
      <c r="D311" t="s">
        <v>14</v>
      </c>
      <c r="E311" t="s">
        <v>16</v>
      </c>
      <c r="F311">
        <v>20</v>
      </c>
      <c r="G311">
        <v>6699</v>
      </c>
      <c r="H311">
        <v>2</v>
      </c>
      <c r="I311">
        <v>3.0900000329999999</v>
      </c>
      <c r="J311">
        <v>1</v>
      </c>
      <c r="K311">
        <v>0</v>
      </c>
    </row>
    <row r="312" spans="1:11" x14ac:dyDescent="0.25">
      <c r="A312">
        <v>778422</v>
      </c>
      <c r="B312">
        <v>936</v>
      </c>
      <c r="C312">
        <v>115848</v>
      </c>
      <c r="D312" t="s">
        <v>14</v>
      </c>
      <c r="E312" t="s">
        <v>16</v>
      </c>
      <c r="F312">
        <v>20</v>
      </c>
      <c r="G312">
        <v>11911</v>
      </c>
      <c r="H312">
        <v>4</v>
      </c>
      <c r="I312">
        <v>3.9599999189999999</v>
      </c>
      <c r="J312">
        <v>1</v>
      </c>
      <c r="K312">
        <v>0</v>
      </c>
    </row>
    <row r="313" spans="1:11" x14ac:dyDescent="0.25">
      <c r="A313">
        <v>778461</v>
      </c>
      <c r="B313">
        <v>936</v>
      </c>
      <c r="C313">
        <v>115854</v>
      </c>
      <c r="D313" t="s">
        <v>14</v>
      </c>
      <c r="E313" t="s">
        <v>12</v>
      </c>
      <c r="F313">
        <v>29</v>
      </c>
      <c r="G313">
        <v>10090</v>
      </c>
      <c r="H313">
        <v>2</v>
      </c>
      <c r="I313">
        <v>2.6500000950000002</v>
      </c>
      <c r="J313">
        <v>1</v>
      </c>
      <c r="K313">
        <v>1</v>
      </c>
    </row>
    <row r="314" spans="1:11" x14ac:dyDescent="0.25">
      <c r="A314">
        <v>778471</v>
      </c>
      <c r="B314">
        <v>936</v>
      </c>
      <c r="C314">
        <v>115856</v>
      </c>
      <c r="D314" t="s">
        <v>11</v>
      </c>
      <c r="E314" t="s">
        <v>12</v>
      </c>
      <c r="F314">
        <v>32</v>
      </c>
      <c r="G314">
        <v>1273</v>
      </c>
      <c r="H314">
        <v>0</v>
      </c>
      <c r="I314">
        <v>0</v>
      </c>
      <c r="J314">
        <v>1</v>
      </c>
      <c r="K314">
        <v>1</v>
      </c>
    </row>
    <row r="315" spans="1:11" x14ac:dyDescent="0.25">
      <c r="A315">
        <v>778483</v>
      </c>
      <c r="B315">
        <v>936</v>
      </c>
      <c r="C315">
        <v>115858</v>
      </c>
      <c r="D315" t="s">
        <v>14</v>
      </c>
      <c r="E315" t="s">
        <v>16</v>
      </c>
      <c r="F315">
        <v>18</v>
      </c>
      <c r="G315">
        <v>24188</v>
      </c>
      <c r="H315">
        <v>5</v>
      </c>
      <c r="I315">
        <v>8.1799998279999997</v>
      </c>
      <c r="J315">
        <v>1</v>
      </c>
      <c r="K315">
        <v>0</v>
      </c>
    </row>
    <row r="316" spans="1:11" x14ac:dyDescent="0.25">
      <c r="A316">
        <v>778529</v>
      </c>
      <c r="B316">
        <v>936</v>
      </c>
      <c r="C316">
        <v>115866</v>
      </c>
      <c r="D316" t="s">
        <v>11</v>
      </c>
      <c r="E316" t="s">
        <v>12</v>
      </c>
      <c r="F316">
        <v>31</v>
      </c>
      <c r="G316">
        <v>2214</v>
      </c>
      <c r="H316">
        <v>0</v>
      </c>
      <c r="I316">
        <v>0</v>
      </c>
      <c r="J316">
        <v>1</v>
      </c>
      <c r="K316">
        <v>0</v>
      </c>
    </row>
    <row r="317" spans="1:11" x14ac:dyDescent="0.25">
      <c r="A317">
        <v>778556</v>
      </c>
      <c r="B317">
        <v>936</v>
      </c>
      <c r="C317">
        <v>115870</v>
      </c>
      <c r="D317" t="s">
        <v>14</v>
      </c>
      <c r="E317" t="s">
        <v>12</v>
      </c>
      <c r="F317">
        <v>32</v>
      </c>
      <c r="G317">
        <v>9735</v>
      </c>
      <c r="H317">
        <v>4</v>
      </c>
      <c r="I317">
        <v>4.1300001139999996</v>
      </c>
      <c r="J317">
        <v>1</v>
      </c>
      <c r="K317">
        <v>1</v>
      </c>
    </row>
    <row r="318" spans="1:11" x14ac:dyDescent="0.25">
      <c r="A318">
        <v>778590</v>
      </c>
      <c r="B318">
        <v>936</v>
      </c>
      <c r="C318">
        <v>115876</v>
      </c>
      <c r="D318" t="s">
        <v>11</v>
      </c>
      <c r="E318" t="s">
        <v>12</v>
      </c>
      <c r="F318">
        <v>30</v>
      </c>
      <c r="G318">
        <v>1371</v>
      </c>
      <c r="H318">
        <v>0</v>
      </c>
      <c r="I318">
        <v>0</v>
      </c>
      <c r="J318">
        <v>1</v>
      </c>
      <c r="K318">
        <v>1</v>
      </c>
    </row>
    <row r="319" spans="1:11" x14ac:dyDescent="0.25">
      <c r="A319">
        <v>778600</v>
      </c>
      <c r="B319">
        <v>936</v>
      </c>
      <c r="C319">
        <v>115878</v>
      </c>
      <c r="D319" t="s">
        <v>14</v>
      </c>
      <c r="E319" t="s">
        <v>16</v>
      </c>
      <c r="F319">
        <v>22</v>
      </c>
      <c r="G319">
        <v>10750</v>
      </c>
      <c r="H319">
        <v>4</v>
      </c>
      <c r="I319">
        <v>5.3899998660000001</v>
      </c>
      <c r="J319">
        <v>1</v>
      </c>
      <c r="K319">
        <v>0</v>
      </c>
    </row>
    <row r="320" spans="1:11" x14ac:dyDescent="0.25">
      <c r="A320">
        <v>778626</v>
      </c>
      <c r="B320">
        <v>936</v>
      </c>
      <c r="C320">
        <v>115882</v>
      </c>
      <c r="D320" t="s">
        <v>11</v>
      </c>
      <c r="E320" t="s">
        <v>12</v>
      </c>
      <c r="F320">
        <v>29</v>
      </c>
      <c r="G320">
        <v>7629</v>
      </c>
      <c r="H320">
        <v>1</v>
      </c>
      <c r="I320">
        <v>0.72000002900000004</v>
      </c>
      <c r="J320">
        <v>1</v>
      </c>
      <c r="K320">
        <v>1</v>
      </c>
    </row>
    <row r="321" spans="1:11" x14ac:dyDescent="0.25">
      <c r="A321">
        <v>778628</v>
      </c>
      <c r="B321">
        <v>936</v>
      </c>
      <c r="C321">
        <v>115882</v>
      </c>
      <c r="D321" t="s">
        <v>11</v>
      </c>
      <c r="E321" t="s">
        <v>12</v>
      </c>
      <c r="F321">
        <v>29</v>
      </c>
      <c r="G321">
        <v>4608</v>
      </c>
      <c r="H321">
        <v>0</v>
      </c>
      <c r="I321">
        <v>0</v>
      </c>
      <c r="J321">
        <v>1</v>
      </c>
      <c r="K321">
        <v>0</v>
      </c>
    </row>
    <row r="322" spans="1:11" x14ac:dyDescent="0.25">
      <c r="A322">
        <v>778674</v>
      </c>
      <c r="B322">
        <v>936</v>
      </c>
      <c r="C322">
        <v>115890</v>
      </c>
      <c r="D322" t="s">
        <v>13</v>
      </c>
      <c r="E322" t="s">
        <v>12</v>
      </c>
      <c r="F322">
        <v>29</v>
      </c>
      <c r="G322">
        <v>3732</v>
      </c>
      <c r="H322">
        <v>0</v>
      </c>
      <c r="I322">
        <v>0</v>
      </c>
      <c r="J322">
        <v>1</v>
      </c>
      <c r="K322">
        <v>0</v>
      </c>
    </row>
    <row r="323" spans="1:11" x14ac:dyDescent="0.25">
      <c r="A323">
        <v>778689</v>
      </c>
      <c r="B323">
        <v>936</v>
      </c>
      <c r="C323">
        <v>115892</v>
      </c>
      <c r="D323" t="s">
        <v>11</v>
      </c>
      <c r="E323" t="s">
        <v>12</v>
      </c>
      <c r="F323">
        <v>28</v>
      </c>
      <c r="G323">
        <v>7453</v>
      </c>
      <c r="H323">
        <v>1</v>
      </c>
      <c r="I323">
        <v>1.6799999480000001</v>
      </c>
      <c r="J323">
        <v>1</v>
      </c>
      <c r="K323">
        <v>1</v>
      </c>
    </row>
    <row r="324" spans="1:11" x14ac:dyDescent="0.25">
      <c r="A324">
        <v>778722</v>
      </c>
      <c r="B324">
        <v>936</v>
      </c>
      <c r="C324">
        <v>115898</v>
      </c>
      <c r="D324" t="s">
        <v>13</v>
      </c>
      <c r="E324" t="s">
        <v>16</v>
      </c>
      <c r="F324">
        <v>64</v>
      </c>
      <c r="G324">
        <v>41785</v>
      </c>
      <c r="H324">
        <v>14</v>
      </c>
      <c r="I324">
        <v>19.100000380000001</v>
      </c>
      <c r="J324">
        <v>1</v>
      </c>
      <c r="K324">
        <v>0</v>
      </c>
    </row>
    <row r="325" spans="1:11" x14ac:dyDescent="0.25">
      <c r="A325">
        <v>778737</v>
      </c>
      <c r="B325">
        <v>936</v>
      </c>
      <c r="C325">
        <v>115900</v>
      </c>
      <c r="D325" t="s">
        <v>13</v>
      </c>
      <c r="E325" t="s">
        <v>12</v>
      </c>
      <c r="F325">
        <v>27</v>
      </c>
      <c r="G325">
        <v>8077</v>
      </c>
      <c r="H325">
        <v>2</v>
      </c>
      <c r="I325">
        <v>3.579999924</v>
      </c>
      <c r="J325">
        <v>1</v>
      </c>
      <c r="K325">
        <v>1</v>
      </c>
    </row>
    <row r="326" spans="1:11" x14ac:dyDescent="0.25">
      <c r="A326">
        <v>778756</v>
      </c>
      <c r="B326">
        <v>936</v>
      </c>
      <c r="C326">
        <v>115904</v>
      </c>
      <c r="D326" t="s">
        <v>13</v>
      </c>
      <c r="E326" t="s">
        <v>16</v>
      </c>
      <c r="F326">
        <v>63</v>
      </c>
      <c r="G326">
        <v>5602</v>
      </c>
      <c r="H326">
        <v>1</v>
      </c>
      <c r="I326">
        <v>1.5800000430000001</v>
      </c>
      <c r="J326">
        <v>1</v>
      </c>
      <c r="K326">
        <v>0</v>
      </c>
    </row>
    <row r="327" spans="1:11" x14ac:dyDescent="0.25">
      <c r="A327">
        <v>778804</v>
      </c>
      <c r="B327">
        <v>936</v>
      </c>
      <c r="C327">
        <v>115912</v>
      </c>
      <c r="D327" t="s">
        <v>11</v>
      </c>
      <c r="E327" t="s">
        <v>12</v>
      </c>
      <c r="F327">
        <v>26</v>
      </c>
      <c r="G327">
        <v>6184</v>
      </c>
      <c r="H327">
        <v>2</v>
      </c>
      <c r="I327">
        <v>2.75</v>
      </c>
      <c r="J327">
        <v>1</v>
      </c>
      <c r="K327">
        <v>1</v>
      </c>
    </row>
    <row r="328" spans="1:11" x14ac:dyDescent="0.25">
      <c r="A328">
        <v>778808</v>
      </c>
      <c r="B328">
        <v>936</v>
      </c>
      <c r="C328">
        <v>115912</v>
      </c>
      <c r="D328" t="s">
        <v>11</v>
      </c>
      <c r="E328" t="s">
        <v>12</v>
      </c>
      <c r="F328">
        <v>26</v>
      </c>
      <c r="G328">
        <v>1738</v>
      </c>
      <c r="H328">
        <v>0</v>
      </c>
      <c r="I328">
        <v>0</v>
      </c>
      <c r="J328">
        <v>1</v>
      </c>
      <c r="K328">
        <v>0</v>
      </c>
    </row>
    <row r="329" spans="1:11" x14ac:dyDescent="0.25">
      <c r="A329">
        <v>778964</v>
      </c>
      <c r="B329">
        <v>936</v>
      </c>
      <c r="C329">
        <v>115938</v>
      </c>
      <c r="D329" t="s">
        <v>13</v>
      </c>
      <c r="E329" t="s">
        <v>16</v>
      </c>
      <c r="F329">
        <v>27</v>
      </c>
      <c r="G329">
        <v>112460</v>
      </c>
      <c r="H329">
        <v>25</v>
      </c>
      <c r="I329">
        <v>41.290000679999999</v>
      </c>
      <c r="J329">
        <v>1</v>
      </c>
      <c r="K329">
        <v>0</v>
      </c>
    </row>
    <row r="330" spans="1:11" x14ac:dyDescent="0.25">
      <c r="A330">
        <v>779057</v>
      </c>
      <c r="B330">
        <v>936</v>
      </c>
      <c r="C330">
        <v>115954</v>
      </c>
      <c r="D330" t="s">
        <v>14</v>
      </c>
      <c r="E330" t="s">
        <v>12</v>
      </c>
      <c r="F330">
        <v>15</v>
      </c>
      <c r="G330">
        <v>4414</v>
      </c>
      <c r="H330">
        <v>0</v>
      </c>
      <c r="I330">
        <v>0</v>
      </c>
      <c r="J330">
        <v>1</v>
      </c>
      <c r="K330">
        <v>0</v>
      </c>
    </row>
    <row r="331" spans="1:11" x14ac:dyDescent="0.25">
      <c r="A331">
        <v>779106</v>
      </c>
      <c r="B331">
        <v>936</v>
      </c>
      <c r="C331">
        <v>115962</v>
      </c>
      <c r="D331" t="s">
        <v>13</v>
      </c>
      <c r="E331" t="s">
        <v>16</v>
      </c>
      <c r="F331">
        <v>30</v>
      </c>
      <c r="G331">
        <v>14670</v>
      </c>
      <c r="H331">
        <v>7</v>
      </c>
      <c r="I331">
        <v>9.4100003240000003</v>
      </c>
      <c r="J331">
        <v>1</v>
      </c>
      <c r="K331">
        <v>0</v>
      </c>
    </row>
    <row r="332" spans="1:11" x14ac:dyDescent="0.25">
      <c r="A332">
        <v>779438</v>
      </c>
      <c r="B332">
        <v>936</v>
      </c>
      <c r="C332">
        <v>116031</v>
      </c>
      <c r="D332" t="s">
        <v>11</v>
      </c>
      <c r="E332" t="s">
        <v>16</v>
      </c>
      <c r="F332">
        <v>64</v>
      </c>
      <c r="G332">
        <v>33144</v>
      </c>
      <c r="H332">
        <v>9</v>
      </c>
      <c r="I332">
        <v>13.40999985</v>
      </c>
      <c r="J332">
        <v>1</v>
      </c>
      <c r="K332">
        <v>0</v>
      </c>
    </row>
    <row r="333" spans="1:11" x14ac:dyDescent="0.25">
      <c r="A333">
        <v>779453</v>
      </c>
      <c r="B333">
        <v>936</v>
      </c>
      <c r="C333">
        <v>116033</v>
      </c>
      <c r="D333" t="s">
        <v>15</v>
      </c>
      <c r="E333" t="s">
        <v>12</v>
      </c>
      <c r="F333">
        <v>64</v>
      </c>
      <c r="G333">
        <v>4397</v>
      </c>
      <c r="H333">
        <v>1</v>
      </c>
      <c r="I333">
        <v>0.94999998799999996</v>
      </c>
      <c r="J333">
        <v>1</v>
      </c>
      <c r="K333">
        <v>0</v>
      </c>
    </row>
    <row r="334" spans="1:11" x14ac:dyDescent="0.25">
      <c r="A334">
        <v>779488</v>
      </c>
      <c r="B334">
        <v>936</v>
      </c>
      <c r="C334">
        <v>116039</v>
      </c>
      <c r="D334" t="s">
        <v>15</v>
      </c>
      <c r="E334" t="s">
        <v>12</v>
      </c>
      <c r="F334">
        <v>65</v>
      </c>
      <c r="G334">
        <v>1006</v>
      </c>
      <c r="H334">
        <v>0</v>
      </c>
      <c r="I334">
        <v>0</v>
      </c>
      <c r="J334">
        <v>1</v>
      </c>
      <c r="K334">
        <v>0</v>
      </c>
    </row>
    <row r="335" spans="1:11" x14ac:dyDescent="0.25">
      <c r="A335">
        <v>779573</v>
      </c>
      <c r="B335">
        <v>936</v>
      </c>
      <c r="C335">
        <v>116053</v>
      </c>
      <c r="D335" t="s">
        <v>13</v>
      </c>
      <c r="E335" t="s">
        <v>16</v>
      </c>
      <c r="F335">
        <v>10</v>
      </c>
      <c r="G335">
        <v>89527</v>
      </c>
      <c r="H335">
        <v>24</v>
      </c>
      <c r="I335">
        <v>32.289999960000003</v>
      </c>
      <c r="J335">
        <v>1</v>
      </c>
      <c r="K335">
        <v>0</v>
      </c>
    </row>
    <row r="336" spans="1:11" x14ac:dyDescent="0.25">
      <c r="A336">
        <v>779608</v>
      </c>
      <c r="B336">
        <v>936</v>
      </c>
      <c r="C336">
        <v>116059</v>
      </c>
      <c r="D336" t="s">
        <v>13</v>
      </c>
      <c r="E336" t="s">
        <v>16</v>
      </c>
      <c r="F336">
        <v>15</v>
      </c>
      <c r="G336">
        <v>2459</v>
      </c>
      <c r="H336">
        <v>0</v>
      </c>
      <c r="I336">
        <v>0</v>
      </c>
      <c r="J336">
        <v>1</v>
      </c>
      <c r="K336">
        <v>0</v>
      </c>
    </row>
    <row r="337" spans="1:11" x14ac:dyDescent="0.25">
      <c r="A337">
        <v>779609</v>
      </c>
      <c r="B337">
        <v>936</v>
      </c>
      <c r="C337">
        <v>116059</v>
      </c>
      <c r="D337" t="s">
        <v>13</v>
      </c>
      <c r="E337" t="s">
        <v>16</v>
      </c>
      <c r="F337">
        <v>15</v>
      </c>
      <c r="G337">
        <v>7116</v>
      </c>
      <c r="H337">
        <v>2</v>
      </c>
      <c r="I337">
        <v>1.730000019</v>
      </c>
      <c r="J337">
        <v>1</v>
      </c>
      <c r="K337">
        <v>1</v>
      </c>
    </row>
    <row r="338" spans="1:11" x14ac:dyDescent="0.25">
      <c r="A338">
        <v>779622</v>
      </c>
      <c r="B338">
        <v>936</v>
      </c>
      <c r="C338">
        <v>116061</v>
      </c>
      <c r="D338" t="s">
        <v>11</v>
      </c>
      <c r="E338" t="s">
        <v>16</v>
      </c>
      <c r="F338">
        <v>15</v>
      </c>
      <c r="G338">
        <v>8613</v>
      </c>
      <c r="H338">
        <v>1</v>
      </c>
      <c r="I338">
        <v>0.88999998599999997</v>
      </c>
      <c r="J338">
        <v>2</v>
      </c>
      <c r="K338">
        <v>0</v>
      </c>
    </row>
    <row r="339" spans="1:11" x14ac:dyDescent="0.25">
      <c r="A339">
        <v>779631</v>
      </c>
      <c r="B339">
        <v>936</v>
      </c>
      <c r="C339">
        <v>116063</v>
      </c>
      <c r="D339" t="s">
        <v>13</v>
      </c>
      <c r="E339" t="s">
        <v>16</v>
      </c>
      <c r="F339">
        <v>16</v>
      </c>
      <c r="G339">
        <v>9730</v>
      </c>
      <c r="H339">
        <v>1</v>
      </c>
      <c r="I339">
        <v>1.3799999949999999</v>
      </c>
      <c r="J339">
        <v>1</v>
      </c>
      <c r="K339">
        <v>0</v>
      </c>
    </row>
    <row r="340" spans="1:11" x14ac:dyDescent="0.25">
      <c r="A340">
        <v>779644</v>
      </c>
      <c r="B340">
        <v>936</v>
      </c>
      <c r="C340">
        <v>116065</v>
      </c>
      <c r="D340" t="s">
        <v>11</v>
      </c>
      <c r="E340" t="s">
        <v>16</v>
      </c>
      <c r="F340">
        <v>16</v>
      </c>
      <c r="G340">
        <v>51816</v>
      </c>
      <c r="H340">
        <v>8</v>
      </c>
      <c r="I340">
        <v>10.229999899999999</v>
      </c>
      <c r="J340">
        <v>2</v>
      </c>
      <c r="K340">
        <v>1</v>
      </c>
    </row>
    <row r="341" spans="1:11" x14ac:dyDescent="0.25">
      <c r="A341">
        <v>779645</v>
      </c>
      <c r="B341">
        <v>936</v>
      </c>
      <c r="C341">
        <v>116065</v>
      </c>
      <c r="D341" t="s">
        <v>11</v>
      </c>
      <c r="E341" t="s">
        <v>16</v>
      </c>
      <c r="F341">
        <v>16</v>
      </c>
      <c r="G341">
        <v>27289</v>
      </c>
      <c r="H341">
        <v>3</v>
      </c>
      <c r="I341">
        <v>4.4299998279999997</v>
      </c>
      <c r="J341">
        <v>1</v>
      </c>
      <c r="K341">
        <v>0</v>
      </c>
    </row>
    <row r="342" spans="1:11" x14ac:dyDescent="0.25">
      <c r="A342">
        <v>779715</v>
      </c>
      <c r="B342">
        <v>936</v>
      </c>
      <c r="C342">
        <v>116077</v>
      </c>
      <c r="D342" t="s">
        <v>11</v>
      </c>
      <c r="E342" t="s">
        <v>16</v>
      </c>
      <c r="F342">
        <v>29</v>
      </c>
      <c r="G342">
        <v>20409</v>
      </c>
      <c r="H342">
        <v>4</v>
      </c>
      <c r="I342">
        <v>3.829999924</v>
      </c>
      <c r="J342">
        <v>1</v>
      </c>
      <c r="K342">
        <v>0</v>
      </c>
    </row>
    <row r="343" spans="1:11" x14ac:dyDescent="0.25">
      <c r="A343">
        <v>779716</v>
      </c>
      <c r="B343">
        <v>936</v>
      </c>
      <c r="C343">
        <v>116077</v>
      </c>
      <c r="D343" t="s">
        <v>11</v>
      </c>
      <c r="E343" t="s">
        <v>16</v>
      </c>
      <c r="F343">
        <v>29</v>
      </c>
      <c r="G343">
        <v>8044</v>
      </c>
      <c r="H343">
        <v>1</v>
      </c>
      <c r="I343">
        <v>1.1100000139999999</v>
      </c>
      <c r="J343">
        <v>1</v>
      </c>
      <c r="K343">
        <v>0</v>
      </c>
    </row>
    <row r="344" spans="1:11" x14ac:dyDescent="0.25">
      <c r="A344">
        <v>779738</v>
      </c>
      <c r="B344">
        <v>936</v>
      </c>
      <c r="C344">
        <v>116081</v>
      </c>
      <c r="D344" t="s">
        <v>11</v>
      </c>
      <c r="E344" t="s">
        <v>16</v>
      </c>
      <c r="F344">
        <v>28</v>
      </c>
      <c r="G344">
        <v>15645</v>
      </c>
      <c r="H344">
        <v>4</v>
      </c>
      <c r="I344">
        <v>5.3499999049999998</v>
      </c>
      <c r="J344">
        <v>1</v>
      </c>
      <c r="K344">
        <v>0</v>
      </c>
    </row>
    <row r="345" spans="1:11" x14ac:dyDescent="0.25">
      <c r="A345">
        <v>779778</v>
      </c>
      <c r="B345">
        <v>936</v>
      </c>
      <c r="C345">
        <v>116087</v>
      </c>
      <c r="D345" t="s">
        <v>11</v>
      </c>
      <c r="E345" t="s">
        <v>16</v>
      </c>
      <c r="F345">
        <v>31</v>
      </c>
      <c r="G345">
        <v>2466</v>
      </c>
      <c r="H345">
        <v>0</v>
      </c>
      <c r="I345">
        <v>0</v>
      </c>
      <c r="J345">
        <v>2</v>
      </c>
      <c r="K345">
        <v>2</v>
      </c>
    </row>
    <row r="346" spans="1:11" x14ac:dyDescent="0.25">
      <c r="A346">
        <v>779789</v>
      </c>
      <c r="B346">
        <v>936</v>
      </c>
      <c r="C346">
        <v>116089</v>
      </c>
      <c r="D346" t="s">
        <v>15</v>
      </c>
      <c r="E346" t="s">
        <v>12</v>
      </c>
      <c r="F346">
        <v>10</v>
      </c>
      <c r="G346">
        <v>11611</v>
      </c>
      <c r="H346">
        <v>3</v>
      </c>
      <c r="I346">
        <v>3.9500000480000002</v>
      </c>
      <c r="J346">
        <v>1</v>
      </c>
      <c r="K346">
        <v>1</v>
      </c>
    </row>
    <row r="347" spans="1:11" x14ac:dyDescent="0.25">
      <c r="A347">
        <v>779824</v>
      </c>
      <c r="B347">
        <v>936</v>
      </c>
      <c r="C347">
        <v>116095</v>
      </c>
      <c r="D347" t="s">
        <v>15</v>
      </c>
      <c r="E347" t="s">
        <v>12</v>
      </c>
      <c r="F347">
        <v>7</v>
      </c>
      <c r="G347">
        <v>9375</v>
      </c>
      <c r="H347">
        <v>3</v>
      </c>
      <c r="I347">
        <v>4.0199999809999998</v>
      </c>
      <c r="J347">
        <v>1</v>
      </c>
      <c r="K347">
        <v>0</v>
      </c>
    </row>
    <row r="348" spans="1:11" x14ac:dyDescent="0.25">
      <c r="A348">
        <v>779871</v>
      </c>
      <c r="B348">
        <v>936</v>
      </c>
      <c r="C348">
        <v>116103</v>
      </c>
      <c r="D348" t="s">
        <v>11</v>
      </c>
      <c r="E348" t="s">
        <v>16</v>
      </c>
      <c r="F348">
        <v>32</v>
      </c>
      <c r="G348">
        <v>4402</v>
      </c>
      <c r="H348">
        <v>1</v>
      </c>
      <c r="I348">
        <v>1.3300000430000001</v>
      </c>
      <c r="J348">
        <v>1</v>
      </c>
      <c r="K348">
        <v>1</v>
      </c>
    </row>
    <row r="349" spans="1:11" x14ac:dyDescent="0.25">
      <c r="A349">
        <v>779918</v>
      </c>
      <c r="B349">
        <v>936</v>
      </c>
      <c r="C349">
        <v>116111</v>
      </c>
      <c r="D349" t="s">
        <v>11</v>
      </c>
      <c r="E349" t="s">
        <v>16</v>
      </c>
      <c r="F349">
        <v>18</v>
      </c>
      <c r="G349">
        <v>8469</v>
      </c>
      <c r="H349">
        <v>2</v>
      </c>
      <c r="I349">
        <v>3.0899999139999998</v>
      </c>
      <c r="J349">
        <v>1</v>
      </c>
      <c r="K349">
        <v>0</v>
      </c>
    </row>
    <row r="350" spans="1:11" x14ac:dyDescent="0.25">
      <c r="A350">
        <v>779922</v>
      </c>
      <c r="B350">
        <v>936</v>
      </c>
      <c r="C350">
        <v>116111</v>
      </c>
      <c r="D350" t="s">
        <v>11</v>
      </c>
      <c r="E350" t="s">
        <v>16</v>
      </c>
      <c r="F350">
        <v>18</v>
      </c>
      <c r="G350">
        <v>5823</v>
      </c>
      <c r="H350">
        <v>1</v>
      </c>
      <c r="I350">
        <v>1.4199999569999999</v>
      </c>
      <c r="J350">
        <v>1</v>
      </c>
      <c r="K350">
        <v>1</v>
      </c>
    </row>
    <row r="351" spans="1:11" x14ac:dyDescent="0.25">
      <c r="A351">
        <v>779944</v>
      </c>
      <c r="B351">
        <v>936</v>
      </c>
      <c r="C351">
        <v>116115</v>
      </c>
      <c r="D351" t="s">
        <v>13</v>
      </c>
      <c r="E351" t="s">
        <v>12</v>
      </c>
      <c r="F351">
        <v>10</v>
      </c>
      <c r="G351">
        <v>2549</v>
      </c>
      <c r="H351">
        <v>0</v>
      </c>
      <c r="I351">
        <v>0</v>
      </c>
      <c r="J351">
        <v>1</v>
      </c>
      <c r="K351">
        <v>0</v>
      </c>
    </row>
    <row r="352" spans="1:11" x14ac:dyDescent="0.25">
      <c r="A352">
        <v>779979</v>
      </c>
      <c r="B352">
        <v>936</v>
      </c>
      <c r="C352">
        <v>116121</v>
      </c>
      <c r="D352" t="s">
        <v>13</v>
      </c>
      <c r="E352" t="s">
        <v>12</v>
      </c>
      <c r="F352">
        <v>16</v>
      </c>
      <c r="G352">
        <v>25817</v>
      </c>
      <c r="H352">
        <v>4</v>
      </c>
      <c r="I352">
        <v>6.0199999809999998</v>
      </c>
      <c r="J352">
        <v>1</v>
      </c>
      <c r="K352">
        <v>0</v>
      </c>
    </row>
    <row r="353" spans="1:11" x14ac:dyDescent="0.25">
      <c r="A353">
        <v>779995</v>
      </c>
      <c r="B353">
        <v>936</v>
      </c>
      <c r="C353">
        <v>116123</v>
      </c>
      <c r="D353" t="s">
        <v>11</v>
      </c>
      <c r="E353" t="s">
        <v>16</v>
      </c>
      <c r="F353">
        <v>20</v>
      </c>
      <c r="G353">
        <v>1961</v>
      </c>
      <c r="H353">
        <v>0</v>
      </c>
      <c r="I353">
        <v>0</v>
      </c>
      <c r="J353">
        <v>1</v>
      </c>
      <c r="K353">
        <v>0</v>
      </c>
    </row>
    <row r="354" spans="1:11" x14ac:dyDescent="0.25">
      <c r="A354">
        <v>780064</v>
      </c>
      <c r="B354">
        <v>936</v>
      </c>
      <c r="C354">
        <v>116135</v>
      </c>
      <c r="D354" t="s">
        <v>11</v>
      </c>
      <c r="E354" t="s">
        <v>16</v>
      </c>
      <c r="F354">
        <v>22</v>
      </c>
      <c r="G354">
        <v>2554</v>
      </c>
      <c r="H354">
        <v>0</v>
      </c>
      <c r="I354">
        <v>0</v>
      </c>
      <c r="J354">
        <v>1</v>
      </c>
      <c r="K354">
        <v>0</v>
      </c>
    </row>
    <row r="355" spans="1:11" x14ac:dyDescent="0.25">
      <c r="A355">
        <v>780104</v>
      </c>
      <c r="B355">
        <v>936</v>
      </c>
      <c r="C355">
        <v>116147</v>
      </c>
      <c r="D355" t="s">
        <v>11</v>
      </c>
      <c r="E355" t="s">
        <v>16</v>
      </c>
      <c r="F355">
        <v>25</v>
      </c>
      <c r="G355">
        <v>4971</v>
      </c>
      <c r="H355">
        <v>1</v>
      </c>
      <c r="I355">
        <v>1.230000019</v>
      </c>
      <c r="J355">
        <v>1</v>
      </c>
      <c r="K355">
        <v>1</v>
      </c>
    </row>
    <row r="356" spans="1:11" x14ac:dyDescent="0.25">
      <c r="A356">
        <v>780199</v>
      </c>
      <c r="B356">
        <v>936</v>
      </c>
      <c r="C356">
        <v>116163</v>
      </c>
      <c r="D356" t="s">
        <v>13</v>
      </c>
      <c r="E356" t="s">
        <v>16</v>
      </c>
      <c r="F356">
        <v>23</v>
      </c>
      <c r="G356">
        <v>1030</v>
      </c>
      <c r="H356">
        <v>0</v>
      </c>
      <c r="I356">
        <v>0</v>
      </c>
      <c r="J356">
        <v>1</v>
      </c>
      <c r="K356">
        <v>1</v>
      </c>
    </row>
    <row r="357" spans="1:11" x14ac:dyDescent="0.25">
      <c r="A357">
        <v>780318</v>
      </c>
      <c r="B357">
        <v>936</v>
      </c>
      <c r="C357">
        <v>116183</v>
      </c>
      <c r="D357" t="s">
        <v>15</v>
      </c>
      <c r="E357" t="s">
        <v>16</v>
      </c>
      <c r="F357">
        <v>29</v>
      </c>
      <c r="G357">
        <v>162341</v>
      </c>
      <c r="H357">
        <v>56</v>
      </c>
      <c r="I357">
        <v>77.079999689999994</v>
      </c>
      <c r="J357">
        <v>3</v>
      </c>
      <c r="K357">
        <v>0</v>
      </c>
    </row>
    <row r="358" spans="1:11" x14ac:dyDescent="0.25">
      <c r="A358">
        <v>780323</v>
      </c>
      <c r="B358">
        <v>936</v>
      </c>
      <c r="C358">
        <v>116183</v>
      </c>
      <c r="D358" t="s">
        <v>15</v>
      </c>
      <c r="E358" t="s">
        <v>16</v>
      </c>
      <c r="F358">
        <v>29</v>
      </c>
      <c r="G358">
        <v>24542</v>
      </c>
      <c r="H358">
        <v>7</v>
      </c>
      <c r="I358">
        <v>9.3299999239999991</v>
      </c>
      <c r="J358">
        <v>1</v>
      </c>
      <c r="K358">
        <v>0</v>
      </c>
    </row>
    <row r="359" spans="1:11" x14ac:dyDescent="0.25">
      <c r="A359">
        <v>780486</v>
      </c>
      <c r="B359">
        <v>936</v>
      </c>
      <c r="C359">
        <v>116216</v>
      </c>
      <c r="D359" t="s">
        <v>11</v>
      </c>
      <c r="E359" t="s">
        <v>16</v>
      </c>
      <c r="F359">
        <v>65</v>
      </c>
      <c r="G359">
        <v>2879</v>
      </c>
      <c r="H359">
        <v>0</v>
      </c>
      <c r="I359">
        <v>0</v>
      </c>
      <c r="J359">
        <v>1</v>
      </c>
      <c r="K359">
        <v>1</v>
      </c>
    </row>
    <row r="360" spans="1:11" x14ac:dyDescent="0.25">
      <c r="A360">
        <v>780498</v>
      </c>
      <c r="B360">
        <v>936</v>
      </c>
      <c r="C360">
        <v>116218</v>
      </c>
      <c r="D360" t="s">
        <v>11</v>
      </c>
      <c r="E360" t="s">
        <v>16</v>
      </c>
      <c r="F360">
        <v>64</v>
      </c>
      <c r="G360">
        <v>13621</v>
      </c>
      <c r="H360">
        <v>3</v>
      </c>
      <c r="I360">
        <v>4.0900000329999999</v>
      </c>
      <c r="J360">
        <v>1</v>
      </c>
      <c r="K360">
        <v>0</v>
      </c>
    </row>
    <row r="361" spans="1:11" x14ac:dyDescent="0.25">
      <c r="A361">
        <v>780511</v>
      </c>
      <c r="B361">
        <v>936</v>
      </c>
      <c r="C361">
        <v>116220</v>
      </c>
      <c r="D361" t="s">
        <v>11</v>
      </c>
      <c r="E361" t="s">
        <v>16</v>
      </c>
      <c r="F361">
        <v>63</v>
      </c>
      <c r="G361">
        <v>6175</v>
      </c>
      <c r="H361">
        <v>1</v>
      </c>
      <c r="I361">
        <v>1.3700000050000001</v>
      </c>
      <c r="J361">
        <v>2</v>
      </c>
      <c r="K361">
        <v>1</v>
      </c>
    </row>
    <row r="362" spans="1:11" x14ac:dyDescent="0.25">
      <c r="A362">
        <v>780629</v>
      </c>
      <c r="B362">
        <v>936</v>
      </c>
      <c r="C362">
        <v>116240</v>
      </c>
      <c r="D362" t="s">
        <v>11</v>
      </c>
      <c r="E362" t="s">
        <v>16</v>
      </c>
      <c r="F362">
        <v>28</v>
      </c>
      <c r="G362">
        <v>2963</v>
      </c>
      <c r="H362">
        <v>0</v>
      </c>
      <c r="I362">
        <v>0</v>
      </c>
      <c r="J362">
        <v>1</v>
      </c>
      <c r="K362">
        <v>0</v>
      </c>
    </row>
    <row r="363" spans="1:11" x14ac:dyDescent="0.25">
      <c r="A363">
        <v>780653</v>
      </c>
      <c r="B363">
        <v>936</v>
      </c>
      <c r="C363">
        <v>116244</v>
      </c>
      <c r="D363" t="s">
        <v>11</v>
      </c>
      <c r="E363" t="s">
        <v>16</v>
      </c>
      <c r="F363">
        <v>29</v>
      </c>
      <c r="G363">
        <v>9076</v>
      </c>
      <c r="H363">
        <v>1</v>
      </c>
      <c r="I363">
        <v>1.3799999949999999</v>
      </c>
      <c r="J363">
        <v>1</v>
      </c>
      <c r="K363">
        <v>1</v>
      </c>
    </row>
    <row r="364" spans="1:11" x14ac:dyDescent="0.25">
      <c r="A364">
        <v>780655</v>
      </c>
      <c r="B364">
        <v>936</v>
      </c>
      <c r="C364">
        <v>116244</v>
      </c>
      <c r="D364" t="s">
        <v>11</v>
      </c>
      <c r="E364" t="s">
        <v>16</v>
      </c>
      <c r="F364">
        <v>29</v>
      </c>
      <c r="G364">
        <v>20941</v>
      </c>
      <c r="H364">
        <v>4</v>
      </c>
      <c r="I364">
        <v>5.9099999670000001</v>
      </c>
      <c r="J364">
        <v>1</v>
      </c>
      <c r="K364">
        <v>1</v>
      </c>
    </row>
    <row r="365" spans="1:11" x14ac:dyDescent="0.25">
      <c r="A365">
        <v>780666</v>
      </c>
      <c r="B365">
        <v>936</v>
      </c>
      <c r="C365">
        <v>116246</v>
      </c>
      <c r="D365" t="s">
        <v>15</v>
      </c>
      <c r="E365" t="s">
        <v>16</v>
      </c>
      <c r="F365">
        <v>10</v>
      </c>
      <c r="G365">
        <v>3462</v>
      </c>
      <c r="H365">
        <v>0</v>
      </c>
      <c r="I365">
        <v>0</v>
      </c>
      <c r="J365">
        <v>1</v>
      </c>
      <c r="K365">
        <v>0</v>
      </c>
    </row>
    <row r="366" spans="1:11" x14ac:dyDescent="0.25">
      <c r="A366">
        <v>780681</v>
      </c>
      <c r="B366">
        <v>936</v>
      </c>
      <c r="C366">
        <v>116248</v>
      </c>
      <c r="D366" t="s">
        <v>11</v>
      </c>
      <c r="E366" t="s">
        <v>16</v>
      </c>
      <c r="F366">
        <v>26</v>
      </c>
      <c r="G366">
        <v>4073</v>
      </c>
      <c r="H366">
        <v>0</v>
      </c>
      <c r="I366">
        <v>0</v>
      </c>
      <c r="J366">
        <v>1</v>
      </c>
      <c r="K366">
        <v>1</v>
      </c>
    </row>
    <row r="367" spans="1:11" x14ac:dyDescent="0.25">
      <c r="A367">
        <v>780700</v>
      </c>
      <c r="B367">
        <v>936</v>
      </c>
      <c r="C367">
        <v>116252</v>
      </c>
      <c r="D367" t="s">
        <v>11</v>
      </c>
      <c r="E367" t="s">
        <v>16</v>
      </c>
      <c r="F367">
        <v>27</v>
      </c>
      <c r="G367">
        <v>3745</v>
      </c>
      <c r="H367">
        <v>0</v>
      </c>
      <c r="I367">
        <v>0</v>
      </c>
      <c r="J367">
        <v>1</v>
      </c>
      <c r="K367">
        <v>0</v>
      </c>
    </row>
    <row r="368" spans="1:11" x14ac:dyDescent="0.25">
      <c r="A368">
        <v>780748</v>
      </c>
      <c r="B368">
        <v>936</v>
      </c>
      <c r="C368">
        <v>116265</v>
      </c>
      <c r="D368" t="s">
        <v>11</v>
      </c>
      <c r="E368" t="s">
        <v>16</v>
      </c>
      <c r="F368">
        <v>24</v>
      </c>
      <c r="G368">
        <v>830</v>
      </c>
      <c r="H368">
        <v>0</v>
      </c>
      <c r="I368">
        <v>0</v>
      </c>
      <c r="J368">
        <v>1</v>
      </c>
      <c r="K368">
        <v>0</v>
      </c>
    </row>
    <row r="369" spans="1:11" x14ac:dyDescent="0.25">
      <c r="A369">
        <v>780759</v>
      </c>
      <c r="B369">
        <v>936</v>
      </c>
      <c r="C369">
        <v>116267</v>
      </c>
      <c r="D369" t="s">
        <v>15</v>
      </c>
      <c r="E369" t="s">
        <v>16</v>
      </c>
      <c r="F369">
        <v>18</v>
      </c>
      <c r="G369">
        <v>2912</v>
      </c>
      <c r="H369">
        <v>0</v>
      </c>
      <c r="I369">
        <v>0</v>
      </c>
      <c r="J369">
        <v>1</v>
      </c>
      <c r="K369">
        <v>0</v>
      </c>
    </row>
    <row r="370" spans="1:11" x14ac:dyDescent="0.25">
      <c r="A370">
        <v>780760</v>
      </c>
      <c r="B370">
        <v>936</v>
      </c>
      <c r="C370">
        <v>116267</v>
      </c>
      <c r="D370" t="s">
        <v>15</v>
      </c>
      <c r="E370" t="s">
        <v>16</v>
      </c>
      <c r="F370">
        <v>18</v>
      </c>
      <c r="G370">
        <v>17167</v>
      </c>
      <c r="H370">
        <v>5</v>
      </c>
      <c r="I370">
        <v>6.9100000860000002</v>
      </c>
      <c r="J370">
        <v>1</v>
      </c>
      <c r="K370">
        <v>0</v>
      </c>
    </row>
    <row r="371" spans="1:11" x14ac:dyDescent="0.25">
      <c r="A371">
        <v>780797</v>
      </c>
      <c r="B371">
        <v>936</v>
      </c>
      <c r="C371">
        <v>116273</v>
      </c>
      <c r="D371" t="s">
        <v>11</v>
      </c>
      <c r="E371" t="s">
        <v>16</v>
      </c>
      <c r="F371">
        <v>22</v>
      </c>
      <c r="G371">
        <v>24491</v>
      </c>
      <c r="H371">
        <v>7</v>
      </c>
      <c r="I371">
        <v>9.5399999619999996</v>
      </c>
      <c r="J371">
        <v>1</v>
      </c>
      <c r="K371">
        <v>0</v>
      </c>
    </row>
    <row r="372" spans="1:11" x14ac:dyDescent="0.25">
      <c r="A372">
        <v>780799</v>
      </c>
      <c r="B372">
        <v>936</v>
      </c>
      <c r="C372">
        <v>116273</v>
      </c>
      <c r="D372" t="s">
        <v>11</v>
      </c>
      <c r="E372" t="s">
        <v>16</v>
      </c>
      <c r="F372">
        <v>22</v>
      </c>
      <c r="G372">
        <v>44699</v>
      </c>
      <c r="H372">
        <v>13</v>
      </c>
      <c r="I372">
        <v>17.300000369999999</v>
      </c>
      <c r="J372">
        <v>2</v>
      </c>
      <c r="K372">
        <v>0</v>
      </c>
    </row>
    <row r="373" spans="1:11" x14ac:dyDescent="0.25">
      <c r="A373">
        <v>780821</v>
      </c>
      <c r="B373">
        <v>936</v>
      </c>
      <c r="C373">
        <v>116277</v>
      </c>
      <c r="D373" t="s">
        <v>11</v>
      </c>
      <c r="E373" t="s">
        <v>16</v>
      </c>
      <c r="F373">
        <v>23</v>
      </c>
      <c r="G373">
        <v>6469</v>
      </c>
      <c r="H373">
        <v>2</v>
      </c>
      <c r="I373">
        <v>1.309999943</v>
      </c>
      <c r="J373">
        <v>1</v>
      </c>
      <c r="K373">
        <v>0</v>
      </c>
    </row>
    <row r="374" spans="1:11" x14ac:dyDescent="0.25">
      <c r="A374">
        <v>780830</v>
      </c>
      <c r="B374">
        <v>936</v>
      </c>
      <c r="C374">
        <v>116279</v>
      </c>
      <c r="D374" t="s">
        <v>15</v>
      </c>
      <c r="E374" t="s">
        <v>16</v>
      </c>
      <c r="F374">
        <v>16</v>
      </c>
      <c r="G374">
        <v>16053</v>
      </c>
      <c r="H374">
        <v>3</v>
      </c>
      <c r="I374">
        <v>4.079999924</v>
      </c>
      <c r="J374">
        <v>1</v>
      </c>
      <c r="K374">
        <v>1</v>
      </c>
    </row>
    <row r="375" spans="1:11" x14ac:dyDescent="0.25">
      <c r="A375">
        <v>780835</v>
      </c>
      <c r="B375">
        <v>936</v>
      </c>
      <c r="C375">
        <v>116279</v>
      </c>
      <c r="D375" t="s">
        <v>15</v>
      </c>
      <c r="E375" t="s">
        <v>16</v>
      </c>
      <c r="F375">
        <v>16</v>
      </c>
      <c r="G375">
        <v>54724</v>
      </c>
      <c r="H375">
        <v>12</v>
      </c>
      <c r="I375">
        <v>17.929999949999999</v>
      </c>
      <c r="J375">
        <v>1</v>
      </c>
      <c r="K375">
        <v>1</v>
      </c>
    </row>
    <row r="376" spans="1:11" x14ac:dyDescent="0.25">
      <c r="A376">
        <v>780867</v>
      </c>
      <c r="B376">
        <v>936</v>
      </c>
      <c r="C376">
        <v>116285</v>
      </c>
      <c r="D376" t="s">
        <v>11</v>
      </c>
      <c r="E376" t="s">
        <v>16</v>
      </c>
      <c r="F376">
        <v>21</v>
      </c>
      <c r="G376">
        <v>4706</v>
      </c>
      <c r="H376">
        <v>1</v>
      </c>
      <c r="I376">
        <v>1.2200000289999999</v>
      </c>
      <c r="J376">
        <v>1</v>
      </c>
      <c r="K376">
        <v>0</v>
      </c>
    </row>
    <row r="377" spans="1:11" x14ac:dyDescent="0.25">
      <c r="A377">
        <v>780974</v>
      </c>
      <c r="B377">
        <v>936</v>
      </c>
      <c r="C377">
        <v>116303</v>
      </c>
      <c r="D377" t="s">
        <v>14</v>
      </c>
      <c r="E377" t="s">
        <v>16</v>
      </c>
      <c r="F377">
        <v>32</v>
      </c>
      <c r="G377">
        <v>8316</v>
      </c>
      <c r="H377">
        <v>3</v>
      </c>
      <c r="I377">
        <v>4.5699999330000001</v>
      </c>
      <c r="J377">
        <v>1</v>
      </c>
      <c r="K377">
        <v>1</v>
      </c>
    </row>
    <row r="378" spans="1:11" x14ac:dyDescent="0.25">
      <c r="A378">
        <v>781066</v>
      </c>
      <c r="B378">
        <v>936</v>
      </c>
      <c r="C378">
        <v>116323</v>
      </c>
      <c r="D378" t="s">
        <v>14</v>
      </c>
      <c r="E378" t="s">
        <v>16</v>
      </c>
      <c r="F378">
        <v>22</v>
      </c>
      <c r="G378">
        <v>5794</v>
      </c>
      <c r="H378">
        <v>2</v>
      </c>
      <c r="I378">
        <v>2.2699999809999998</v>
      </c>
      <c r="J378">
        <v>1</v>
      </c>
      <c r="K378">
        <v>0</v>
      </c>
    </row>
    <row r="379" spans="1:11" x14ac:dyDescent="0.25">
      <c r="A379">
        <v>781114</v>
      </c>
      <c r="B379">
        <v>936</v>
      </c>
      <c r="C379">
        <v>116331</v>
      </c>
      <c r="D379" t="s">
        <v>14</v>
      </c>
      <c r="E379" t="s">
        <v>16</v>
      </c>
      <c r="F379">
        <v>18</v>
      </c>
      <c r="G379">
        <v>4813</v>
      </c>
      <c r="H379">
        <v>1</v>
      </c>
      <c r="I379">
        <v>1.0299999710000001</v>
      </c>
      <c r="J379">
        <v>1</v>
      </c>
      <c r="K379">
        <v>0</v>
      </c>
    </row>
    <row r="380" spans="1:11" x14ac:dyDescent="0.25">
      <c r="A380">
        <v>781159</v>
      </c>
      <c r="B380">
        <v>936</v>
      </c>
      <c r="C380">
        <v>116339</v>
      </c>
      <c r="D380" t="s">
        <v>14</v>
      </c>
      <c r="E380" t="s">
        <v>16</v>
      </c>
      <c r="F380">
        <v>10</v>
      </c>
      <c r="G380">
        <v>85285</v>
      </c>
      <c r="H380">
        <v>26</v>
      </c>
      <c r="I380">
        <v>36.130000350000003</v>
      </c>
      <c r="J380">
        <v>1</v>
      </c>
      <c r="K380">
        <v>0</v>
      </c>
    </row>
    <row r="381" spans="1:11" x14ac:dyDescent="0.25">
      <c r="A381">
        <v>781162</v>
      </c>
      <c r="B381">
        <v>936</v>
      </c>
      <c r="C381">
        <v>116339</v>
      </c>
      <c r="D381" t="s">
        <v>14</v>
      </c>
      <c r="E381" t="s">
        <v>16</v>
      </c>
      <c r="F381">
        <v>10</v>
      </c>
      <c r="G381">
        <v>5839</v>
      </c>
      <c r="H381">
        <v>1</v>
      </c>
      <c r="I381">
        <v>1.3700000050000001</v>
      </c>
      <c r="J381">
        <v>1</v>
      </c>
      <c r="K381">
        <v>0</v>
      </c>
    </row>
    <row r="382" spans="1:11" x14ac:dyDescent="0.25">
      <c r="A382">
        <v>781175</v>
      </c>
      <c r="B382">
        <v>936</v>
      </c>
      <c r="C382">
        <v>116341</v>
      </c>
      <c r="D382" t="s">
        <v>14</v>
      </c>
      <c r="E382" t="s">
        <v>16</v>
      </c>
      <c r="F382">
        <v>15</v>
      </c>
      <c r="G382">
        <v>5859</v>
      </c>
      <c r="H382">
        <v>1</v>
      </c>
      <c r="I382">
        <v>1.539999962</v>
      </c>
      <c r="J382">
        <v>1</v>
      </c>
      <c r="K382">
        <v>0</v>
      </c>
    </row>
    <row r="383" spans="1:11" x14ac:dyDescent="0.25">
      <c r="A383">
        <v>781187</v>
      </c>
      <c r="B383">
        <v>936</v>
      </c>
      <c r="C383">
        <v>116343</v>
      </c>
      <c r="D383" t="s">
        <v>14</v>
      </c>
      <c r="E383" t="s">
        <v>16</v>
      </c>
      <c r="F383">
        <v>16</v>
      </c>
      <c r="G383">
        <v>164118</v>
      </c>
      <c r="H383">
        <v>41</v>
      </c>
      <c r="I383">
        <v>59.069999930000002</v>
      </c>
      <c r="J383">
        <v>1</v>
      </c>
      <c r="K383">
        <v>0</v>
      </c>
    </row>
    <row r="384" spans="1:11" x14ac:dyDescent="0.25">
      <c r="A384">
        <v>781195</v>
      </c>
      <c r="B384">
        <v>936</v>
      </c>
      <c r="C384">
        <v>116345</v>
      </c>
      <c r="D384" t="s">
        <v>13</v>
      </c>
      <c r="E384" t="s">
        <v>16</v>
      </c>
      <c r="F384">
        <v>63</v>
      </c>
      <c r="G384">
        <v>18234</v>
      </c>
      <c r="H384">
        <v>6</v>
      </c>
      <c r="I384">
        <v>7.8100000620000003</v>
      </c>
      <c r="J384">
        <v>1</v>
      </c>
      <c r="K384">
        <v>0</v>
      </c>
    </row>
    <row r="385" spans="1:11" x14ac:dyDescent="0.25">
      <c r="A385">
        <v>781207</v>
      </c>
      <c r="B385">
        <v>936</v>
      </c>
      <c r="C385">
        <v>116347</v>
      </c>
      <c r="D385" t="s">
        <v>13</v>
      </c>
      <c r="E385" t="s">
        <v>16</v>
      </c>
      <c r="F385">
        <v>64</v>
      </c>
      <c r="G385">
        <v>2755</v>
      </c>
      <c r="H385">
        <v>0</v>
      </c>
      <c r="I385">
        <v>0</v>
      </c>
      <c r="J385">
        <v>1</v>
      </c>
      <c r="K385">
        <v>0</v>
      </c>
    </row>
    <row r="386" spans="1:11" x14ac:dyDescent="0.25">
      <c r="A386">
        <v>781303</v>
      </c>
      <c r="B386">
        <v>936</v>
      </c>
      <c r="C386">
        <v>116363</v>
      </c>
      <c r="D386" t="s">
        <v>13</v>
      </c>
      <c r="E386" t="s">
        <v>16</v>
      </c>
      <c r="F386">
        <v>27</v>
      </c>
      <c r="G386">
        <v>73676</v>
      </c>
      <c r="H386">
        <v>20</v>
      </c>
      <c r="I386">
        <v>28.5</v>
      </c>
      <c r="J386">
        <v>1</v>
      </c>
      <c r="K386">
        <v>0</v>
      </c>
    </row>
    <row r="387" spans="1:11" x14ac:dyDescent="0.25">
      <c r="A387">
        <v>781305</v>
      </c>
      <c r="B387">
        <v>936</v>
      </c>
      <c r="C387">
        <v>116363</v>
      </c>
      <c r="D387" t="s">
        <v>13</v>
      </c>
      <c r="E387" t="s">
        <v>16</v>
      </c>
      <c r="F387">
        <v>27</v>
      </c>
      <c r="G387">
        <v>18421</v>
      </c>
      <c r="H387">
        <v>7</v>
      </c>
      <c r="I387">
        <v>10.079999920000001</v>
      </c>
      <c r="J387">
        <v>1</v>
      </c>
      <c r="K387">
        <v>0</v>
      </c>
    </row>
    <row r="388" spans="1:11" x14ac:dyDescent="0.25">
      <c r="A388">
        <v>781327</v>
      </c>
      <c r="B388">
        <v>936</v>
      </c>
      <c r="C388">
        <v>116367</v>
      </c>
      <c r="D388" t="s">
        <v>13</v>
      </c>
      <c r="E388" t="s">
        <v>16</v>
      </c>
      <c r="F388">
        <v>29</v>
      </c>
      <c r="G388">
        <v>164754</v>
      </c>
      <c r="H388">
        <v>49</v>
      </c>
      <c r="I388">
        <v>67.97999978</v>
      </c>
      <c r="J388">
        <v>2</v>
      </c>
      <c r="K388">
        <v>1</v>
      </c>
    </row>
    <row r="389" spans="1:11" x14ac:dyDescent="0.25">
      <c r="A389">
        <v>781353</v>
      </c>
      <c r="B389">
        <v>936</v>
      </c>
      <c r="C389">
        <v>116371</v>
      </c>
      <c r="D389" t="s">
        <v>13</v>
      </c>
      <c r="E389" t="s">
        <v>16</v>
      </c>
      <c r="F389">
        <v>10</v>
      </c>
      <c r="G389">
        <v>7449</v>
      </c>
      <c r="H389">
        <v>1</v>
      </c>
      <c r="I389">
        <v>1.6399999860000001</v>
      </c>
      <c r="J389">
        <v>1</v>
      </c>
      <c r="K389">
        <v>1</v>
      </c>
    </row>
    <row r="390" spans="1:11" x14ac:dyDescent="0.25">
      <c r="A390">
        <v>781354</v>
      </c>
      <c r="B390">
        <v>936</v>
      </c>
      <c r="C390">
        <v>116371</v>
      </c>
      <c r="D390" t="s">
        <v>13</v>
      </c>
      <c r="E390" t="s">
        <v>16</v>
      </c>
      <c r="F390">
        <v>10</v>
      </c>
      <c r="G390">
        <v>6424</v>
      </c>
      <c r="H390">
        <v>1</v>
      </c>
      <c r="I390">
        <v>0.52999997099999996</v>
      </c>
      <c r="J390">
        <v>1</v>
      </c>
      <c r="K390">
        <v>0</v>
      </c>
    </row>
    <row r="391" spans="1:11" x14ac:dyDescent="0.25">
      <c r="A391">
        <v>781438</v>
      </c>
      <c r="B391">
        <v>936</v>
      </c>
      <c r="C391">
        <v>116385</v>
      </c>
      <c r="D391" t="s">
        <v>11</v>
      </c>
      <c r="E391" t="s">
        <v>12</v>
      </c>
      <c r="F391">
        <v>63</v>
      </c>
      <c r="G391">
        <v>2086</v>
      </c>
      <c r="H391">
        <v>0</v>
      </c>
      <c r="I391">
        <v>0</v>
      </c>
      <c r="J391">
        <v>1</v>
      </c>
      <c r="K391">
        <v>0</v>
      </c>
    </row>
    <row r="392" spans="1:11" x14ac:dyDescent="0.25">
      <c r="A392">
        <v>781470</v>
      </c>
      <c r="B392">
        <v>936</v>
      </c>
      <c r="C392">
        <v>116391</v>
      </c>
      <c r="D392" t="s">
        <v>13</v>
      </c>
      <c r="E392" t="s">
        <v>12</v>
      </c>
      <c r="F392">
        <v>16</v>
      </c>
      <c r="G392">
        <v>6016</v>
      </c>
      <c r="H392">
        <v>0</v>
      </c>
      <c r="I392">
        <v>0</v>
      </c>
      <c r="J392">
        <v>1</v>
      </c>
      <c r="K392">
        <v>0</v>
      </c>
    </row>
    <row r="393" spans="1:11" x14ac:dyDescent="0.25">
      <c r="A393">
        <v>781499</v>
      </c>
      <c r="B393">
        <v>936</v>
      </c>
      <c r="C393">
        <v>116395</v>
      </c>
      <c r="D393" t="s">
        <v>13</v>
      </c>
      <c r="E393" t="s">
        <v>12</v>
      </c>
      <c r="F393">
        <v>15</v>
      </c>
      <c r="G393">
        <v>6412</v>
      </c>
      <c r="H393">
        <v>1</v>
      </c>
      <c r="I393">
        <v>1.3700000050000001</v>
      </c>
      <c r="J393">
        <v>1</v>
      </c>
      <c r="K393">
        <v>0</v>
      </c>
    </row>
    <row r="394" spans="1:11" x14ac:dyDescent="0.25">
      <c r="A394">
        <v>781508</v>
      </c>
      <c r="B394">
        <v>936</v>
      </c>
      <c r="C394">
        <v>116397</v>
      </c>
      <c r="D394" t="s">
        <v>11</v>
      </c>
      <c r="E394" t="s">
        <v>16</v>
      </c>
      <c r="F394">
        <v>63</v>
      </c>
      <c r="G394">
        <v>5040</v>
      </c>
      <c r="H394">
        <v>1</v>
      </c>
      <c r="I394">
        <v>1.440000057</v>
      </c>
      <c r="J394">
        <v>1</v>
      </c>
      <c r="K394">
        <v>0</v>
      </c>
    </row>
    <row r="395" spans="1:11" x14ac:dyDescent="0.25">
      <c r="A395">
        <v>781556</v>
      </c>
      <c r="B395">
        <v>936</v>
      </c>
      <c r="C395">
        <v>116405</v>
      </c>
      <c r="D395" t="s">
        <v>11</v>
      </c>
      <c r="E395" t="s">
        <v>16</v>
      </c>
      <c r="F395">
        <v>32</v>
      </c>
      <c r="G395">
        <v>1772</v>
      </c>
      <c r="H395">
        <v>0</v>
      </c>
      <c r="I395">
        <v>0</v>
      </c>
      <c r="J395">
        <v>1</v>
      </c>
      <c r="K395">
        <v>0</v>
      </c>
    </row>
    <row r="396" spans="1:11" x14ac:dyDescent="0.25">
      <c r="A396">
        <v>781559</v>
      </c>
      <c r="B396">
        <v>936</v>
      </c>
      <c r="C396">
        <v>116405</v>
      </c>
      <c r="D396" t="s">
        <v>11</v>
      </c>
      <c r="E396" t="s">
        <v>16</v>
      </c>
      <c r="F396">
        <v>32</v>
      </c>
      <c r="G396">
        <v>1783</v>
      </c>
      <c r="H396">
        <v>0</v>
      </c>
      <c r="I396">
        <v>0</v>
      </c>
      <c r="J396">
        <v>1</v>
      </c>
      <c r="K396">
        <v>0</v>
      </c>
    </row>
    <row r="397" spans="1:11" x14ac:dyDescent="0.25">
      <c r="A397">
        <v>781606</v>
      </c>
      <c r="B397">
        <v>936</v>
      </c>
      <c r="C397">
        <v>116413</v>
      </c>
      <c r="D397" t="s">
        <v>13</v>
      </c>
      <c r="E397" t="s">
        <v>12</v>
      </c>
      <c r="F397">
        <v>20</v>
      </c>
      <c r="G397">
        <v>8200</v>
      </c>
      <c r="H397">
        <v>3</v>
      </c>
      <c r="I397">
        <v>3.9199999569999999</v>
      </c>
      <c r="J397">
        <v>1</v>
      </c>
      <c r="K397">
        <v>0</v>
      </c>
    </row>
    <row r="398" spans="1:11" x14ac:dyDescent="0.25">
      <c r="A398">
        <v>781690</v>
      </c>
      <c r="B398">
        <v>936</v>
      </c>
      <c r="C398">
        <v>116427</v>
      </c>
      <c r="D398" t="s">
        <v>15</v>
      </c>
      <c r="E398" t="s">
        <v>16</v>
      </c>
      <c r="F398">
        <v>26</v>
      </c>
      <c r="G398">
        <v>115896</v>
      </c>
      <c r="H398">
        <v>38</v>
      </c>
      <c r="I398">
        <v>49.440000060000003</v>
      </c>
      <c r="J398">
        <v>1</v>
      </c>
      <c r="K398">
        <v>0</v>
      </c>
    </row>
    <row r="399" spans="1:11" x14ac:dyDescent="0.25">
      <c r="A399">
        <v>781811</v>
      </c>
      <c r="B399">
        <v>936</v>
      </c>
      <c r="C399">
        <v>116447</v>
      </c>
      <c r="D399" t="s">
        <v>13</v>
      </c>
      <c r="E399" t="s">
        <v>16</v>
      </c>
      <c r="F399">
        <v>16</v>
      </c>
      <c r="G399">
        <v>10186</v>
      </c>
      <c r="H399">
        <v>1</v>
      </c>
      <c r="I399">
        <v>1.230000019</v>
      </c>
      <c r="J399">
        <v>1</v>
      </c>
      <c r="K399">
        <v>1</v>
      </c>
    </row>
    <row r="400" spans="1:11" x14ac:dyDescent="0.25">
      <c r="A400">
        <v>781857</v>
      </c>
      <c r="B400">
        <v>936</v>
      </c>
      <c r="C400">
        <v>116455</v>
      </c>
      <c r="D400" t="s">
        <v>11</v>
      </c>
      <c r="E400" t="s">
        <v>12</v>
      </c>
      <c r="F400">
        <v>20</v>
      </c>
      <c r="G400">
        <v>9134</v>
      </c>
      <c r="H400">
        <v>3</v>
      </c>
      <c r="I400">
        <v>4.1800000669999999</v>
      </c>
      <c r="J400">
        <v>2</v>
      </c>
      <c r="K400">
        <v>0</v>
      </c>
    </row>
    <row r="401" spans="1:11" x14ac:dyDescent="0.25">
      <c r="A401">
        <v>781858</v>
      </c>
      <c r="B401">
        <v>936</v>
      </c>
      <c r="C401">
        <v>116455</v>
      </c>
      <c r="D401" t="s">
        <v>11</v>
      </c>
      <c r="E401" t="s">
        <v>12</v>
      </c>
      <c r="F401">
        <v>20</v>
      </c>
      <c r="G401">
        <v>3385</v>
      </c>
      <c r="H401">
        <v>1</v>
      </c>
      <c r="I401">
        <v>1.440000057</v>
      </c>
      <c r="J401">
        <v>1</v>
      </c>
      <c r="K401">
        <v>1</v>
      </c>
    </row>
    <row r="402" spans="1:11" x14ac:dyDescent="0.25">
      <c r="A402">
        <v>781907</v>
      </c>
      <c r="B402">
        <v>936</v>
      </c>
      <c r="C402">
        <v>116463</v>
      </c>
      <c r="D402" t="s">
        <v>15</v>
      </c>
      <c r="E402" t="s">
        <v>16</v>
      </c>
      <c r="F402">
        <v>21</v>
      </c>
      <c r="G402">
        <v>1314</v>
      </c>
      <c r="H402">
        <v>0</v>
      </c>
      <c r="I402">
        <v>0</v>
      </c>
      <c r="J402">
        <v>1</v>
      </c>
      <c r="K402">
        <v>0</v>
      </c>
    </row>
    <row r="403" spans="1:11" x14ac:dyDescent="0.25">
      <c r="A403">
        <v>781928</v>
      </c>
      <c r="B403">
        <v>936</v>
      </c>
      <c r="C403">
        <v>116467</v>
      </c>
      <c r="D403" t="s">
        <v>11</v>
      </c>
      <c r="E403" t="s">
        <v>12</v>
      </c>
      <c r="F403">
        <v>18</v>
      </c>
      <c r="G403">
        <v>2916</v>
      </c>
      <c r="H403">
        <v>0</v>
      </c>
      <c r="I403">
        <v>0</v>
      </c>
      <c r="J403">
        <v>1</v>
      </c>
      <c r="K403">
        <v>1</v>
      </c>
    </row>
    <row r="404" spans="1:11" x14ac:dyDescent="0.25">
      <c r="A404">
        <v>781929</v>
      </c>
      <c r="B404">
        <v>936</v>
      </c>
      <c r="C404">
        <v>116467</v>
      </c>
      <c r="D404" t="s">
        <v>11</v>
      </c>
      <c r="E404" t="s">
        <v>12</v>
      </c>
      <c r="F404">
        <v>18</v>
      </c>
      <c r="G404">
        <v>6142</v>
      </c>
      <c r="H404">
        <v>1</v>
      </c>
      <c r="I404">
        <v>1.3300000430000001</v>
      </c>
      <c r="J404">
        <v>1</v>
      </c>
      <c r="K404">
        <v>0</v>
      </c>
    </row>
    <row r="405" spans="1:11" x14ac:dyDescent="0.25">
      <c r="A405">
        <v>781950</v>
      </c>
      <c r="B405">
        <v>936</v>
      </c>
      <c r="C405">
        <v>116471</v>
      </c>
      <c r="D405" t="s">
        <v>11</v>
      </c>
      <c r="E405" t="s">
        <v>16</v>
      </c>
      <c r="F405">
        <v>20</v>
      </c>
      <c r="G405">
        <v>1984</v>
      </c>
      <c r="H405">
        <v>0</v>
      </c>
      <c r="I405">
        <v>0</v>
      </c>
      <c r="J405">
        <v>1</v>
      </c>
      <c r="K405">
        <v>0</v>
      </c>
    </row>
    <row r="406" spans="1:11" x14ac:dyDescent="0.25">
      <c r="A406">
        <v>781999</v>
      </c>
      <c r="B406">
        <v>936</v>
      </c>
      <c r="C406">
        <v>116479</v>
      </c>
      <c r="D406" t="s">
        <v>11</v>
      </c>
      <c r="E406" t="s">
        <v>12</v>
      </c>
      <c r="F406">
        <v>24</v>
      </c>
      <c r="G406">
        <v>9142</v>
      </c>
      <c r="H406">
        <v>3</v>
      </c>
      <c r="I406">
        <v>3.7499998809999999</v>
      </c>
      <c r="J406">
        <v>1</v>
      </c>
      <c r="K406">
        <v>0</v>
      </c>
    </row>
    <row r="407" spans="1:11" x14ac:dyDescent="0.25">
      <c r="A407">
        <v>782001</v>
      </c>
      <c r="B407">
        <v>936</v>
      </c>
      <c r="C407">
        <v>116479</v>
      </c>
      <c r="D407" t="s">
        <v>11</v>
      </c>
      <c r="E407" t="s">
        <v>12</v>
      </c>
      <c r="F407">
        <v>24</v>
      </c>
      <c r="G407">
        <v>5475</v>
      </c>
      <c r="H407">
        <v>2</v>
      </c>
      <c r="I407">
        <v>2.7300000190000002</v>
      </c>
      <c r="J407">
        <v>1</v>
      </c>
      <c r="K407">
        <v>1</v>
      </c>
    </row>
    <row r="408" spans="1:11" x14ac:dyDescent="0.25">
      <c r="A408">
        <v>782022</v>
      </c>
      <c r="B408">
        <v>936</v>
      </c>
      <c r="C408">
        <v>116483</v>
      </c>
      <c r="D408" t="s">
        <v>11</v>
      </c>
      <c r="E408" t="s">
        <v>16</v>
      </c>
      <c r="F408">
        <v>18</v>
      </c>
      <c r="G408">
        <v>8254</v>
      </c>
      <c r="H408">
        <v>2</v>
      </c>
      <c r="I408">
        <v>2.3200000520000001</v>
      </c>
      <c r="J408">
        <v>1</v>
      </c>
      <c r="K408">
        <v>1</v>
      </c>
    </row>
    <row r="409" spans="1:11" x14ac:dyDescent="0.25">
      <c r="A409">
        <v>782026</v>
      </c>
      <c r="B409">
        <v>936</v>
      </c>
      <c r="C409">
        <v>116483</v>
      </c>
      <c r="D409" t="s">
        <v>11</v>
      </c>
      <c r="E409" t="s">
        <v>16</v>
      </c>
      <c r="F409">
        <v>18</v>
      </c>
      <c r="G409">
        <v>5704</v>
      </c>
      <c r="H409">
        <v>1</v>
      </c>
      <c r="I409">
        <v>1.3200000519999999</v>
      </c>
      <c r="J409">
        <v>1</v>
      </c>
      <c r="K409">
        <v>0</v>
      </c>
    </row>
    <row r="410" spans="1:11" x14ac:dyDescent="0.25">
      <c r="A410">
        <v>782130</v>
      </c>
      <c r="B410">
        <v>936</v>
      </c>
      <c r="C410">
        <v>116501</v>
      </c>
      <c r="D410" t="s">
        <v>11</v>
      </c>
      <c r="E410" t="s">
        <v>16</v>
      </c>
      <c r="F410">
        <v>16</v>
      </c>
      <c r="G410">
        <v>7301</v>
      </c>
      <c r="H410">
        <v>0</v>
      </c>
      <c r="I410">
        <v>0</v>
      </c>
      <c r="J410">
        <v>1</v>
      </c>
      <c r="K410">
        <v>0</v>
      </c>
    </row>
    <row r="411" spans="1:11" x14ac:dyDescent="0.25">
      <c r="A411">
        <v>782134</v>
      </c>
      <c r="B411">
        <v>936</v>
      </c>
      <c r="C411">
        <v>116501</v>
      </c>
      <c r="D411" t="s">
        <v>11</v>
      </c>
      <c r="E411" t="s">
        <v>16</v>
      </c>
      <c r="F411">
        <v>16</v>
      </c>
      <c r="G411">
        <v>37873</v>
      </c>
      <c r="H411">
        <v>5</v>
      </c>
      <c r="I411">
        <v>6.1699999569999999</v>
      </c>
      <c r="J411">
        <v>1</v>
      </c>
      <c r="K411">
        <v>1</v>
      </c>
    </row>
    <row r="412" spans="1:11" x14ac:dyDescent="0.25">
      <c r="A412">
        <v>782135</v>
      </c>
      <c r="B412">
        <v>936</v>
      </c>
      <c r="C412">
        <v>116501</v>
      </c>
      <c r="D412" t="s">
        <v>11</v>
      </c>
      <c r="E412" t="s">
        <v>16</v>
      </c>
      <c r="F412">
        <v>16</v>
      </c>
      <c r="G412">
        <v>25267</v>
      </c>
      <c r="H412">
        <v>4</v>
      </c>
      <c r="I412">
        <v>4.9400000569999998</v>
      </c>
      <c r="J412">
        <v>2</v>
      </c>
      <c r="K412">
        <v>1</v>
      </c>
    </row>
    <row r="413" spans="1:11" x14ac:dyDescent="0.25">
      <c r="A413">
        <v>782171</v>
      </c>
      <c r="B413">
        <v>936</v>
      </c>
      <c r="C413">
        <v>116507</v>
      </c>
      <c r="D413" t="s">
        <v>11</v>
      </c>
      <c r="E413" t="s">
        <v>16</v>
      </c>
      <c r="F413">
        <v>30</v>
      </c>
      <c r="G413">
        <v>535</v>
      </c>
      <c r="H413">
        <v>0</v>
      </c>
      <c r="I413">
        <v>0</v>
      </c>
      <c r="J413">
        <v>1</v>
      </c>
      <c r="K413">
        <v>0</v>
      </c>
    </row>
    <row r="414" spans="1:11" x14ac:dyDescent="0.25">
      <c r="A414">
        <v>782180</v>
      </c>
      <c r="B414">
        <v>936</v>
      </c>
      <c r="C414">
        <v>116509</v>
      </c>
      <c r="D414" t="s">
        <v>11</v>
      </c>
      <c r="E414" t="s">
        <v>12</v>
      </c>
      <c r="F414">
        <v>29</v>
      </c>
      <c r="G414">
        <v>3396</v>
      </c>
      <c r="H414">
        <v>0</v>
      </c>
      <c r="I414">
        <v>0</v>
      </c>
      <c r="J414">
        <v>1</v>
      </c>
      <c r="K414">
        <v>0</v>
      </c>
    </row>
    <row r="415" spans="1:11" x14ac:dyDescent="0.25">
      <c r="A415">
        <v>782219</v>
      </c>
      <c r="B415">
        <v>936</v>
      </c>
      <c r="C415">
        <v>116515</v>
      </c>
      <c r="D415" t="s">
        <v>11</v>
      </c>
      <c r="E415" t="s">
        <v>12</v>
      </c>
      <c r="F415">
        <v>26</v>
      </c>
      <c r="G415">
        <v>977</v>
      </c>
      <c r="H415">
        <v>0</v>
      </c>
      <c r="I415">
        <v>0</v>
      </c>
      <c r="J415">
        <v>1</v>
      </c>
      <c r="K415">
        <v>0</v>
      </c>
    </row>
    <row r="416" spans="1:11" x14ac:dyDescent="0.25">
      <c r="A416">
        <v>782228</v>
      </c>
      <c r="B416">
        <v>936</v>
      </c>
      <c r="C416">
        <v>116517</v>
      </c>
      <c r="D416" t="s">
        <v>14</v>
      </c>
      <c r="E416" t="s">
        <v>16</v>
      </c>
      <c r="F416">
        <v>63</v>
      </c>
      <c r="G416">
        <v>12318</v>
      </c>
      <c r="H416">
        <v>5</v>
      </c>
      <c r="I416">
        <v>6.3400001530000001</v>
      </c>
      <c r="J416">
        <v>1</v>
      </c>
      <c r="K416">
        <v>1</v>
      </c>
    </row>
    <row r="417" spans="1:11" x14ac:dyDescent="0.25">
      <c r="A417">
        <v>782242</v>
      </c>
      <c r="B417">
        <v>936</v>
      </c>
      <c r="C417">
        <v>116519</v>
      </c>
      <c r="D417" t="s">
        <v>11</v>
      </c>
      <c r="E417" t="s">
        <v>16</v>
      </c>
      <c r="F417">
        <v>28</v>
      </c>
      <c r="G417">
        <v>4783</v>
      </c>
      <c r="H417">
        <v>1</v>
      </c>
      <c r="I417">
        <v>0.86000001400000003</v>
      </c>
      <c r="J417">
        <v>1</v>
      </c>
      <c r="K417">
        <v>0</v>
      </c>
    </row>
    <row r="418" spans="1:11" x14ac:dyDescent="0.25">
      <c r="A418">
        <v>782275</v>
      </c>
      <c r="B418">
        <v>936</v>
      </c>
      <c r="C418">
        <v>116525</v>
      </c>
      <c r="D418" t="s">
        <v>11</v>
      </c>
      <c r="E418" t="s">
        <v>16</v>
      </c>
      <c r="F418">
        <v>29</v>
      </c>
      <c r="G418">
        <v>6475</v>
      </c>
      <c r="H418">
        <v>1</v>
      </c>
      <c r="I418">
        <v>1.3500000240000001</v>
      </c>
      <c r="J418">
        <v>1</v>
      </c>
      <c r="K418">
        <v>0</v>
      </c>
    </row>
    <row r="419" spans="1:11" x14ac:dyDescent="0.25">
      <c r="A419">
        <v>782337</v>
      </c>
      <c r="B419">
        <v>936</v>
      </c>
      <c r="C419">
        <v>116535</v>
      </c>
      <c r="D419" t="s">
        <v>15</v>
      </c>
      <c r="E419" t="s">
        <v>16</v>
      </c>
      <c r="F419">
        <v>16</v>
      </c>
      <c r="G419">
        <v>104578</v>
      </c>
      <c r="H419">
        <v>29</v>
      </c>
      <c r="I419">
        <v>39.25000095</v>
      </c>
      <c r="J419">
        <v>1</v>
      </c>
      <c r="K419">
        <v>1</v>
      </c>
    </row>
    <row r="420" spans="1:11" x14ac:dyDescent="0.25">
      <c r="A420">
        <v>782407</v>
      </c>
      <c r="B420">
        <v>936</v>
      </c>
      <c r="C420">
        <v>116547</v>
      </c>
      <c r="D420" t="s">
        <v>15</v>
      </c>
      <c r="E420" t="s">
        <v>16</v>
      </c>
      <c r="F420">
        <v>10</v>
      </c>
      <c r="G420">
        <v>33664</v>
      </c>
      <c r="H420">
        <v>11</v>
      </c>
      <c r="I420">
        <v>12.51000035</v>
      </c>
      <c r="J420">
        <v>1</v>
      </c>
      <c r="K420">
        <v>0</v>
      </c>
    </row>
    <row r="421" spans="1:11" x14ac:dyDescent="0.25">
      <c r="A421">
        <v>782443</v>
      </c>
      <c r="B421">
        <v>936</v>
      </c>
      <c r="C421">
        <v>116553</v>
      </c>
      <c r="D421" t="s">
        <v>14</v>
      </c>
      <c r="E421" t="s">
        <v>16</v>
      </c>
      <c r="F421">
        <v>20</v>
      </c>
      <c r="G421">
        <v>979</v>
      </c>
      <c r="H421">
        <v>0</v>
      </c>
      <c r="I421">
        <v>0</v>
      </c>
      <c r="J421">
        <v>1</v>
      </c>
      <c r="K421">
        <v>0</v>
      </c>
    </row>
    <row r="422" spans="1:11" x14ac:dyDescent="0.25">
      <c r="A422">
        <v>782541</v>
      </c>
      <c r="B422">
        <v>936</v>
      </c>
      <c r="C422">
        <v>116569</v>
      </c>
      <c r="D422" t="s">
        <v>14</v>
      </c>
      <c r="E422" t="s">
        <v>16</v>
      </c>
      <c r="F422">
        <v>28</v>
      </c>
      <c r="G422">
        <v>7337</v>
      </c>
      <c r="H422">
        <v>3</v>
      </c>
      <c r="I422">
        <v>4.079999924</v>
      </c>
      <c r="J422">
        <v>1</v>
      </c>
      <c r="K422">
        <v>0</v>
      </c>
    </row>
    <row r="423" spans="1:11" x14ac:dyDescent="0.25">
      <c r="A423">
        <v>782587</v>
      </c>
      <c r="B423">
        <v>936</v>
      </c>
      <c r="C423">
        <v>116577</v>
      </c>
      <c r="D423" t="s">
        <v>11</v>
      </c>
      <c r="E423" t="s">
        <v>12</v>
      </c>
      <c r="F423">
        <v>10</v>
      </c>
      <c r="G423">
        <v>2499</v>
      </c>
      <c r="H423">
        <v>0</v>
      </c>
      <c r="I423">
        <v>0</v>
      </c>
      <c r="J423">
        <v>1</v>
      </c>
      <c r="K423">
        <v>0</v>
      </c>
    </row>
    <row r="424" spans="1:11" x14ac:dyDescent="0.25">
      <c r="A424">
        <v>782647</v>
      </c>
      <c r="B424">
        <v>936</v>
      </c>
      <c r="C424">
        <v>116587</v>
      </c>
      <c r="D424" t="s">
        <v>14</v>
      </c>
      <c r="E424" t="s">
        <v>16</v>
      </c>
      <c r="F424">
        <v>27</v>
      </c>
      <c r="G424">
        <v>11244</v>
      </c>
      <c r="H424">
        <v>3</v>
      </c>
      <c r="I424">
        <v>4.5500001909999996</v>
      </c>
      <c r="J424">
        <v>1</v>
      </c>
      <c r="K424">
        <v>0</v>
      </c>
    </row>
    <row r="425" spans="1:11" x14ac:dyDescent="0.25">
      <c r="A425">
        <v>782658</v>
      </c>
      <c r="B425">
        <v>936</v>
      </c>
      <c r="C425">
        <v>116589</v>
      </c>
      <c r="D425" t="s">
        <v>11</v>
      </c>
      <c r="E425" t="s">
        <v>12</v>
      </c>
      <c r="F425">
        <v>15</v>
      </c>
      <c r="G425">
        <v>4827</v>
      </c>
      <c r="H425">
        <v>0</v>
      </c>
      <c r="I425">
        <v>0</v>
      </c>
      <c r="J425">
        <v>1</v>
      </c>
      <c r="K425">
        <v>0</v>
      </c>
    </row>
    <row r="426" spans="1:11" x14ac:dyDescent="0.25">
      <c r="A426">
        <v>782694</v>
      </c>
      <c r="B426">
        <v>936</v>
      </c>
      <c r="C426">
        <v>116595</v>
      </c>
      <c r="D426" t="s">
        <v>13</v>
      </c>
      <c r="E426" t="s">
        <v>16</v>
      </c>
      <c r="F426">
        <v>29</v>
      </c>
      <c r="G426">
        <v>29035</v>
      </c>
      <c r="H426">
        <v>7</v>
      </c>
      <c r="I426">
        <v>8.9100000860000002</v>
      </c>
      <c r="J426">
        <v>2</v>
      </c>
      <c r="K426">
        <v>2</v>
      </c>
    </row>
    <row r="427" spans="1:11" x14ac:dyDescent="0.25">
      <c r="A427">
        <v>782706</v>
      </c>
      <c r="B427">
        <v>936</v>
      </c>
      <c r="C427">
        <v>116597</v>
      </c>
      <c r="D427" t="s">
        <v>13</v>
      </c>
      <c r="E427" t="s">
        <v>16</v>
      </c>
      <c r="F427">
        <v>30</v>
      </c>
      <c r="G427">
        <v>761</v>
      </c>
      <c r="H427">
        <v>0</v>
      </c>
      <c r="I427">
        <v>0</v>
      </c>
      <c r="J427">
        <v>1</v>
      </c>
      <c r="K427">
        <v>0</v>
      </c>
    </row>
    <row r="428" spans="1:11" x14ac:dyDescent="0.25">
      <c r="A428">
        <v>782754</v>
      </c>
      <c r="B428">
        <v>936</v>
      </c>
      <c r="C428">
        <v>116605</v>
      </c>
      <c r="D428" t="s">
        <v>13</v>
      </c>
      <c r="E428" t="s">
        <v>16</v>
      </c>
      <c r="F428">
        <v>26</v>
      </c>
      <c r="G428">
        <v>6532</v>
      </c>
      <c r="H428">
        <v>1</v>
      </c>
      <c r="I428">
        <v>1.6100000139999999</v>
      </c>
      <c r="J428">
        <v>1</v>
      </c>
      <c r="K428">
        <v>0</v>
      </c>
    </row>
    <row r="429" spans="1:11" x14ac:dyDescent="0.25">
      <c r="A429">
        <v>782815</v>
      </c>
      <c r="B429">
        <v>936</v>
      </c>
      <c r="C429">
        <v>116615</v>
      </c>
      <c r="D429" t="s">
        <v>14</v>
      </c>
      <c r="E429" t="s">
        <v>16</v>
      </c>
      <c r="F429">
        <v>10</v>
      </c>
      <c r="G429">
        <v>11537</v>
      </c>
      <c r="H429">
        <v>3</v>
      </c>
      <c r="I429">
        <v>4.3000001909999996</v>
      </c>
      <c r="J429">
        <v>1</v>
      </c>
      <c r="K429">
        <v>0</v>
      </c>
    </row>
    <row r="430" spans="1:11" x14ac:dyDescent="0.25">
      <c r="A430">
        <v>782816</v>
      </c>
      <c r="B430">
        <v>936</v>
      </c>
      <c r="C430">
        <v>116615</v>
      </c>
      <c r="D430" t="s">
        <v>14</v>
      </c>
      <c r="E430" t="s">
        <v>16</v>
      </c>
      <c r="F430">
        <v>10</v>
      </c>
      <c r="G430">
        <v>12183</v>
      </c>
      <c r="H430">
        <v>3</v>
      </c>
      <c r="I430">
        <v>2.869999945</v>
      </c>
      <c r="J430">
        <v>1</v>
      </c>
      <c r="K430">
        <v>0</v>
      </c>
    </row>
    <row r="431" spans="1:11" x14ac:dyDescent="0.25">
      <c r="A431">
        <v>782862</v>
      </c>
      <c r="B431">
        <v>936</v>
      </c>
      <c r="C431">
        <v>116623</v>
      </c>
      <c r="D431" t="s">
        <v>13</v>
      </c>
      <c r="E431" t="s">
        <v>16</v>
      </c>
      <c r="F431">
        <v>64</v>
      </c>
      <c r="G431">
        <v>5912</v>
      </c>
      <c r="H431">
        <v>1</v>
      </c>
      <c r="I431">
        <v>1.559999943</v>
      </c>
      <c r="J431">
        <v>1</v>
      </c>
      <c r="K431">
        <v>1</v>
      </c>
    </row>
    <row r="432" spans="1:11" x14ac:dyDescent="0.25">
      <c r="A432">
        <v>950068</v>
      </c>
      <c r="B432">
        <v>936</v>
      </c>
      <c r="C432">
        <v>123438</v>
      </c>
      <c r="D432" t="s">
        <v>11</v>
      </c>
      <c r="E432" t="s">
        <v>12</v>
      </c>
      <c r="F432">
        <v>10</v>
      </c>
      <c r="G432">
        <v>4012</v>
      </c>
      <c r="H432">
        <v>1</v>
      </c>
      <c r="I432">
        <v>1.5700000519999999</v>
      </c>
      <c r="J432">
        <v>1</v>
      </c>
      <c r="K432">
        <v>0</v>
      </c>
    </row>
    <row r="433" spans="1:11" x14ac:dyDescent="0.25">
      <c r="A433">
        <v>950078</v>
      </c>
      <c r="B433">
        <v>936</v>
      </c>
      <c r="C433">
        <v>123440</v>
      </c>
      <c r="D433" t="s">
        <v>11</v>
      </c>
      <c r="E433" t="s">
        <v>12</v>
      </c>
      <c r="F433">
        <v>16</v>
      </c>
      <c r="G433">
        <v>12396</v>
      </c>
      <c r="H433">
        <v>2</v>
      </c>
      <c r="I433">
        <v>3.210000038</v>
      </c>
      <c r="J433">
        <v>2</v>
      </c>
      <c r="K433">
        <v>1</v>
      </c>
    </row>
    <row r="434" spans="1:11" x14ac:dyDescent="0.25">
      <c r="A434">
        <v>950079</v>
      </c>
      <c r="B434">
        <v>936</v>
      </c>
      <c r="C434">
        <v>123440</v>
      </c>
      <c r="D434" t="s">
        <v>11</v>
      </c>
      <c r="E434" t="s">
        <v>12</v>
      </c>
      <c r="F434">
        <v>16</v>
      </c>
      <c r="G434">
        <v>3142</v>
      </c>
      <c r="H434">
        <v>0</v>
      </c>
      <c r="I434">
        <v>0</v>
      </c>
      <c r="J434">
        <v>2</v>
      </c>
      <c r="K434">
        <v>2</v>
      </c>
    </row>
    <row r="435" spans="1:11" x14ac:dyDescent="0.25">
      <c r="A435">
        <v>950099</v>
      </c>
      <c r="B435">
        <v>936</v>
      </c>
      <c r="C435">
        <v>123443</v>
      </c>
      <c r="D435" t="s">
        <v>11</v>
      </c>
      <c r="E435" t="s">
        <v>12</v>
      </c>
      <c r="F435">
        <v>18</v>
      </c>
      <c r="G435">
        <v>1120</v>
      </c>
      <c r="H435">
        <v>0</v>
      </c>
      <c r="I435">
        <v>0</v>
      </c>
      <c r="J435">
        <v>1</v>
      </c>
      <c r="K435">
        <v>0</v>
      </c>
    </row>
    <row r="436" spans="1:11" x14ac:dyDescent="0.25">
      <c r="A436">
        <v>950109</v>
      </c>
      <c r="B436">
        <v>936</v>
      </c>
      <c r="C436">
        <v>123445</v>
      </c>
      <c r="D436" t="s">
        <v>11</v>
      </c>
      <c r="E436" t="s">
        <v>12</v>
      </c>
      <c r="F436">
        <v>20</v>
      </c>
      <c r="G436">
        <v>343</v>
      </c>
      <c r="H436">
        <v>0</v>
      </c>
      <c r="I436">
        <v>0</v>
      </c>
      <c r="J436">
        <v>1</v>
      </c>
      <c r="K436">
        <v>1</v>
      </c>
    </row>
    <row r="437" spans="1:11" x14ac:dyDescent="0.25">
      <c r="A437">
        <v>950170</v>
      </c>
      <c r="B437">
        <v>936</v>
      </c>
      <c r="C437">
        <v>123455</v>
      </c>
      <c r="D437" t="s">
        <v>11</v>
      </c>
      <c r="E437" t="s">
        <v>12</v>
      </c>
      <c r="F437">
        <v>15</v>
      </c>
      <c r="G437">
        <v>1720</v>
      </c>
      <c r="H437">
        <v>0</v>
      </c>
      <c r="I437">
        <v>0</v>
      </c>
      <c r="J437">
        <v>1</v>
      </c>
      <c r="K437">
        <v>1</v>
      </c>
    </row>
    <row r="438" spans="1:11" x14ac:dyDescent="0.25">
      <c r="A438">
        <v>950179</v>
      </c>
      <c r="B438">
        <v>936</v>
      </c>
      <c r="C438">
        <v>123457</v>
      </c>
      <c r="D438" t="s">
        <v>11</v>
      </c>
      <c r="E438" t="s">
        <v>12</v>
      </c>
      <c r="F438">
        <v>16</v>
      </c>
      <c r="G438">
        <v>3423</v>
      </c>
      <c r="H438">
        <v>0</v>
      </c>
      <c r="I438">
        <v>0</v>
      </c>
      <c r="J438">
        <v>1</v>
      </c>
      <c r="K438">
        <v>1</v>
      </c>
    </row>
    <row r="439" spans="1:11" x14ac:dyDescent="0.25">
      <c r="A439">
        <v>950182</v>
      </c>
      <c r="B439">
        <v>936</v>
      </c>
      <c r="C439">
        <v>123457</v>
      </c>
      <c r="D439" t="s">
        <v>11</v>
      </c>
      <c r="E439" t="s">
        <v>12</v>
      </c>
      <c r="F439">
        <v>16</v>
      </c>
      <c r="G439">
        <v>3242</v>
      </c>
      <c r="H439">
        <v>0</v>
      </c>
      <c r="I439">
        <v>0</v>
      </c>
      <c r="J439">
        <v>1</v>
      </c>
      <c r="K439">
        <v>0</v>
      </c>
    </row>
    <row r="440" spans="1:11" x14ac:dyDescent="0.25">
      <c r="A440">
        <v>950183</v>
      </c>
      <c r="B440">
        <v>936</v>
      </c>
      <c r="C440">
        <v>123457</v>
      </c>
      <c r="D440" t="s">
        <v>11</v>
      </c>
      <c r="E440" t="s">
        <v>12</v>
      </c>
      <c r="F440">
        <v>16</v>
      </c>
      <c r="G440">
        <v>15720</v>
      </c>
      <c r="H440">
        <v>1</v>
      </c>
      <c r="I440">
        <v>1.3799999949999999</v>
      </c>
      <c r="J440">
        <v>1</v>
      </c>
      <c r="K440">
        <v>0</v>
      </c>
    </row>
    <row r="441" spans="1:11" x14ac:dyDescent="0.25">
      <c r="A441">
        <v>950200</v>
      </c>
      <c r="B441">
        <v>936</v>
      </c>
      <c r="C441">
        <v>123460</v>
      </c>
      <c r="D441" t="s">
        <v>11</v>
      </c>
      <c r="E441" t="s">
        <v>12</v>
      </c>
      <c r="F441">
        <v>10</v>
      </c>
      <c r="G441">
        <v>1217</v>
      </c>
      <c r="H441">
        <v>0</v>
      </c>
      <c r="I441">
        <v>0</v>
      </c>
      <c r="J441">
        <v>1</v>
      </c>
      <c r="K441">
        <v>1</v>
      </c>
    </row>
    <row r="442" spans="1:11" x14ac:dyDescent="0.25">
      <c r="A442">
        <v>950224</v>
      </c>
      <c r="B442">
        <v>936</v>
      </c>
      <c r="C442">
        <v>123464</v>
      </c>
      <c r="D442" t="s">
        <v>14</v>
      </c>
      <c r="E442" t="s">
        <v>12</v>
      </c>
      <c r="F442">
        <v>20</v>
      </c>
      <c r="G442">
        <v>2367</v>
      </c>
      <c r="H442">
        <v>2</v>
      </c>
      <c r="I442">
        <v>2.8399999139999998</v>
      </c>
      <c r="J442">
        <v>1</v>
      </c>
      <c r="K442">
        <v>1</v>
      </c>
    </row>
    <row r="443" spans="1:11" x14ac:dyDescent="0.25">
      <c r="A443">
        <v>950326</v>
      </c>
      <c r="B443">
        <v>936</v>
      </c>
      <c r="C443">
        <v>123481</v>
      </c>
      <c r="D443" t="s">
        <v>13</v>
      </c>
      <c r="E443" t="s">
        <v>12</v>
      </c>
      <c r="F443">
        <v>16</v>
      </c>
      <c r="G443">
        <v>6607</v>
      </c>
      <c r="H443">
        <v>1</v>
      </c>
      <c r="I443">
        <v>1.3200000519999999</v>
      </c>
      <c r="J443">
        <v>2</v>
      </c>
      <c r="K443">
        <v>0</v>
      </c>
    </row>
    <row r="444" spans="1:11" x14ac:dyDescent="0.25">
      <c r="A444">
        <v>950345</v>
      </c>
      <c r="B444">
        <v>936</v>
      </c>
      <c r="C444">
        <v>123484</v>
      </c>
      <c r="D444" t="s">
        <v>11</v>
      </c>
      <c r="E444" t="s">
        <v>12</v>
      </c>
      <c r="F444">
        <v>64</v>
      </c>
      <c r="G444">
        <v>616</v>
      </c>
      <c r="H444">
        <v>0</v>
      </c>
      <c r="I444">
        <v>0</v>
      </c>
      <c r="J444">
        <v>1</v>
      </c>
      <c r="K444">
        <v>0</v>
      </c>
    </row>
    <row r="445" spans="1:11" x14ac:dyDescent="0.25">
      <c r="A445">
        <v>950452</v>
      </c>
      <c r="B445">
        <v>936</v>
      </c>
      <c r="C445">
        <v>123502</v>
      </c>
      <c r="D445" t="s">
        <v>15</v>
      </c>
      <c r="E445" t="s">
        <v>12</v>
      </c>
      <c r="F445">
        <v>16</v>
      </c>
      <c r="G445">
        <v>5537</v>
      </c>
      <c r="H445">
        <v>1</v>
      </c>
      <c r="I445">
        <v>1.519999981</v>
      </c>
      <c r="J445">
        <v>1</v>
      </c>
      <c r="K445">
        <v>0</v>
      </c>
    </row>
    <row r="446" spans="1:11" x14ac:dyDescent="0.25">
      <c r="A446">
        <v>950463</v>
      </c>
      <c r="B446">
        <v>936</v>
      </c>
      <c r="C446">
        <v>123504</v>
      </c>
      <c r="D446" t="s">
        <v>15</v>
      </c>
      <c r="E446" t="s">
        <v>12</v>
      </c>
      <c r="F446">
        <v>15</v>
      </c>
      <c r="G446">
        <v>818</v>
      </c>
      <c r="H446">
        <v>0</v>
      </c>
      <c r="I446">
        <v>0</v>
      </c>
      <c r="J446">
        <v>1</v>
      </c>
      <c r="K446">
        <v>0</v>
      </c>
    </row>
    <row r="447" spans="1:11" x14ac:dyDescent="0.25">
      <c r="A447">
        <v>950495</v>
      </c>
      <c r="B447">
        <v>936</v>
      </c>
      <c r="C447">
        <v>123509</v>
      </c>
      <c r="D447" t="s">
        <v>15</v>
      </c>
      <c r="E447" t="s">
        <v>12</v>
      </c>
      <c r="F447">
        <v>21</v>
      </c>
      <c r="G447">
        <v>1909</v>
      </c>
      <c r="H447">
        <v>1</v>
      </c>
      <c r="I447">
        <v>0.980000019</v>
      </c>
      <c r="J447">
        <v>1</v>
      </c>
      <c r="K447">
        <v>0</v>
      </c>
    </row>
    <row r="448" spans="1:11" x14ac:dyDescent="0.25">
      <c r="A448">
        <v>950521</v>
      </c>
      <c r="B448">
        <v>936</v>
      </c>
      <c r="C448">
        <v>123514</v>
      </c>
      <c r="D448" t="s">
        <v>11</v>
      </c>
      <c r="E448" t="s">
        <v>12</v>
      </c>
      <c r="F448">
        <v>21</v>
      </c>
      <c r="G448">
        <v>351</v>
      </c>
      <c r="H448">
        <v>0</v>
      </c>
      <c r="I448">
        <v>0</v>
      </c>
      <c r="J448">
        <v>1</v>
      </c>
      <c r="K448">
        <v>0</v>
      </c>
    </row>
    <row r="449" spans="1:11" x14ac:dyDescent="0.25">
      <c r="A449">
        <v>950531</v>
      </c>
      <c r="B449">
        <v>936</v>
      </c>
      <c r="C449">
        <v>123515</v>
      </c>
      <c r="D449" t="s">
        <v>15</v>
      </c>
      <c r="E449" t="s">
        <v>12</v>
      </c>
      <c r="F449">
        <v>22</v>
      </c>
      <c r="G449">
        <v>572</v>
      </c>
      <c r="H449">
        <v>0</v>
      </c>
      <c r="I449">
        <v>0</v>
      </c>
      <c r="J449">
        <v>1</v>
      </c>
      <c r="K449">
        <v>0</v>
      </c>
    </row>
    <row r="450" spans="1:11" x14ac:dyDescent="0.25">
      <c r="A450">
        <v>950537</v>
      </c>
      <c r="B450">
        <v>936</v>
      </c>
      <c r="C450">
        <v>123516</v>
      </c>
      <c r="D450" t="s">
        <v>14</v>
      </c>
      <c r="E450" t="s">
        <v>12</v>
      </c>
      <c r="F450">
        <v>36</v>
      </c>
      <c r="G450">
        <v>1884</v>
      </c>
      <c r="H450">
        <v>1</v>
      </c>
      <c r="I450">
        <v>1.4099999670000001</v>
      </c>
      <c r="J450">
        <v>1</v>
      </c>
      <c r="K450">
        <v>0</v>
      </c>
    </row>
    <row r="451" spans="1:11" x14ac:dyDescent="0.25">
      <c r="A451">
        <v>950550</v>
      </c>
      <c r="B451">
        <v>936</v>
      </c>
      <c r="C451">
        <v>123519</v>
      </c>
      <c r="D451" t="s">
        <v>11</v>
      </c>
      <c r="E451" t="s">
        <v>12</v>
      </c>
      <c r="F451">
        <v>30</v>
      </c>
      <c r="G451">
        <v>219</v>
      </c>
      <c r="H451">
        <v>0</v>
      </c>
      <c r="I451">
        <v>0</v>
      </c>
      <c r="J451">
        <v>1</v>
      </c>
      <c r="K451">
        <v>0</v>
      </c>
    </row>
    <row r="452" spans="1:11" x14ac:dyDescent="0.25">
      <c r="A452">
        <v>950577</v>
      </c>
      <c r="B452">
        <v>936</v>
      </c>
      <c r="C452">
        <v>123523</v>
      </c>
      <c r="D452" t="s">
        <v>11</v>
      </c>
      <c r="E452" t="s">
        <v>12</v>
      </c>
      <c r="F452">
        <v>32</v>
      </c>
      <c r="G452">
        <v>540</v>
      </c>
      <c r="H452">
        <v>0</v>
      </c>
      <c r="I452">
        <v>0</v>
      </c>
      <c r="J452">
        <v>1</v>
      </c>
      <c r="K452">
        <v>1</v>
      </c>
    </row>
    <row r="453" spans="1:11" x14ac:dyDescent="0.25">
      <c r="A453">
        <v>950578</v>
      </c>
      <c r="B453">
        <v>936</v>
      </c>
      <c r="C453">
        <v>123523</v>
      </c>
      <c r="D453" t="s">
        <v>11</v>
      </c>
      <c r="E453" t="s">
        <v>12</v>
      </c>
      <c r="F453">
        <v>32</v>
      </c>
      <c r="G453">
        <v>550</v>
      </c>
      <c r="H453">
        <v>0</v>
      </c>
      <c r="I453">
        <v>0</v>
      </c>
      <c r="J453">
        <v>1</v>
      </c>
      <c r="K453">
        <v>0</v>
      </c>
    </row>
    <row r="454" spans="1:11" x14ac:dyDescent="0.25">
      <c r="A454">
        <v>950595</v>
      </c>
      <c r="B454">
        <v>936</v>
      </c>
      <c r="C454">
        <v>123526</v>
      </c>
      <c r="D454" t="s">
        <v>11</v>
      </c>
      <c r="E454" t="s">
        <v>12</v>
      </c>
      <c r="F454">
        <v>26</v>
      </c>
      <c r="G454">
        <v>465</v>
      </c>
      <c r="H454">
        <v>0</v>
      </c>
      <c r="I454">
        <v>0</v>
      </c>
      <c r="J454">
        <v>1</v>
      </c>
      <c r="K454">
        <v>0</v>
      </c>
    </row>
    <row r="455" spans="1:11" x14ac:dyDescent="0.25">
      <c r="A455">
        <v>950609</v>
      </c>
      <c r="B455">
        <v>936</v>
      </c>
      <c r="C455">
        <v>123528</v>
      </c>
      <c r="D455" t="s">
        <v>11</v>
      </c>
      <c r="E455" t="s">
        <v>12</v>
      </c>
      <c r="F455">
        <v>29</v>
      </c>
      <c r="G455">
        <v>1761</v>
      </c>
      <c r="H455">
        <v>0</v>
      </c>
      <c r="I455">
        <v>0</v>
      </c>
      <c r="J455">
        <v>1</v>
      </c>
      <c r="K455">
        <v>1</v>
      </c>
    </row>
    <row r="456" spans="1:11" x14ac:dyDescent="0.25">
      <c r="A456">
        <v>950629</v>
      </c>
      <c r="B456">
        <v>936</v>
      </c>
      <c r="C456">
        <v>123532</v>
      </c>
      <c r="D456" t="s">
        <v>11</v>
      </c>
      <c r="E456" t="s">
        <v>12</v>
      </c>
      <c r="F456">
        <v>65</v>
      </c>
      <c r="G456">
        <v>152</v>
      </c>
      <c r="H456">
        <v>0</v>
      </c>
      <c r="I456">
        <v>0</v>
      </c>
      <c r="J456">
        <v>1</v>
      </c>
      <c r="K456">
        <v>1</v>
      </c>
    </row>
    <row r="457" spans="1:11" x14ac:dyDescent="0.25">
      <c r="A457">
        <v>950631</v>
      </c>
      <c r="B457">
        <v>936</v>
      </c>
      <c r="C457">
        <v>123532</v>
      </c>
      <c r="D457" t="s">
        <v>11</v>
      </c>
      <c r="E457" t="s">
        <v>12</v>
      </c>
      <c r="F457">
        <v>65</v>
      </c>
      <c r="G457">
        <v>152</v>
      </c>
      <c r="H457">
        <v>0</v>
      </c>
      <c r="I457">
        <v>0</v>
      </c>
      <c r="J457">
        <v>1</v>
      </c>
      <c r="K457">
        <v>1</v>
      </c>
    </row>
    <row r="458" spans="1:11" x14ac:dyDescent="0.25">
      <c r="A458">
        <v>950649</v>
      </c>
      <c r="B458">
        <v>936</v>
      </c>
      <c r="C458">
        <v>123535</v>
      </c>
      <c r="D458" t="s">
        <v>11</v>
      </c>
      <c r="E458" t="s">
        <v>12</v>
      </c>
      <c r="F458">
        <v>64</v>
      </c>
      <c r="G458">
        <v>429</v>
      </c>
      <c r="H458">
        <v>0</v>
      </c>
      <c r="I458">
        <v>0</v>
      </c>
      <c r="J458">
        <v>1</v>
      </c>
      <c r="K458">
        <v>0</v>
      </c>
    </row>
    <row r="459" spans="1:11" x14ac:dyDescent="0.25">
      <c r="A459">
        <v>950745</v>
      </c>
      <c r="B459">
        <v>936</v>
      </c>
      <c r="C459">
        <v>123551</v>
      </c>
      <c r="D459" t="s">
        <v>11</v>
      </c>
      <c r="E459" t="s">
        <v>12</v>
      </c>
      <c r="F459">
        <v>29</v>
      </c>
      <c r="G459">
        <v>1514</v>
      </c>
      <c r="H459">
        <v>0</v>
      </c>
      <c r="I459">
        <v>0</v>
      </c>
      <c r="J459">
        <v>2</v>
      </c>
      <c r="K459">
        <v>2</v>
      </c>
    </row>
    <row r="460" spans="1:11" x14ac:dyDescent="0.25">
      <c r="A460">
        <v>950770</v>
      </c>
      <c r="B460">
        <v>936</v>
      </c>
      <c r="C460">
        <v>123555</v>
      </c>
      <c r="D460" t="s">
        <v>11</v>
      </c>
      <c r="E460" t="s">
        <v>12</v>
      </c>
      <c r="F460">
        <v>28</v>
      </c>
      <c r="G460">
        <v>7780</v>
      </c>
      <c r="H460">
        <v>3</v>
      </c>
      <c r="I460">
        <v>4.329999924</v>
      </c>
      <c r="J460">
        <v>2</v>
      </c>
      <c r="K460">
        <v>2</v>
      </c>
    </row>
    <row r="461" spans="1:11" x14ac:dyDescent="0.25">
      <c r="A461">
        <v>950772</v>
      </c>
      <c r="B461">
        <v>936</v>
      </c>
      <c r="C461">
        <v>123556</v>
      </c>
      <c r="D461" t="s">
        <v>13</v>
      </c>
      <c r="E461" t="s">
        <v>12</v>
      </c>
      <c r="F461">
        <v>28</v>
      </c>
      <c r="G461">
        <v>460</v>
      </c>
      <c r="H461">
        <v>0</v>
      </c>
      <c r="I461">
        <v>0</v>
      </c>
      <c r="J461">
        <v>1</v>
      </c>
      <c r="K461">
        <v>0</v>
      </c>
    </row>
    <row r="462" spans="1:11" x14ac:dyDescent="0.25">
      <c r="A462">
        <v>950773</v>
      </c>
      <c r="B462">
        <v>936</v>
      </c>
      <c r="C462">
        <v>123556</v>
      </c>
      <c r="D462" t="s">
        <v>13</v>
      </c>
      <c r="E462" t="s">
        <v>12</v>
      </c>
      <c r="F462">
        <v>28</v>
      </c>
      <c r="G462">
        <v>471</v>
      </c>
      <c r="H462">
        <v>0</v>
      </c>
      <c r="I462">
        <v>0</v>
      </c>
      <c r="J462">
        <v>1</v>
      </c>
      <c r="K462">
        <v>0</v>
      </c>
    </row>
    <row r="463" spans="1:11" x14ac:dyDescent="0.25">
      <c r="A463">
        <v>950776</v>
      </c>
      <c r="B463">
        <v>936</v>
      </c>
      <c r="C463">
        <v>123556</v>
      </c>
      <c r="D463" t="s">
        <v>13</v>
      </c>
      <c r="E463" t="s">
        <v>12</v>
      </c>
      <c r="F463">
        <v>28</v>
      </c>
      <c r="G463">
        <v>2633</v>
      </c>
      <c r="H463">
        <v>1</v>
      </c>
      <c r="I463">
        <v>1.0700000519999999</v>
      </c>
      <c r="J463">
        <v>1</v>
      </c>
      <c r="K463">
        <v>0</v>
      </c>
    </row>
    <row r="464" spans="1:11" x14ac:dyDescent="0.25">
      <c r="A464">
        <v>950787</v>
      </c>
      <c r="B464">
        <v>936</v>
      </c>
      <c r="C464">
        <v>123558</v>
      </c>
      <c r="D464" t="s">
        <v>11</v>
      </c>
      <c r="E464" t="s">
        <v>12</v>
      </c>
      <c r="F464">
        <v>27</v>
      </c>
      <c r="G464">
        <v>199</v>
      </c>
      <c r="H464">
        <v>0</v>
      </c>
      <c r="I464">
        <v>0</v>
      </c>
      <c r="J464">
        <v>1</v>
      </c>
      <c r="K464">
        <v>0</v>
      </c>
    </row>
    <row r="465" spans="1:11" x14ac:dyDescent="0.25">
      <c r="A465">
        <v>950808</v>
      </c>
      <c r="B465">
        <v>936</v>
      </c>
      <c r="C465">
        <v>123562</v>
      </c>
      <c r="D465" t="s">
        <v>13</v>
      </c>
      <c r="E465" t="s">
        <v>12</v>
      </c>
      <c r="F465">
        <v>32</v>
      </c>
      <c r="G465">
        <v>398</v>
      </c>
      <c r="H465">
        <v>0</v>
      </c>
      <c r="I465">
        <v>0</v>
      </c>
      <c r="J465">
        <v>1</v>
      </c>
      <c r="K465">
        <v>0</v>
      </c>
    </row>
    <row r="466" spans="1:11" x14ac:dyDescent="0.25">
      <c r="A466">
        <v>950839</v>
      </c>
      <c r="B466">
        <v>936</v>
      </c>
      <c r="C466">
        <v>123567</v>
      </c>
      <c r="D466" t="s">
        <v>11</v>
      </c>
      <c r="E466" t="s">
        <v>12</v>
      </c>
      <c r="F466">
        <v>24</v>
      </c>
      <c r="G466">
        <v>246</v>
      </c>
      <c r="H466">
        <v>0</v>
      </c>
      <c r="I466">
        <v>0</v>
      </c>
      <c r="J466">
        <v>2</v>
      </c>
      <c r="K466">
        <v>2</v>
      </c>
    </row>
    <row r="467" spans="1:11" x14ac:dyDescent="0.25">
      <c r="A467">
        <v>950878</v>
      </c>
      <c r="B467">
        <v>936</v>
      </c>
      <c r="C467">
        <v>123573</v>
      </c>
      <c r="D467" t="s">
        <v>14</v>
      </c>
      <c r="E467" t="s">
        <v>12</v>
      </c>
      <c r="F467">
        <v>10</v>
      </c>
      <c r="G467">
        <v>2967</v>
      </c>
      <c r="H467">
        <v>1</v>
      </c>
      <c r="I467">
        <v>1.5</v>
      </c>
      <c r="J467">
        <v>1</v>
      </c>
      <c r="K467">
        <v>1</v>
      </c>
    </row>
    <row r="468" spans="1:11" x14ac:dyDescent="0.25">
      <c r="A468">
        <v>950969</v>
      </c>
      <c r="B468">
        <v>936</v>
      </c>
      <c r="C468">
        <v>123588</v>
      </c>
      <c r="D468" t="s">
        <v>15</v>
      </c>
      <c r="E468" t="s">
        <v>12</v>
      </c>
      <c r="F468">
        <v>36</v>
      </c>
      <c r="G468">
        <v>255</v>
      </c>
      <c r="H468">
        <v>0</v>
      </c>
      <c r="I468">
        <v>0</v>
      </c>
      <c r="J468">
        <v>1</v>
      </c>
      <c r="K468">
        <v>0</v>
      </c>
    </row>
    <row r="469" spans="1:11" x14ac:dyDescent="0.25">
      <c r="A469">
        <v>951021</v>
      </c>
      <c r="B469">
        <v>936</v>
      </c>
      <c r="C469">
        <v>123597</v>
      </c>
      <c r="D469" t="s">
        <v>11</v>
      </c>
      <c r="E469" t="s">
        <v>16</v>
      </c>
      <c r="F469">
        <v>7</v>
      </c>
      <c r="G469">
        <v>457</v>
      </c>
      <c r="H469">
        <v>0</v>
      </c>
      <c r="I469">
        <v>0</v>
      </c>
      <c r="J469">
        <v>1</v>
      </c>
      <c r="K469">
        <v>1</v>
      </c>
    </row>
    <row r="470" spans="1:11" x14ac:dyDescent="0.25">
      <c r="A470">
        <v>951033</v>
      </c>
      <c r="B470">
        <v>936</v>
      </c>
      <c r="C470">
        <v>123599</v>
      </c>
      <c r="D470" t="s">
        <v>11</v>
      </c>
      <c r="E470" t="s">
        <v>16</v>
      </c>
      <c r="F470">
        <v>10</v>
      </c>
      <c r="G470">
        <v>5517</v>
      </c>
      <c r="H470">
        <v>1</v>
      </c>
      <c r="I470">
        <v>1.230000019</v>
      </c>
      <c r="J470">
        <v>1</v>
      </c>
      <c r="K470">
        <v>0</v>
      </c>
    </row>
    <row r="471" spans="1:11" x14ac:dyDescent="0.25">
      <c r="A471">
        <v>951035</v>
      </c>
      <c r="B471">
        <v>936</v>
      </c>
      <c r="C471">
        <v>123599</v>
      </c>
      <c r="D471" t="s">
        <v>11</v>
      </c>
      <c r="E471" t="s">
        <v>16</v>
      </c>
      <c r="F471">
        <v>10</v>
      </c>
      <c r="G471">
        <v>1539</v>
      </c>
      <c r="H471">
        <v>0</v>
      </c>
      <c r="I471">
        <v>0</v>
      </c>
      <c r="J471">
        <v>1</v>
      </c>
      <c r="K471">
        <v>1</v>
      </c>
    </row>
    <row r="472" spans="1:11" x14ac:dyDescent="0.25">
      <c r="A472">
        <v>951043</v>
      </c>
      <c r="B472">
        <v>936</v>
      </c>
      <c r="C472">
        <v>123601</v>
      </c>
      <c r="D472" t="s">
        <v>11</v>
      </c>
      <c r="E472" t="s">
        <v>16</v>
      </c>
      <c r="F472">
        <v>16</v>
      </c>
      <c r="G472">
        <v>3189</v>
      </c>
      <c r="H472">
        <v>0</v>
      </c>
      <c r="I472">
        <v>0</v>
      </c>
      <c r="J472">
        <v>1</v>
      </c>
      <c r="K472">
        <v>0</v>
      </c>
    </row>
    <row r="473" spans="1:11" x14ac:dyDescent="0.25">
      <c r="A473">
        <v>951045</v>
      </c>
      <c r="B473">
        <v>936</v>
      </c>
      <c r="C473">
        <v>123601</v>
      </c>
      <c r="D473" t="s">
        <v>11</v>
      </c>
      <c r="E473" t="s">
        <v>16</v>
      </c>
      <c r="F473">
        <v>16</v>
      </c>
      <c r="G473">
        <v>3348</v>
      </c>
      <c r="H473">
        <v>0</v>
      </c>
      <c r="I473">
        <v>0</v>
      </c>
      <c r="J473">
        <v>1</v>
      </c>
      <c r="K473">
        <v>0</v>
      </c>
    </row>
    <row r="474" spans="1:11" x14ac:dyDescent="0.25">
      <c r="A474">
        <v>951046</v>
      </c>
      <c r="B474">
        <v>936</v>
      </c>
      <c r="C474">
        <v>123601</v>
      </c>
      <c r="D474" t="s">
        <v>11</v>
      </c>
      <c r="E474" t="s">
        <v>16</v>
      </c>
      <c r="F474">
        <v>16</v>
      </c>
      <c r="G474">
        <v>20050</v>
      </c>
      <c r="H474">
        <v>4</v>
      </c>
      <c r="I474">
        <v>4.6599998469999999</v>
      </c>
      <c r="J474">
        <v>4</v>
      </c>
      <c r="K474">
        <v>1</v>
      </c>
    </row>
    <row r="475" spans="1:11" x14ac:dyDescent="0.25">
      <c r="A475">
        <v>951102</v>
      </c>
      <c r="B475">
        <v>936</v>
      </c>
      <c r="C475">
        <v>123611</v>
      </c>
      <c r="D475" t="s">
        <v>15</v>
      </c>
      <c r="E475" t="s">
        <v>12</v>
      </c>
      <c r="F475">
        <v>16</v>
      </c>
      <c r="G475">
        <v>2254</v>
      </c>
      <c r="H475">
        <v>0</v>
      </c>
      <c r="I475">
        <v>0</v>
      </c>
      <c r="J475">
        <v>1</v>
      </c>
      <c r="K475">
        <v>0</v>
      </c>
    </row>
    <row r="476" spans="1:11" x14ac:dyDescent="0.25">
      <c r="A476">
        <v>951105</v>
      </c>
      <c r="B476">
        <v>936</v>
      </c>
      <c r="C476">
        <v>123611</v>
      </c>
      <c r="D476" t="s">
        <v>15</v>
      </c>
      <c r="E476" t="s">
        <v>12</v>
      </c>
      <c r="F476">
        <v>16</v>
      </c>
      <c r="G476">
        <v>5894</v>
      </c>
      <c r="H476">
        <v>1</v>
      </c>
      <c r="I476">
        <v>1.539999962</v>
      </c>
      <c r="J476">
        <v>1</v>
      </c>
      <c r="K476">
        <v>1</v>
      </c>
    </row>
    <row r="477" spans="1:11" x14ac:dyDescent="0.25">
      <c r="A477">
        <v>951133</v>
      </c>
      <c r="B477">
        <v>936</v>
      </c>
      <c r="C477">
        <v>123616</v>
      </c>
      <c r="D477" t="s">
        <v>13</v>
      </c>
      <c r="E477" t="s">
        <v>12</v>
      </c>
      <c r="F477">
        <v>16</v>
      </c>
      <c r="G477">
        <v>9948</v>
      </c>
      <c r="H477">
        <v>2</v>
      </c>
      <c r="I477">
        <v>2.7200000289999999</v>
      </c>
      <c r="J477">
        <v>2</v>
      </c>
      <c r="K477">
        <v>0</v>
      </c>
    </row>
    <row r="478" spans="1:11" x14ac:dyDescent="0.25">
      <c r="A478">
        <v>951202</v>
      </c>
      <c r="B478">
        <v>936</v>
      </c>
      <c r="C478">
        <v>123627</v>
      </c>
      <c r="D478" t="s">
        <v>15</v>
      </c>
      <c r="E478" t="s">
        <v>16</v>
      </c>
      <c r="F478">
        <v>26</v>
      </c>
      <c r="G478">
        <v>5307</v>
      </c>
      <c r="H478">
        <v>3</v>
      </c>
      <c r="I478">
        <v>4.2899999619999996</v>
      </c>
      <c r="J478">
        <v>2</v>
      </c>
      <c r="K478">
        <v>1</v>
      </c>
    </row>
    <row r="479" spans="1:11" x14ac:dyDescent="0.25">
      <c r="A479">
        <v>951225</v>
      </c>
      <c r="B479">
        <v>936</v>
      </c>
      <c r="C479">
        <v>123631</v>
      </c>
      <c r="D479" t="s">
        <v>13</v>
      </c>
      <c r="E479" t="s">
        <v>16</v>
      </c>
      <c r="F479">
        <v>22</v>
      </c>
      <c r="G479">
        <v>4621</v>
      </c>
      <c r="H479">
        <v>2</v>
      </c>
      <c r="I479">
        <v>3.25</v>
      </c>
      <c r="J479">
        <v>1</v>
      </c>
      <c r="K479">
        <v>1</v>
      </c>
    </row>
    <row r="480" spans="1:11" x14ac:dyDescent="0.25">
      <c r="A480">
        <v>951270</v>
      </c>
      <c r="B480">
        <v>936</v>
      </c>
      <c r="C480">
        <v>123639</v>
      </c>
      <c r="D480" t="s">
        <v>13</v>
      </c>
      <c r="E480" t="s">
        <v>16</v>
      </c>
      <c r="F480">
        <v>18</v>
      </c>
      <c r="G480">
        <v>784</v>
      </c>
      <c r="H480">
        <v>0</v>
      </c>
      <c r="I480">
        <v>0</v>
      </c>
      <c r="J480">
        <v>1</v>
      </c>
      <c r="K480">
        <v>1</v>
      </c>
    </row>
    <row r="481" spans="1:11" x14ac:dyDescent="0.25">
      <c r="A481">
        <v>951282</v>
      </c>
      <c r="B481">
        <v>936</v>
      </c>
      <c r="C481">
        <v>123641</v>
      </c>
      <c r="D481" t="s">
        <v>13</v>
      </c>
      <c r="E481" t="s">
        <v>16</v>
      </c>
      <c r="F481">
        <v>16</v>
      </c>
      <c r="G481">
        <v>5775</v>
      </c>
      <c r="H481">
        <v>1</v>
      </c>
      <c r="I481">
        <v>1.5800000430000001</v>
      </c>
      <c r="J481">
        <v>1</v>
      </c>
      <c r="K481">
        <v>1</v>
      </c>
    </row>
    <row r="482" spans="1:11" x14ac:dyDescent="0.25">
      <c r="A482">
        <v>951285</v>
      </c>
      <c r="B482">
        <v>936</v>
      </c>
      <c r="C482">
        <v>123641</v>
      </c>
      <c r="D482" t="s">
        <v>13</v>
      </c>
      <c r="E482" t="s">
        <v>16</v>
      </c>
      <c r="F482">
        <v>16</v>
      </c>
      <c r="G482">
        <v>9297</v>
      </c>
      <c r="H482">
        <v>2</v>
      </c>
      <c r="I482">
        <v>2.619999886</v>
      </c>
      <c r="J482">
        <v>2</v>
      </c>
      <c r="K482">
        <v>1</v>
      </c>
    </row>
    <row r="483" spans="1:11" x14ac:dyDescent="0.25">
      <c r="A483">
        <v>951294</v>
      </c>
      <c r="B483">
        <v>936</v>
      </c>
      <c r="C483">
        <v>123643</v>
      </c>
      <c r="D483" t="s">
        <v>13</v>
      </c>
      <c r="E483" t="s">
        <v>16</v>
      </c>
      <c r="F483">
        <v>15</v>
      </c>
      <c r="G483">
        <v>699</v>
      </c>
      <c r="H483">
        <v>0</v>
      </c>
      <c r="I483">
        <v>0</v>
      </c>
      <c r="J483">
        <v>1</v>
      </c>
      <c r="K483">
        <v>0</v>
      </c>
    </row>
    <row r="484" spans="1:11" x14ac:dyDescent="0.25">
      <c r="A484">
        <v>951305</v>
      </c>
      <c r="B484">
        <v>936</v>
      </c>
      <c r="C484">
        <v>123644</v>
      </c>
      <c r="D484" t="s">
        <v>13</v>
      </c>
      <c r="E484" t="s">
        <v>16</v>
      </c>
      <c r="F484">
        <v>10</v>
      </c>
      <c r="G484">
        <v>1104</v>
      </c>
      <c r="H484">
        <v>0</v>
      </c>
      <c r="I484">
        <v>0</v>
      </c>
      <c r="J484">
        <v>1</v>
      </c>
      <c r="K484">
        <v>0</v>
      </c>
    </row>
    <row r="485" spans="1:11" x14ac:dyDescent="0.25">
      <c r="A485">
        <v>951334</v>
      </c>
      <c r="B485">
        <v>936</v>
      </c>
      <c r="C485">
        <v>123649</v>
      </c>
      <c r="D485" t="s">
        <v>11</v>
      </c>
      <c r="E485" t="s">
        <v>16</v>
      </c>
      <c r="F485">
        <v>64</v>
      </c>
      <c r="G485">
        <v>3717</v>
      </c>
      <c r="H485">
        <v>1</v>
      </c>
      <c r="I485">
        <v>1.539999962</v>
      </c>
      <c r="J485">
        <v>1</v>
      </c>
      <c r="K485">
        <v>0</v>
      </c>
    </row>
    <row r="486" spans="1:11" x14ac:dyDescent="0.25">
      <c r="A486">
        <v>951391</v>
      </c>
      <c r="B486">
        <v>936</v>
      </c>
      <c r="C486">
        <v>123659</v>
      </c>
      <c r="D486" t="s">
        <v>11</v>
      </c>
      <c r="E486" t="s">
        <v>16</v>
      </c>
      <c r="F486">
        <v>28</v>
      </c>
      <c r="G486">
        <v>2879</v>
      </c>
      <c r="H486">
        <v>1</v>
      </c>
      <c r="I486">
        <v>1.5900000329999999</v>
      </c>
      <c r="J486">
        <v>2</v>
      </c>
      <c r="K486">
        <v>2</v>
      </c>
    </row>
    <row r="487" spans="1:11" x14ac:dyDescent="0.25">
      <c r="A487">
        <v>951392</v>
      </c>
      <c r="B487">
        <v>936</v>
      </c>
      <c r="C487">
        <v>123659</v>
      </c>
      <c r="D487" t="s">
        <v>11</v>
      </c>
      <c r="E487" t="s">
        <v>16</v>
      </c>
      <c r="F487">
        <v>28</v>
      </c>
      <c r="G487">
        <v>2749</v>
      </c>
      <c r="H487">
        <v>1</v>
      </c>
      <c r="I487">
        <v>1.3899999860000001</v>
      </c>
      <c r="J487">
        <v>1</v>
      </c>
      <c r="K487">
        <v>0</v>
      </c>
    </row>
    <row r="488" spans="1:11" x14ac:dyDescent="0.25">
      <c r="A488">
        <v>951400</v>
      </c>
      <c r="B488">
        <v>936</v>
      </c>
      <c r="C488">
        <v>123660</v>
      </c>
      <c r="D488" t="s">
        <v>15</v>
      </c>
      <c r="E488" t="s">
        <v>16</v>
      </c>
      <c r="F488">
        <v>10</v>
      </c>
      <c r="G488">
        <v>24028</v>
      </c>
      <c r="H488">
        <v>9</v>
      </c>
      <c r="I488">
        <v>12.39000034</v>
      </c>
      <c r="J488">
        <v>2</v>
      </c>
      <c r="K488">
        <v>0</v>
      </c>
    </row>
    <row r="489" spans="1:11" x14ac:dyDescent="0.25">
      <c r="A489">
        <v>951402</v>
      </c>
      <c r="B489">
        <v>936</v>
      </c>
      <c r="C489">
        <v>123661</v>
      </c>
      <c r="D489" t="s">
        <v>11</v>
      </c>
      <c r="E489" t="s">
        <v>16</v>
      </c>
      <c r="F489">
        <v>29</v>
      </c>
      <c r="G489">
        <v>1118</v>
      </c>
      <c r="H489">
        <v>0</v>
      </c>
      <c r="I489">
        <v>0</v>
      </c>
      <c r="J489">
        <v>1</v>
      </c>
      <c r="K489">
        <v>1</v>
      </c>
    </row>
    <row r="490" spans="1:11" x14ac:dyDescent="0.25">
      <c r="A490">
        <v>951413</v>
      </c>
      <c r="B490">
        <v>936</v>
      </c>
      <c r="C490">
        <v>123662</v>
      </c>
      <c r="D490" t="s">
        <v>11</v>
      </c>
      <c r="E490" t="s">
        <v>16</v>
      </c>
      <c r="F490">
        <v>26</v>
      </c>
      <c r="G490">
        <v>1083</v>
      </c>
      <c r="H490">
        <v>0</v>
      </c>
      <c r="I490">
        <v>0</v>
      </c>
      <c r="J490">
        <v>2</v>
      </c>
      <c r="K490">
        <v>1</v>
      </c>
    </row>
    <row r="491" spans="1:11" x14ac:dyDescent="0.25">
      <c r="A491">
        <v>951420</v>
      </c>
      <c r="B491">
        <v>936</v>
      </c>
      <c r="C491">
        <v>123664</v>
      </c>
      <c r="D491" t="s">
        <v>11</v>
      </c>
      <c r="E491" t="s">
        <v>16</v>
      </c>
      <c r="F491">
        <v>27</v>
      </c>
      <c r="G491">
        <v>843</v>
      </c>
      <c r="H491">
        <v>0</v>
      </c>
      <c r="I491">
        <v>0</v>
      </c>
      <c r="J491">
        <v>1</v>
      </c>
      <c r="K491">
        <v>0</v>
      </c>
    </row>
    <row r="492" spans="1:11" x14ac:dyDescent="0.25">
      <c r="A492">
        <v>951444</v>
      </c>
      <c r="B492">
        <v>936</v>
      </c>
      <c r="C492">
        <v>123668</v>
      </c>
      <c r="D492" t="s">
        <v>11</v>
      </c>
      <c r="E492" t="s">
        <v>16</v>
      </c>
      <c r="F492">
        <v>25</v>
      </c>
      <c r="G492">
        <v>2983</v>
      </c>
      <c r="H492">
        <v>1</v>
      </c>
      <c r="I492">
        <v>0.97000002900000004</v>
      </c>
      <c r="J492">
        <v>1</v>
      </c>
      <c r="K492">
        <v>0</v>
      </c>
    </row>
    <row r="493" spans="1:11" x14ac:dyDescent="0.25">
      <c r="A493">
        <v>951448</v>
      </c>
      <c r="B493">
        <v>936</v>
      </c>
      <c r="C493">
        <v>123668</v>
      </c>
      <c r="D493" t="s">
        <v>11</v>
      </c>
      <c r="E493" t="s">
        <v>16</v>
      </c>
      <c r="F493">
        <v>25</v>
      </c>
      <c r="G493">
        <v>696</v>
      </c>
      <c r="H493">
        <v>0</v>
      </c>
      <c r="I493">
        <v>0</v>
      </c>
      <c r="J493">
        <v>1</v>
      </c>
      <c r="K493">
        <v>0</v>
      </c>
    </row>
    <row r="494" spans="1:11" x14ac:dyDescent="0.25">
      <c r="A494">
        <v>951462</v>
      </c>
      <c r="B494">
        <v>936</v>
      </c>
      <c r="C494">
        <v>123671</v>
      </c>
      <c r="D494" t="s">
        <v>15</v>
      </c>
      <c r="E494" t="s">
        <v>16</v>
      </c>
      <c r="F494">
        <v>16</v>
      </c>
      <c r="G494">
        <v>7589</v>
      </c>
      <c r="H494">
        <v>2</v>
      </c>
      <c r="I494">
        <v>3.1500000950000002</v>
      </c>
      <c r="J494">
        <v>1</v>
      </c>
      <c r="K494">
        <v>1</v>
      </c>
    </row>
    <row r="495" spans="1:11" x14ac:dyDescent="0.25">
      <c r="A495">
        <v>951464</v>
      </c>
      <c r="B495">
        <v>936</v>
      </c>
      <c r="C495">
        <v>123671</v>
      </c>
      <c r="D495" t="s">
        <v>15</v>
      </c>
      <c r="E495" t="s">
        <v>16</v>
      </c>
      <c r="F495">
        <v>16</v>
      </c>
      <c r="G495">
        <v>20997</v>
      </c>
      <c r="H495">
        <v>10</v>
      </c>
      <c r="I495">
        <v>11.94999981</v>
      </c>
      <c r="J495">
        <v>1</v>
      </c>
      <c r="K495">
        <v>0</v>
      </c>
    </row>
    <row r="496" spans="1:11" x14ac:dyDescent="0.25">
      <c r="A496">
        <v>951465</v>
      </c>
      <c r="B496">
        <v>936</v>
      </c>
      <c r="C496">
        <v>123671</v>
      </c>
      <c r="D496" t="s">
        <v>15</v>
      </c>
      <c r="E496" t="s">
        <v>16</v>
      </c>
      <c r="F496">
        <v>16</v>
      </c>
      <c r="G496">
        <v>4617</v>
      </c>
      <c r="H496">
        <v>1</v>
      </c>
      <c r="I496">
        <v>1.3600000139999999</v>
      </c>
      <c r="J496">
        <v>1</v>
      </c>
      <c r="K496">
        <v>0</v>
      </c>
    </row>
    <row r="497" spans="1:11" x14ac:dyDescent="0.25">
      <c r="A497">
        <v>951498</v>
      </c>
      <c r="B497">
        <v>936</v>
      </c>
      <c r="C497">
        <v>123677</v>
      </c>
      <c r="D497" t="s">
        <v>15</v>
      </c>
      <c r="E497" t="s">
        <v>16</v>
      </c>
      <c r="F497">
        <v>20</v>
      </c>
      <c r="G497">
        <v>259</v>
      </c>
      <c r="H497">
        <v>0</v>
      </c>
      <c r="I497">
        <v>0</v>
      </c>
      <c r="J497">
        <v>1</v>
      </c>
      <c r="K497">
        <v>0</v>
      </c>
    </row>
    <row r="498" spans="1:11" x14ac:dyDescent="0.25">
      <c r="A498">
        <v>951508</v>
      </c>
      <c r="B498">
        <v>936</v>
      </c>
      <c r="C498">
        <v>123678</v>
      </c>
      <c r="D498" t="s">
        <v>11</v>
      </c>
      <c r="E498" t="s">
        <v>16</v>
      </c>
      <c r="F498">
        <v>18</v>
      </c>
      <c r="G498">
        <v>1134</v>
      </c>
      <c r="H498">
        <v>0</v>
      </c>
      <c r="I498">
        <v>0</v>
      </c>
      <c r="J498">
        <v>1</v>
      </c>
      <c r="K498">
        <v>0</v>
      </c>
    </row>
    <row r="499" spans="1:11" x14ac:dyDescent="0.25">
      <c r="A499">
        <v>951542</v>
      </c>
      <c r="B499">
        <v>936</v>
      </c>
      <c r="C499">
        <v>123684</v>
      </c>
      <c r="D499" t="s">
        <v>14</v>
      </c>
      <c r="E499" t="s">
        <v>16</v>
      </c>
      <c r="F499">
        <v>27</v>
      </c>
      <c r="G499">
        <v>357</v>
      </c>
      <c r="H499">
        <v>0</v>
      </c>
      <c r="I499">
        <v>0</v>
      </c>
      <c r="J499">
        <v>1</v>
      </c>
      <c r="K499">
        <v>0</v>
      </c>
    </row>
    <row r="500" spans="1:11" x14ac:dyDescent="0.25">
      <c r="A500">
        <v>951607</v>
      </c>
      <c r="B500">
        <v>936</v>
      </c>
      <c r="C500">
        <v>123695</v>
      </c>
      <c r="D500" t="s">
        <v>14</v>
      </c>
      <c r="E500" t="s">
        <v>16</v>
      </c>
      <c r="F500">
        <v>10</v>
      </c>
      <c r="G500">
        <v>848</v>
      </c>
      <c r="H500">
        <v>0</v>
      </c>
      <c r="I500">
        <v>0</v>
      </c>
      <c r="J500">
        <v>1</v>
      </c>
      <c r="K500">
        <v>1</v>
      </c>
    </row>
    <row r="501" spans="1:11" x14ac:dyDescent="0.25">
      <c r="A501">
        <v>951608</v>
      </c>
      <c r="B501">
        <v>936</v>
      </c>
      <c r="C501">
        <v>123695</v>
      </c>
      <c r="D501" t="s">
        <v>14</v>
      </c>
      <c r="E501" t="s">
        <v>16</v>
      </c>
      <c r="F501">
        <v>10</v>
      </c>
      <c r="G501">
        <v>3149</v>
      </c>
      <c r="H501">
        <v>1</v>
      </c>
      <c r="I501">
        <v>1.480000019</v>
      </c>
      <c r="J501">
        <v>1</v>
      </c>
      <c r="K501">
        <v>0</v>
      </c>
    </row>
    <row r="502" spans="1:11" x14ac:dyDescent="0.25">
      <c r="A502">
        <v>951641</v>
      </c>
      <c r="B502">
        <v>936</v>
      </c>
      <c r="C502">
        <v>123700</v>
      </c>
      <c r="D502" t="s">
        <v>14</v>
      </c>
      <c r="E502" t="s">
        <v>16</v>
      </c>
      <c r="F502">
        <v>2</v>
      </c>
      <c r="G502">
        <v>87</v>
      </c>
      <c r="H502">
        <v>0</v>
      </c>
      <c r="I502">
        <v>0</v>
      </c>
      <c r="J502">
        <v>1</v>
      </c>
      <c r="K502">
        <v>1</v>
      </c>
    </row>
    <row r="503" spans="1:11" x14ac:dyDescent="0.25">
      <c r="A503">
        <v>951677</v>
      </c>
      <c r="B503">
        <v>936</v>
      </c>
      <c r="C503">
        <v>123706</v>
      </c>
      <c r="D503" t="s">
        <v>13</v>
      </c>
      <c r="E503" t="s">
        <v>16</v>
      </c>
      <c r="F503">
        <v>27</v>
      </c>
      <c r="G503">
        <v>2563</v>
      </c>
      <c r="H503">
        <v>1</v>
      </c>
      <c r="I503">
        <v>1.480000019</v>
      </c>
      <c r="J503">
        <v>1</v>
      </c>
      <c r="K503">
        <v>0</v>
      </c>
    </row>
    <row r="504" spans="1:11" x14ac:dyDescent="0.25">
      <c r="A504">
        <v>951692</v>
      </c>
      <c r="B504">
        <v>936</v>
      </c>
      <c r="C504">
        <v>123709</v>
      </c>
      <c r="D504" t="s">
        <v>13</v>
      </c>
      <c r="E504" t="s">
        <v>16</v>
      </c>
      <c r="F504">
        <v>10</v>
      </c>
      <c r="G504">
        <v>1107</v>
      </c>
      <c r="H504">
        <v>0</v>
      </c>
      <c r="I504">
        <v>0</v>
      </c>
      <c r="J504">
        <v>1</v>
      </c>
      <c r="K504">
        <v>0</v>
      </c>
    </row>
    <row r="505" spans="1:11" x14ac:dyDescent="0.25">
      <c r="A505">
        <v>951715</v>
      </c>
      <c r="B505">
        <v>936</v>
      </c>
      <c r="C505">
        <v>123713</v>
      </c>
      <c r="D505" t="s">
        <v>15</v>
      </c>
      <c r="E505" t="s">
        <v>16</v>
      </c>
      <c r="F505">
        <v>64</v>
      </c>
      <c r="G505">
        <v>10677</v>
      </c>
      <c r="H505">
        <v>5</v>
      </c>
      <c r="I505">
        <v>7.2699999809999998</v>
      </c>
      <c r="J505">
        <v>1</v>
      </c>
      <c r="K505">
        <v>0</v>
      </c>
    </row>
    <row r="506" spans="1:11" x14ac:dyDescent="0.25">
      <c r="A506">
        <v>951756</v>
      </c>
      <c r="B506">
        <v>936</v>
      </c>
      <c r="C506">
        <v>123720</v>
      </c>
      <c r="D506" t="s">
        <v>13</v>
      </c>
      <c r="E506" t="s">
        <v>16</v>
      </c>
      <c r="F506">
        <v>22</v>
      </c>
      <c r="G506">
        <v>2189</v>
      </c>
      <c r="H506">
        <v>1</v>
      </c>
      <c r="I506">
        <v>0.40999999599999998</v>
      </c>
      <c r="J506">
        <v>1</v>
      </c>
      <c r="K506">
        <v>0</v>
      </c>
    </row>
    <row r="507" spans="1:11" x14ac:dyDescent="0.25">
      <c r="A507">
        <v>951779</v>
      </c>
      <c r="B507">
        <v>936</v>
      </c>
      <c r="C507">
        <v>123723</v>
      </c>
      <c r="D507" t="s">
        <v>15</v>
      </c>
      <c r="E507" t="s">
        <v>16</v>
      </c>
      <c r="F507">
        <v>27</v>
      </c>
      <c r="G507">
        <v>3277</v>
      </c>
      <c r="H507">
        <v>2</v>
      </c>
      <c r="I507">
        <v>2.6800000669999999</v>
      </c>
      <c r="J507">
        <v>1</v>
      </c>
      <c r="K507">
        <v>0</v>
      </c>
    </row>
    <row r="508" spans="1:11" x14ac:dyDescent="0.25">
      <c r="A508">
        <v>951782</v>
      </c>
      <c r="B508">
        <v>936</v>
      </c>
      <c r="C508">
        <v>123724</v>
      </c>
      <c r="D508" t="s">
        <v>15</v>
      </c>
      <c r="E508" t="s">
        <v>16</v>
      </c>
      <c r="F508">
        <v>26</v>
      </c>
      <c r="G508">
        <v>781</v>
      </c>
      <c r="H508">
        <v>0</v>
      </c>
      <c r="I508">
        <v>0</v>
      </c>
      <c r="J508">
        <v>1</v>
      </c>
      <c r="K508">
        <v>0</v>
      </c>
    </row>
    <row r="509" spans="1:11" x14ac:dyDescent="0.25">
      <c r="A509">
        <v>951810</v>
      </c>
      <c r="B509">
        <v>936</v>
      </c>
      <c r="C509">
        <v>123729</v>
      </c>
      <c r="D509" t="s">
        <v>13</v>
      </c>
      <c r="E509" t="s">
        <v>16</v>
      </c>
      <c r="F509">
        <v>16</v>
      </c>
      <c r="G509">
        <v>2226</v>
      </c>
      <c r="H509">
        <v>0</v>
      </c>
      <c r="I509">
        <v>0</v>
      </c>
      <c r="J509">
        <v>1</v>
      </c>
      <c r="K509">
        <v>0</v>
      </c>
    </row>
    <row r="510" spans="1:11" x14ac:dyDescent="0.25">
      <c r="A510">
        <v>951812</v>
      </c>
      <c r="B510">
        <v>936</v>
      </c>
      <c r="C510">
        <v>123729</v>
      </c>
      <c r="D510" t="s">
        <v>13</v>
      </c>
      <c r="E510" t="s">
        <v>16</v>
      </c>
      <c r="F510">
        <v>16</v>
      </c>
      <c r="G510">
        <v>16274</v>
      </c>
      <c r="H510">
        <v>4</v>
      </c>
      <c r="I510">
        <v>6.079999924</v>
      </c>
      <c r="J510">
        <v>2</v>
      </c>
      <c r="K510">
        <v>0</v>
      </c>
    </row>
    <row r="511" spans="1:11" x14ac:dyDescent="0.25">
      <c r="A511">
        <v>951837</v>
      </c>
      <c r="B511">
        <v>936</v>
      </c>
      <c r="C511">
        <v>123733</v>
      </c>
      <c r="D511" t="s">
        <v>15</v>
      </c>
      <c r="E511" t="s">
        <v>16</v>
      </c>
      <c r="F511">
        <v>20</v>
      </c>
      <c r="G511">
        <v>2077</v>
      </c>
      <c r="H511">
        <v>1</v>
      </c>
      <c r="I511">
        <v>1.5099999900000001</v>
      </c>
      <c r="J511">
        <v>1</v>
      </c>
      <c r="K511">
        <v>1</v>
      </c>
    </row>
    <row r="512" spans="1:11" x14ac:dyDescent="0.25">
      <c r="A512">
        <v>951853</v>
      </c>
      <c r="B512">
        <v>936</v>
      </c>
      <c r="C512">
        <v>123736</v>
      </c>
      <c r="D512" t="s">
        <v>11</v>
      </c>
      <c r="E512" t="s">
        <v>16</v>
      </c>
      <c r="F512">
        <v>20</v>
      </c>
      <c r="G512">
        <v>529</v>
      </c>
      <c r="H512">
        <v>0</v>
      </c>
      <c r="I512">
        <v>0</v>
      </c>
      <c r="J512">
        <v>0</v>
      </c>
      <c r="K512">
        <v>0</v>
      </c>
    </row>
    <row r="513" spans="1:11" x14ac:dyDescent="0.25">
      <c r="A513">
        <v>951854</v>
      </c>
      <c r="B513">
        <v>936</v>
      </c>
      <c r="C513">
        <v>123736</v>
      </c>
      <c r="D513" t="s">
        <v>11</v>
      </c>
      <c r="E513" t="s">
        <v>16</v>
      </c>
      <c r="F513">
        <v>20</v>
      </c>
      <c r="G513">
        <v>487</v>
      </c>
      <c r="H513">
        <v>0</v>
      </c>
      <c r="I513">
        <v>0</v>
      </c>
      <c r="J513">
        <v>1</v>
      </c>
      <c r="K513">
        <v>0</v>
      </c>
    </row>
    <row r="514" spans="1:11" x14ac:dyDescent="0.25">
      <c r="A514">
        <v>951856</v>
      </c>
      <c r="B514">
        <v>936</v>
      </c>
      <c r="C514">
        <v>123736</v>
      </c>
      <c r="D514" t="s">
        <v>11</v>
      </c>
      <c r="E514" t="s">
        <v>16</v>
      </c>
      <c r="F514">
        <v>20</v>
      </c>
      <c r="G514">
        <v>4626</v>
      </c>
      <c r="H514">
        <v>2</v>
      </c>
      <c r="I514">
        <v>2.0999999049999998</v>
      </c>
      <c r="J514">
        <v>2</v>
      </c>
      <c r="K514">
        <v>0</v>
      </c>
    </row>
    <row r="515" spans="1:11" x14ac:dyDescent="0.25">
      <c r="A515">
        <v>951941</v>
      </c>
      <c r="B515">
        <v>936</v>
      </c>
      <c r="C515">
        <v>123750</v>
      </c>
      <c r="D515" t="s">
        <v>11</v>
      </c>
      <c r="E515" t="s">
        <v>16</v>
      </c>
      <c r="F515">
        <v>28</v>
      </c>
      <c r="G515">
        <v>2764</v>
      </c>
      <c r="H515">
        <v>1</v>
      </c>
      <c r="I515">
        <v>1.559999943</v>
      </c>
      <c r="J515">
        <v>1</v>
      </c>
      <c r="K515">
        <v>1</v>
      </c>
    </row>
    <row r="516" spans="1:11" x14ac:dyDescent="0.25">
      <c r="A516">
        <v>952001</v>
      </c>
      <c r="B516">
        <v>936</v>
      </c>
      <c r="C516">
        <v>123760</v>
      </c>
      <c r="D516" t="s">
        <v>15</v>
      </c>
      <c r="E516" t="s">
        <v>16</v>
      </c>
      <c r="F516">
        <v>10</v>
      </c>
      <c r="G516">
        <v>5447</v>
      </c>
      <c r="H516">
        <v>2</v>
      </c>
      <c r="I516">
        <v>2.960000038</v>
      </c>
      <c r="J516">
        <v>1</v>
      </c>
      <c r="K516">
        <v>0</v>
      </c>
    </row>
    <row r="517" spans="1:11" x14ac:dyDescent="0.25">
      <c r="A517">
        <v>952031</v>
      </c>
      <c r="B517">
        <v>936</v>
      </c>
      <c r="C517">
        <v>123765</v>
      </c>
      <c r="D517" t="s">
        <v>14</v>
      </c>
      <c r="E517" t="s">
        <v>16</v>
      </c>
      <c r="F517">
        <v>16</v>
      </c>
      <c r="G517">
        <v>28169</v>
      </c>
      <c r="H517">
        <v>8</v>
      </c>
      <c r="I517">
        <v>12.369999890000001</v>
      </c>
      <c r="J517">
        <v>1</v>
      </c>
      <c r="K517">
        <v>1</v>
      </c>
    </row>
    <row r="518" spans="1:11" x14ac:dyDescent="0.25">
      <c r="A518">
        <v>952080</v>
      </c>
      <c r="B518">
        <v>936</v>
      </c>
      <c r="C518">
        <v>123774</v>
      </c>
      <c r="D518" t="s">
        <v>14</v>
      </c>
      <c r="E518" t="s">
        <v>16</v>
      </c>
      <c r="F518">
        <v>27</v>
      </c>
      <c r="G518">
        <v>415</v>
      </c>
      <c r="H518">
        <v>0</v>
      </c>
      <c r="I518">
        <v>0</v>
      </c>
      <c r="J518">
        <v>1</v>
      </c>
      <c r="K518">
        <v>0</v>
      </c>
    </row>
    <row r="519" spans="1:11" x14ac:dyDescent="0.25">
      <c r="A519">
        <v>952100</v>
      </c>
      <c r="B519">
        <v>936</v>
      </c>
      <c r="C519">
        <v>123777</v>
      </c>
      <c r="D519" t="s">
        <v>13</v>
      </c>
      <c r="E519" t="s">
        <v>16</v>
      </c>
      <c r="F519">
        <v>29</v>
      </c>
      <c r="G519">
        <v>810</v>
      </c>
      <c r="H519">
        <v>0</v>
      </c>
      <c r="I519">
        <v>0</v>
      </c>
      <c r="J519">
        <v>1</v>
      </c>
      <c r="K519">
        <v>1</v>
      </c>
    </row>
    <row r="520" spans="1:11" x14ac:dyDescent="0.25">
      <c r="A520">
        <v>1121091</v>
      </c>
      <c r="B520">
        <v>1178</v>
      </c>
      <c r="C520">
        <v>144531</v>
      </c>
      <c r="D520" t="s">
        <v>11</v>
      </c>
      <c r="E520" t="s">
        <v>12</v>
      </c>
      <c r="F520">
        <v>10</v>
      </c>
      <c r="G520">
        <v>1194718</v>
      </c>
      <c r="H520">
        <v>141</v>
      </c>
      <c r="I520">
        <v>254.04999599999999</v>
      </c>
      <c r="J520">
        <v>28</v>
      </c>
      <c r="K520">
        <v>14</v>
      </c>
    </row>
    <row r="521" spans="1:11" x14ac:dyDescent="0.25">
      <c r="A521">
        <v>1121092</v>
      </c>
      <c r="B521">
        <v>1178</v>
      </c>
      <c r="C521">
        <v>144531</v>
      </c>
      <c r="D521" t="s">
        <v>11</v>
      </c>
      <c r="E521" t="s">
        <v>12</v>
      </c>
      <c r="F521">
        <v>10</v>
      </c>
      <c r="G521">
        <v>637648</v>
      </c>
      <c r="H521">
        <v>67</v>
      </c>
      <c r="I521">
        <v>122.4</v>
      </c>
      <c r="J521">
        <v>13</v>
      </c>
      <c r="K521">
        <v>5</v>
      </c>
    </row>
    <row r="522" spans="1:11" x14ac:dyDescent="0.25">
      <c r="A522">
        <v>1121094</v>
      </c>
      <c r="B522">
        <v>1178</v>
      </c>
      <c r="C522">
        <v>144531</v>
      </c>
      <c r="D522" t="s">
        <v>11</v>
      </c>
      <c r="E522" t="s">
        <v>12</v>
      </c>
      <c r="F522">
        <v>10</v>
      </c>
      <c r="G522">
        <v>24362</v>
      </c>
      <c r="H522">
        <v>0</v>
      </c>
      <c r="I522">
        <v>0</v>
      </c>
      <c r="J522">
        <v>1</v>
      </c>
      <c r="K522">
        <v>1</v>
      </c>
    </row>
    <row r="523" spans="1:11" x14ac:dyDescent="0.25">
      <c r="A523">
        <v>1121095</v>
      </c>
      <c r="B523">
        <v>1178</v>
      </c>
      <c r="C523">
        <v>144531</v>
      </c>
      <c r="D523" t="s">
        <v>11</v>
      </c>
      <c r="E523" t="s">
        <v>12</v>
      </c>
      <c r="F523">
        <v>10</v>
      </c>
      <c r="G523">
        <v>459690</v>
      </c>
      <c r="H523">
        <v>50</v>
      </c>
      <c r="I523">
        <v>86.330001120000006</v>
      </c>
      <c r="J523">
        <v>5</v>
      </c>
      <c r="K523">
        <v>2</v>
      </c>
    </row>
    <row r="524" spans="1:11" x14ac:dyDescent="0.25">
      <c r="A524">
        <v>1121096</v>
      </c>
      <c r="B524">
        <v>1178</v>
      </c>
      <c r="C524">
        <v>144531</v>
      </c>
      <c r="D524" t="s">
        <v>11</v>
      </c>
      <c r="E524" t="s">
        <v>12</v>
      </c>
      <c r="F524">
        <v>10</v>
      </c>
      <c r="G524">
        <v>750060</v>
      </c>
      <c r="H524">
        <v>86</v>
      </c>
      <c r="I524">
        <v>161.90999909999999</v>
      </c>
      <c r="J524">
        <v>11</v>
      </c>
      <c r="K524">
        <v>2</v>
      </c>
    </row>
    <row r="525" spans="1:11" x14ac:dyDescent="0.25">
      <c r="A525">
        <v>1121097</v>
      </c>
      <c r="B525">
        <v>1178</v>
      </c>
      <c r="C525">
        <v>144532</v>
      </c>
      <c r="D525" t="s">
        <v>11</v>
      </c>
      <c r="E525" t="s">
        <v>12</v>
      </c>
      <c r="F525">
        <v>15</v>
      </c>
      <c r="G525">
        <v>30068</v>
      </c>
      <c r="H525">
        <v>1</v>
      </c>
      <c r="I525">
        <v>1.8200000519999999</v>
      </c>
      <c r="J525">
        <v>1</v>
      </c>
      <c r="K525">
        <v>0</v>
      </c>
    </row>
    <row r="526" spans="1:11" x14ac:dyDescent="0.25">
      <c r="A526">
        <v>1121098</v>
      </c>
      <c r="B526">
        <v>1178</v>
      </c>
      <c r="C526">
        <v>144532</v>
      </c>
      <c r="D526" t="s">
        <v>11</v>
      </c>
      <c r="E526" t="s">
        <v>12</v>
      </c>
      <c r="F526">
        <v>15</v>
      </c>
      <c r="G526">
        <v>1267550</v>
      </c>
      <c r="H526">
        <v>123</v>
      </c>
      <c r="I526">
        <v>236.76999860000001</v>
      </c>
      <c r="J526">
        <v>24</v>
      </c>
      <c r="K526">
        <v>10</v>
      </c>
    </row>
    <row r="527" spans="1:11" x14ac:dyDescent="0.25">
      <c r="A527">
        <v>1121100</v>
      </c>
      <c r="B527">
        <v>1178</v>
      </c>
      <c r="C527">
        <v>144532</v>
      </c>
      <c r="D527" t="s">
        <v>11</v>
      </c>
      <c r="E527" t="s">
        <v>12</v>
      </c>
      <c r="F527">
        <v>15</v>
      </c>
      <c r="G527">
        <v>3052003</v>
      </c>
      <c r="H527">
        <v>340</v>
      </c>
      <c r="I527">
        <v>639.94999810000002</v>
      </c>
      <c r="J527">
        <v>60</v>
      </c>
      <c r="K527">
        <v>17</v>
      </c>
    </row>
    <row r="528" spans="1:11" x14ac:dyDescent="0.25">
      <c r="A528">
        <v>1121101</v>
      </c>
      <c r="B528">
        <v>1178</v>
      </c>
      <c r="C528">
        <v>144532</v>
      </c>
      <c r="D528" t="s">
        <v>11</v>
      </c>
      <c r="E528" t="s">
        <v>12</v>
      </c>
      <c r="F528">
        <v>15</v>
      </c>
      <c r="G528">
        <v>29945</v>
      </c>
      <c r="H528">
        <v>1</v>
      </c>
      <c r="I528">
        <v>1.5900000329999999</v>
      </c>
      <c r="J528">
        <v>2</v>
      </c>
      <c r="K528">
        <v>1</v>
      </c>
    </row>
    <row r="529" spans="1:11" x14ac:dyDescent="0.25">
      <c r="A529">
        <v>1121102</v>
      </c>
      <c r="B529">
        <v>1178</v>
      </c>
      <c r="C529">
        <v>144532</v>
      </c>
      <c r="D529" t="s">
        <v>11</v>
      </c>
      <c r="E529" t="s">
        <v>12</v>
      </c>
      <c r="F529">
        <v>15</v>
      </c>
      <c r="G529">
        <v>357856</v>
      </c>
      <c r="H529">
        <v>30</v>
      </c>
      <c r="I529">
        <v>52.970000149999997</v>
      </c>
      <c r="J529">
        <v>7</v>
      </c>
      <c r="K529">
        <v>3</v>
      </c>
    </row>
    <row r="530" spans="1:11" x14ac:dyDescent="0.25">
      <c r="A530">
        <v>1121104</v>
      </c>
      <c r="B530">
        <v>1178</v>
      </c>
      <c r="C530">
        <v>144533</v>
      </c>
      <c r="D530" t="s">
        <v>11</v>
      </c>
      <c r="E530" t="s">
        <v>12</v>
      </c>
      <c r="F530">
        <v>16</v>
      </c>
      <c r="G530">
        <v>2080666</v>
      </c>
      <c r="H530">
        <v>202</v>
      </c>
      <c r="I530">
        <v>360.15000149999997</v>
      </c>
      <c r="J530">
        <v>40</v>
      </c>
      <c r="K530">
        <v>21</v>
      </c>
    </row>
    <row r="531" spans="1:11" x14ac:dyDescent="0.25">
      <c r="A531">
        <v>1121105</v>
      </c>
      <c r="B531">
        <v>1178</v>
      </c>
      <c r="C531">
        <v>144533</v>
      </c>
      <c r="D531" t="s">
        <v>11</v>
      </c>
      <c r="E531" t="s">
        <v>12</v>
      </c>
      <c r="F531">
        <v>16</v>
      </c>
      <c r="G531">
        <v>145999</v>
      </c>
      <c r="H531">
        <v>9</v>
      </c>
      <c r="I531">
        <v>16.520000100000001</v>
      </c>
      <c r="J531">
        <v>5</v>
      </c>
      <c r="K531">
        <v>2</v>
      </c>
    </row>
    <row r="532" spans="1:11" x14ac:dyDescent="0.25">
      <c r="A532">
        <v>1121107</v>
      </c>
      <c r="B532">
        <v>1178</v>
      </c>
      <c r="C532">
        <v>144533</v>
      </c>
      <c r="D532" t="s">
        <v>11</v>
      </c>
      <c r="E532" t="s">
        <v>12</v>
      </c>
      <c r="F532">
        <v>16</v>
      </c>
      <c r="G532">
        <v>32616</v>
      </c>
      <c r="H532">
        <v>1</v>
      </c>
      <c r="I532">
        <v>1.539999962</v>
      </c>
      <c r="J532">
        <v>2</v>
      </c>
      <c r="K532">
        <v>0</v>
      </c>
    </row>
    <row r="533" spans="1:11" x14ac:dyDescent="0.25">
      <c r="A533">
        <v>1121108</v>
      </c>
      <c r="B533">
        <v>1178</v>
      </c>
      <c r="C533">
        <v>144533</v>
      </c>
      <c r="D533" t="s">
        <v>11</v>
      </c>
      <c r="E533" t="s">
        <v>12</v>
      </c>
      <c r="F533">
        <v>16</v>
      </c>
      <c r="G533">
        <v>984521</v>
      </c>
      <c r="H533">
        <v>95</v>
      </c>
      <c r="I533">
        <v>163.8999972</v>
      </c>
      <c r="J533">
        <v>26</v>
      </c>
      <c r="K533">
        <v>14</v>
      </c>
    </row>
    <row r="534" spans="1:11" x14ac:dyDescent="0.25">
      <c r="A534">
        <v>1121110</v>
      </c>
      <c r="B534">
        <v>1178</v>
      </c>
      <c r="C534">
        <v>144534</v>
      </c>
      <c r="D534" t="s">
        <v>11</v>
      </c>
      <c r="E534" t="s">
        <v>12</v>
      </c>
      <c r="F534">
        <v>18</v>
      </c>
      <c r="G534">
        <v>880814</v>
      </c>
      <c r="H534">
        <v>123</v>
      </c>
      <c r="I534">
        <v>210.36000060000001</v>
      </c>
      <c r="J534">
        <v>6</v>
      </c>
      <c r="K534">
        <v>2</v>
      </c>
    </row>
    <row r="535" spans="1:11" x14ac:dyDescent="0.25">
      <c r="A535">
        <v>1121111</v>
      </c>
      <c r="B535">
        <v>1178</v>
      </c>
      <c r="C535">
        <v>144534</v>
      </c>
      <c r="D535" t="s">
        <v>11</v>
      </c>
      <c r="E535" t="s">
        <v>12</v>
      </c>
      <c r="F535">
        <v>18</v>
      </c>
      <c r="G535">
        <v>182452</v>
      </c>
      <c r="H535">
        <v>20</v>
      </c>
      <c r="I535">
        <v>35.730000259999997</v>
      </c>
      <c r="J535">
        <v>4</v>
      </c>
      <c r="K535">
        <v>1</v>
      </c>
    </row>
    <row r="536" spans="1:11" x14ac:dyDescent="0.25">
      <c r="A536">
        <v>1121113</v>
      </c>
      <c r="B536">
        <v>1178</v>
      </c>
      <c r="C536">
        <v>144534</v>
      </c>
      <c r="D536" t="s">
        <v>11</v>
      </c>
      <c r="E536" t="s">
        <v>12</v>
      </c>
      <c r="F536">
        <v>18</v>
      </c>
      <c r="G536">
        <v>894911</v>
      </c>
      <c r="H536">
        <v>120</v>
      </c>
      <c r="I536">
        <v>215.83999940000001</v>
      </c>
      <c r="J536">
        <v>7</v>
      </c>
      <c r="K536">
        <v>4</v>
      </c>
    </row>
    <row r="537" spans="1:11" x14ac:dyDescent="0.25">
      <c r="A537">
        <v>1121114</v>
      </c>
      <c r="B537">
        <v>1178</v>
      </c>
      <c r="C537">
        <v>144534</v>
      </c>
      <c r="D537" t="s">
        <v>11</v>
      </c>
      <c r="E537" t="s">
        <v>12</v>
      </c>
      <c r="F537">
        <v>18</v>
      </c>
      <c r="G537">
        <v>31349</v>
      </c>
      <c r="H537">
        <v>2</v>
      </c>
      <c r="I537">
        <v>3.800000072</v>
      </c>
      <c r="J537">
        <v>1</v>
      </c>
      <c r="K537">
        <v>0</v>
      </c>
    </row>
    <row r="538" spans="1:11" x14ac:dyDescent="0.25">
      <c r="A538">
        <v>1121115</v>
      </c>
      <c r="B538">
        <v>1178</v>
      </c>
      <c r="C538">
        <v>144535</v>
      </c>
      <c r="D538" t="s">
        <v>11</v>
      </c>
      <c r="E538" t="s">
        <v>12</v>
      </c>
      <c r="F538">
        <v>19</v>
      </c>
      <c r="G538">
        <v>410310</v>
      </c>
      <c r="H538">
        <v>55</v>
      </c>
      <c r="I538">
        <v>96.800000549999993</v>
      </c>
      <c r="J538">
        <v>3</v>
      </c>
      <c r="K538">
        <v>0</v>
      </c>
    </row>
    <row r="539" spans="1:11" x14ac:dyDescent="0.25">
      <c r="A539">
        <v>1121116</v>
      </c>
      <c r="B539">
        <v>1178</v>
      </c>
      <c r="C539">
        <v>144535</v>
      </c>
      <c r="D539" t="s">
        <v>11</v>
      </c>
      <c r="E539" t="s">
        <v>12</v>
      </c>
      <c r="F539">
        <v>19</v>
      </c>
      <c r="G539">
        <v>572450</v>
      </c>
      <c r="H539">
        <v>89</v>
      </c>
      <c r="I539">
        <v>157.32999799999999</v>
      </c>
      <c r="J539">
        <v>7</v>
      </c>
      <c r="K539">
        <v>4</v>
      </c>
    </row>
    <row r="540" spans="1:11" x14ac:dyDescent="0.25">
      <c r="A540">
        <v>1121117</v>
      </c>
      <c r="B540">
        <v>1178</v>
      </c>
      <c r="C540">
        <v>144535</v>
      </c>
      <c r="D540" t="s">
        <v>11</v>
      </c>
      <c r="E540" t="s">
        <v>12</v>
      </c>
      <c r="F540">
        <v>19</v>
      </c>
      <c r="G540">
        <v>98759</v>
      </c>
      <c r="H540">
        <v>15</v>
      </c>
      <c r="I540">
        <v>26.569999459999998</v>
      </c>
      <c r="J540">
        <v>1</v>
      </c>
      <c r="K540">
        <v>1</v>
      </c>
    </row>
    <row r="541" spans="1:11" x14ac:dyDescent="0.25">
      <c r="A541">
        <v>1121119</v>
      </c>
      <c r="B541">
        <v>1178</v>
      </c>
      <c r="C541">
        <v>144535</v>
      </c>
      <c r="D541" t="s">
        <v>11</v>
      </c>
      <c r="E541" t="s">
        <v>12</v>
      </c>
      <c r="F541">
        <v>19</v>
      </c>
      <c r="G541">
        <v>345371</v>
      </c>
      <c r="H541">
        <v>54</v>
      </c>
      <c r="I541">
        <v>93.089999910000003</v>
      </c>
      <c r="J541">
        <v>7</v>
      </c>
      <c r="K541">
        <v>3</v>
      </c>
    </row>
    <row r="542" spans="1:11" x14ac:dyDescent="0.25">
      <c r="A542">
        <v>1121121</v>
      </c>
      <c r="B542">
        <v>1178</v>
      </c>
      <c r="C542">
        <v>144536</v>
      </c>
      <c r="D542" t="s">
        <v>11</v>
      </c>
      <c r="E542" t="s">
        <v>12</v>
      </c>
      <c r="F542">
        <v>20</v>
      </c>
      <c r="G542">
        <v>323899</v>
      </c>
      <c r="H542">
        <v>46</v>
      </c>
      <c r="I542">
        <v>78.920000200000004</v>
      </c>
      <c r="J542">
        <v>5</v>
      </c>
      <c r="K542">
        <v>1</v>
      </c>
    </row>
    <row r="543" spans="1:11" x14ac:dyDescent="0.25">
      <c r="A543">
        <v>1121122</v>
      </c>
      <c r="B543">
        <v>1178</v>
      </c>
      <c r="C543">
        <v>144536</v>
      </c>
      <c r="D543" t="s">
        <v>11</v>
      </c>
      <c r="E543" t="s">
        <v>12</v>
      </c>
      <c r="F543">
        <v>20</v>
      </c>
      <c r="G543">
        <v>399199</v>
      </c>
      <c r="H543">
        <v>58</v>
      </c>
      <c r="I543">
        <v>103.15000019999999</v>
      </c>
      <c r="J543">
        <v>3</v>
      </c>
      <c r="K543">
        <v>0</v>
      </c>
    </row>
    <row r="544" spans="1:11" x14ac:dyDescent="0.25">
      <c r="A544">
        <v>1121123</v>
      </c>
      <c r="B544">
        <v>1178</v>
      </c>
      <c r="C544">
        <v>144536</v>
      </c>
      <c r="D544" t="s">
        <v>11</v>
      </c>
      <c r="E544" t="s">
        <v>12</v>
      </c>
      <c r="F544">
        <v>20</v>
      </c>
      <c r="G544">
        <v>171202</v>
      </c>
      <c r="H544">
        <v>22</v>
      </c>
      <c r="I544">
        <v>36.530000209999997</v>
      </c>
      <c r="J544">
        <v>3</v>
      </c>
      <c r="K544">
        <v>1</v>
      </c>
    </row>
    <row r="545" spans="1:11" x14ac:dyDescent="0.25">
      <c r="A545">
        <v>1121124</v>
      </c>
      <c r="B545">
        <v>1178</v>
      </c>
      <c r="C545">
        <v>144536</v>
      </c>
      <c r="D545" t="s">
        <v>11</v>
      </c>
      <c r="E545" t="s">
        <v>12</v>
      </c>
      <c r="F545">
        <v>20</v>
      </c>
      <c r="G545">
        <v>128386</v>
      </c>
      <c r="H545">
        <v>15</v>
      </c>
      <c r="I545">
        <v>28.85000002</v>
      </c>
      <c r="J545">
        <v>2</v>
      </c>
      <c r="K545">
        <v>1</v>
      </c>
    </row>
    <row r="546" spans="1:11" x14ac:dyDescent="0.25">
      <c r="A546">
        <v>1121125</v>
      </c>
      <c r="B546">
        <v>1178</v>
      </c>
      <c r="C546">
        <v>144536</v>
      </c>
      <c r="D546" t="s">
        <v>11</v>
      </c>
      <c r="E546" t="s">
        <v>12</v>
      </c>
      <c r="F546">
        <v>20</v>
      </c>
      <c r="G546">
        <v>1034284</v>
      </c>
      <c r="H546">
        <v>152</v>
      </c>
      <c r="I546">
        <v>257.70999860000001</v>
      </c>
      <c r="J546">
        <v>20</v>
      </c>
      <c r="K546">
        <v>9</v>
      </c>
    </row>
    <row r="547" spans="1:11" x14ac:dyDescent="0.25">
      <c r="A547">
        <v>1121126</v>
      </c>
      <c r="B547">
        <v>1178</v>
      </c>
      <c r="C547">
        <v>144536</v>
      </c>
      <c r="D547" t="s">
        <v>11</v>
      </c>
      <c r="E547" t="s">
        <v>12</v>
      </c>
      <c r="F547">
        <v>20</v>
      </c>
      <c r="G547">
        <v>45923</v>
      </c>
      <c r="H547">
        <v>5</v>
      </c>
      <c r="I547">
        <v>7.2200001479999996</v>
      </c>
      <c r="J547">
        <v>2</v>
      </c>
      <c r="K547">
        <v>0</v>
      </c>
    </row>
    <row r="548" spans="1:11" x14ac:dyDescent="0.25">
      <c r="A548">
        <v>1121127</v>
      </c>
      <c r="B548">
        <v>1178</v>
      </c>
      <c r="C548">
        <v>144537</v>
      </c>
      <c r="D548" t="s">
        <v>11</v>
      </c>
      <c r="E548" t="s">
        <v>12</v>
      </c>
      <c r="F548">
        <v>21</v>
      </c>
      <c r="G548">
        <v>40873</v>
      </c>
      <c r="H548">
        <v>4</v>
      </c>
      <c r="I548">
        <v>7.8999999760000001</v>
      </c>
      <c r="J548">
        <v>2</v>
      </c>
      <c r="K548">
        <v>1</v>
      </c>
    </row>
    <row r="549" spans="1:11" x14ac:dyDescent="0.25">
      <c r="A549">
        <v>1121128</v>
      </c>
      <c r="B549">
        <v>1178</v>
      </c>
      <c r="C549">
        <v>144537</v>
      </c>
      <c r="D549" t="s">
        <v>11</v>
      </c>
      <c r="E549" t="s">
        <v>12</v>
      </c>
      <c r="F549">
        <v>21</v>
      </c>
      <c r="G549">
        <v>286553</v>
      </c>
      <c r="H549">
        <v>34</v>
      </c>
      <c r="I549">
        <v>62.060000420000001</v>
      </c>
      <c r="J549">
        <v>2</v>
      </c>
      <c r="K549">
        <v>1</v>
      </c>
    </row>
    <row r="550" spans="1:11" x14ac:dyDescent="0.25">
      <c r="A550">
        <v>1121129</v>
      </c>
      <c r="B550">
        <v>1178</v>
      </c>
      <c r="C550">
        <v>144537</v>
      </c>
      <c r="D550" t="s">
        <v>11</v>
      </c>
      <c r="E550" t="s">
        <v>12</v>
      </c>
      <c r="F550">
        <v>21</v>
      </c>
      <c r="G550">
        <v>20618</v>
      </c>
      <c r="H550">
        <v>1</v>
      </c>
      <c r="I550">
        <v>2.0999999049999998</v>
      </c>
      <c r="J550">
        <v>2</v>
      </c>
      <c r="K550">
        <v>1</v>
      </c>
    </row>
    <row r="551" spans="1:11" x14ac:dyDescent="0.25">
      <c r="A551">
        <v>1121131</v>
      </c>
      <c r="B551">
        <v>1178</v>
      </c>
      <c r="C551">
        <v>144537</v>
      </c>
      <c r="D551" t="s">
        <v>11</v>
      </c>
      <c r="E551" t="s">
        <v>12</v>
      </c>
      <c r="F551">
        <v>21</v>
      </c>
      <c r="G551">
        <v>83591</v>
      </c>
      <c r="H551">
        <v>7</v>
      </c>
      <c r="I551">
        <v>14.14000046</v>
      </c>
      <c r="J551">
        <v>2</v>
      </c>
      <c r="K551">
        <v>2</v>
      </c>
    </row>
    <row r="552" spans="1:11" x14ac:dyDescent="0.25">
      <c r="A552">
        <v>1121132</v>
      </c>
      <c r="B552">
        <v>1178</v>
      </c>
      <c r="C552">
        <v>144537</v>
      </c>
      <c r="D552" t="s">
        <v>11</v>
      </c>
      <c r="E552" t="s">
        <v>12</v>
      </c>
      <c r="F552">
        <v>21</v>
      </c>
      <c r="G552">
        <v>114923</v>
      </c>
      <c r="H552">
        <v>12</v>
      </c>
      <c r="I552">
        <v>23.730000260000001</v>
      </c>
      <c r="J552">
        <v>4</v>
      </c>
      <c r="K552">
        <v>2</v>
      </c>
    </row>
    <row r="553" spans="1:11" x14ac:dyDescent="0.25">
      <c r="A553">
        <v>1121133</v>
      </c>
      <c r="B553">
        <v>1178</v>
      </c>
      <c r="C553">
        <v>144538</v>
      </c>
      <c r="D553" t="s">
        <v>11</v>
      </c>
      <c r="E553" t="s">
        <v>12</v>
      </c>
      <c r="F553">
        <v>22</v>
      </c>
      <c r="G553">
        <v>25002</v>
      </c>
      <c r="H553">
        <v>1</v>
      </c>
      <c r="I553">
        <v>1.710000038</v>
      </c>
      <c r="J553">
        <v>1</v>
      </c>
      <c r="K553">
        <v>0</v>
      </c>
    </row>
    <row r="554" spans="1:11" x14ac:dyDescent="0.25">
      <c r="A554">
        <v>1121134</v>
      </c>
      <c r="B554">
        <v>1178</v>
      </c>
      <c r="C554">
        <v>144538</v>
      </c>
      <c r="D554" t="s">
        <v>11</v>
      </c>
      <c r="E554" t="s">
        <v>12</v>
      </c>
      <c r="F554">
        <v>22</v>
      </c>
      <c r="G554">
        <v>68905</v>
      </c>
      <c r="H554">
        <v>5</v>
      </c>
      <c r="I554">
        <v>9.4400000570000007</v>
      </c>
      <c r="J554">
        <v>1</v>
      </c>
      <c r="K554">
        <v>0</v>
      </c>
    </row>
    <row r="555" spans="1:11" x14ac:dyDescent="0.25">
      <c r="A555">
        <v>1121136</v>
      </c>
      <c r="B555">
        <v>1178</v>
      </c>
      <c r="C555">
        <v>144538</v>
      </c>
      <c r="D555" t="s">
        <v>11</v>
      </c>
      <c r="E555" t="s">
        <v>12</v>
      </c>
      <c r="F555">
        <v>22</v>
      </c>
      <c r="G555">
        <v>169588</v>
      </c>
      <c r="H555">
        <v>16</v>
      </c>
      <c r="I555">
        <v>27.799999239999998</v>
      </c>
      <c r="J555">
        <v>1</v>
      </c>
      <c r="K555">
        <v>0</v>
      </c>
    </row>
    <row r="556" spans="1:11" x14ac:dyDescent="0.25">
      <c r="A556">
        <v>1121138</v>
      </c>
      <c r="B556">
        <v>1178</v>
      </c>
      <c r="C556">
        <v>144538</v>
      </c>
      <c r="D556" t="s">
        <v>11</v>
      </c>
      <c r="E556" t="s">
        <v>12</v>
      </c>
      <c r="F556">
        <v>22</v>
      </c>
      <c r="G556">
        <v>328991</v>
      </c>
      <c r="H556">
        <v>35</v>
      </c>
      <c r="I556">
        <v>67.650000570000003</v>
      </c>
      <c r="J556">
        <v>5</v>
      </c>
      <c r="K556">
        <v>2</v>
      </c>
    </row>
    <row r="557" spans="1:11" x14ac:dyDescent="0.25">
      <c r="A557">
        <v>1121141</v>
      </c>
      <c r="B557">
        <v>1178</v>
      </c>
      <c r="C557">
        <v>144539</v>
      </c>
      <c r="D557" t="s">
        <v>11</v>
      </c>
      <c r="E557" t="s">
        <v>12</v>
      </c>
      <c r="F557">
        <v>23</v>
      </c>
      <c r="G557">
        <v>23198</v>
      </c>
      <c r="H557">
        <v>2</v>
      </c>
      <c r="I557">
        <v>2.9800000190000002</v>
      </c>
      <c r="J557">
        <v>1</v>
      </c>
      <c r="K557">
        <v>0</v>
      </c>
    </row>
    <row r="558" spans="1:11" x14ac:dyDescent="0.25">
      <c r="A558">
        <v>1121142</v>
      </c>
      <c r="B558">
        <v>1178</v>
      </c>
      <c r="C558">
        <v>144539</v>
      </c>
      <c r="D558" t="s">
        <v>11</v>
      </c>
      <c r="E558" t="s">
        <v>12</v>
      </c>
      <c r="F558">
        <v>23</v>
      </c>
      <c r="G558">
        <v>26890</v>
      </c>
      <c r="H558">
        <v>2</v>
      </c>
      <c r="I558">
        <v>3.2400000100000002</v>
      </c>
      <c r="J558">
        <v>1</v>
      </c>
      <c r="K558">
        <v>0</v>
      </c>
    </row>
    <row r="559" spans="1:11" x14ac:dyDescent="0.25">
      <c r="A559">
        <v>1121143</v>
      </c>
      <c r="B559">
        <v>1178</v>
      </c>
      <c r="C559">
        <v>144539</v>
      </c>
      <c r="D559" t="s">
        <v>11</v>
      </c>
      <c r="E559" t="s">
        <v>12</v>
      </c>
      <c r="F559">
        <v>23</v>
      </c>
      <c r="G559">
        <v>221695</v>
      </c>
      <c r="H559">
        <v>31</v>
      </c>
      <c r="I559">
        <v>52.26000011</v>
      </c>
      <c r="J559">
        <v>5</v>
      </c>
      <c r="K559">
        <v>2</v>
      </c>
    </row>
    <row r="560" spans="1:11" x14ac:dyDescent="0.25">
      <c r="A560">
        <v>1121152</v>
      </c>
      <c r="B560">
        <v>1178</v>
      </c>
      <c r="C560">
        <v>144541</v>
      </c>
      <c r="D560" t="s">
        <v>11</v>
      </c>
      <c r="E560" t="s">
        <v>12</v>
      </c>
      <c r="F560">
        <v>24</v>
      </c>
      <c r="G560">
        <v>88443</v>
      </c>
      <c r="H560">
        <v>7</v>
      </c>
      <c r="I560">
        <v>13.0400002</v>
      </c>
      <c r="J560">
        <v>1</v>
      </c>
      <c r="K560">
        <v>1</v>
      </c>
    </row>
    <row r="561" spans="1:11" x14ac:dyDescent="0.25">
      <c r="A561">
        <v>1121153</v>
      </c>
      <c r="B561">
        <v>1178</v>
      </c>
      <c r="C561">
        <v>144541</v>
      </c>
      <c r="D561" t="s">
        <v>11</v>
      </c>
      <c r="E561" t="s">
        <v>12</v>
      </c>
      <c r="F561">
        <v>24</v>
      </c>
      <c r="G561">
        <v>187856</v>
      </c>
      <c r="H561">
        <v>23</v>
      </c>
      <c r="I561">
        <v>38.389999750000001</v>
      </c>
      <c r="J561">
        <v>5</v>
      </c>
      <c r="K561">
        <v>1</v>
      </c>
    </row>
    <row r="562" spans="1:11" x14ac:dyDescent="0.25">
      <c r="A562">
        <v>1121164</v>
      </c>
      <c r="B562">
        <v>1178</v>
      </c>
      <c r="C562">
        <v>144545</v>
      </c>
      <c r="D562" t="s">
        <v>11</v>
      </c>
      <c r="E562" t="s">
        <v>12</v>
      </c>
      <c r="F562">
        <v>25</v>
      </c>
      <c r="G562">
        <v>570699</v>
      </c>
      <c r="H562">
        <v>80</v>
      </c>
      <c r="I562">
        <v>138.7699997</v>
      </c>
      <c r="J562">
        <v>9</v>
      </c>
      <c r="K562">
        <v>2</v>
      </c>
    </row>
    <row r="563" spans="1:11" x14ac:dyDescent="0.25">
      <c r="A563">
        <v>1121167</v>
      </c>
      <c r="B563">
        <v>1178</v>
      </c>
      <c r="C563">
        <v>144545</v>
      </c>
      <c r="D563" t="s">
        <v>11</v>
      </c>
      <c r="E563" t="s">
        <v>12</v>
      </c>
      <c r="F563">
        <v>25</v>
      </c>
      <c r="G563">
        <v>1063508</v>
      </c>
      <c r="H563">
        <v>145</v>
      </c>
      <c r="I563">
        <v>260.3800013</v>
      </c>
      <c r="J563">
        <v>23</v>
      </c>
      <c r="K563">
        <v>7</v>
      </c>
    </row>
    <row r="564" spans="1:11" x14ac:dyDescent="0.25">
      <c r="A564">
        <v>1121168</v>
      </c>
      <c r="B564">
        <v>1178</v>
      </c>
      <c r="C564">
        <v>144545</v>
      </c>
      <c r="D564" t="s">
        <v>11</v>
      </c>
      <c r="E564" t="s">
        <v>12</v>
      </c>
      <c r="F564">
        <v>25</v>
      </c>
      <c r="G564">
        <v>50523</v>
      </c>
      <c r="H564">
        <v>6</v>
      </c>
      <c r="I564">
        <v>8.5499999520000003</v>
      </c>
      <c r="J564">
        <v>1</v>
      </c>
      <c r="K564">
        <v>0</v>
      </c>
    </row>
    <row r="565" spans="1:11" x14ac:dyDescent="0.25">
      <c r="A565">
        <v>1121172</v>
      </c>
      <c r="B565">
        <v>1178</v>
      </c>
      <c r="C565">
        <v>144547</v>
      </c>
      <c r="D565" t="s">
        <v>11</v>
      </c>
      <c r="E565" t="s">
        <v>12</v>
      </c>
      <c r="F565">
        <v>26</v>
      </c>
      <c r="G565">
        <v>87935</v>
      </c>
      <c r="H565">
        <v>9</v>
      </c>
      <c r="I565">
        <v>15.63000023</v>
      </c>
      <c r="J565">
        <v>1</v>
      </c>
      <c r="K565">
        <v>0</v>
      </c>
    </row>
    <row r="566" spans="1:11" x14ac:dyDescent="0.25">
      <c r="A566">
        <v>1121173</v>
      </c>
      <c r="B566">
        <v>1178</v>
      </c>
      <c r="C566">
        <v>144547</v>
      </c>
      <c r="D566" t="s">
        <v>11</v>
      </c>
      <c r="E566" t="s">
        <v>12</v>
      </c>
      <c r="F566">
        <v>26</v>
      </c>
      <c r="G566">
        <v>278225</v>
      </c>
      <c r="H566">
        <v>33</v>
      </c>
      <c r="I566">
        <v>60.199999570000003</v>
      </c>
      <c r="J566">
        <v>3</v>
      </c>
      <c r="K566">
        <v>0</v>
      </c>
    </row>
    <row r="567" spans="1:11" x14ac:dyDescent="0.25">
      <c r="A567">
        <v>1121175</v>
      </c>
      <c r="B567">
        <v>1178</v>
      </c>
      <c r="C567">
        <v>144547</v>
      </c>
      <c r="D567" t="s">
        <v>11</v>
      </c>
      <c r="E567" t="s">
        <v>12</v>
      </c>
      <c r="F567">
        <v>26</v>
      </c>
      <c r="G567">
        <v>209461</v>
      </c>
      <c r="H567">
        <v>20</v>
      </c>
      <c r="I567">
        <v>34.190000060000003</v>
      </c>
      <c r="J567">
        <v>1</v>
      </c>
      <c r="K567">
        <v>0</v>
      </c>
    </row>
    <row r="568" spans="1:11" x14ac:dyDescent="0.25">
      <c r="A568">
        <v>1121177</v>
      </c>
      <c r="B568">
        <v>1178</v>
      </c>
      <c r="C568">
        <v>144547</v>
      </c>
      <c r="D568" t="s">
        <v>11</v>
      </c>
      <c r="E568" t="s">
        <v>12</v>
      </c>
      <c r="F568">
        <v>26</v>
      </c>
      <c r="G568">
        <v>26316</v>
      </c>
      <c r="H568">
        <v>2</v>
      </c>
      <c r="I568">
        <v>3.2400000100000002</v>
      </c>
      <c r="J568">
        <v>3</v>
      </c>
      <c r="K568">
        <v>0</v>
      </c>
    </row>
    <row r="569" spans="1:11" x14ac:dyDescent="0.25">
      <c r="A569">
        <v>1121181</v>
      </c>
      <c r="B569">
        <v>1178</v>
      </c>
      <c r="C569">
        <v>144549</v>
      </c>
      <c r="D569" t="s">
        <v>11</v>
      </c>
      <c r="E569" t="s">
        <v>12</v>
      </c>
      <c r="F569">
        <v>27</v>
      </c>
      <c r="G569">
        <v>41030</v>
      </c>
      <c r="H569">
        <v>3</v>
      </c>
      <c r="I569">
        <v>5.1400001050000004</v>
      </c>
      <c r="J569">
        <v>2</v>
      </c>
      <c r="K569">
        <v>1</v>
      </c>
    </row>
    <row r="570" spans="1:11" x14ac:dyDescent="0.25">
      <c r="A570">
        <v>1121182</v>
      </c>
      <c r="B570">
        <v>1178</v>
      </c>
      <c r="C570">
        <v>144549</v>
      </c>
      <c r="D570" t="s">
        <v>11</v>
      </c>
      <c r="E570" t="s">
        <v>12</v>
      </c>
      <c r="F570">
        <v>27</v>
      </c>
      <c r="G570">
        <v>876671</v>
      </c>
      <c r="H570">
        <v>120</v>
      </c>
      <c r="I570">
        <v>216.5599982</v>
      </c>
      <c r="J570">
        <v>22</v>
      </c>
      <c r="K570">
        <v>4</v>
      </c>
    </row>
    <row r="571" spans="1:11" x14ac:dyDescent="0.25">
      <c r="A571">
        <v>1121183</v>
      </c>
      <c r="B571">
        <v>1178</v>
      </c>
      <c r="C571">
        <v>144549</v>
      </c>
      <c r="D571" t="s">
        <v>11</v>
      </c>
      <c r="E571" t="s">
        <v>12</v>
      </c>
      <c r="F571">
        <v>27</v>
      </c>
      <c r="G571">
        <v>399392</v>
      </c>
      <c r="H571">
        <v>53</v>
      </c>
      <c r="I571">
        <v>93.070000410000006</v>
      </c>
      <c r="J571">
        <v>5</v>
      </c>
      <c r="K571">
        <v>0</v>
      </c>
    </row>
    <row r="572" spans="1:11" x14ac:dyDescent="0.25">
      <c r="A572">
        <v>1121184</v>
      </c>
      <c r="B572">
        <v>1178</v>
      </c>
      <c r="C572">
        <v>144549</v>
      </c>
      <c r="D572" t="s">
        <v>11</v>
      </c>
      <c r="E572" t="s">
        <v>12</v>
      </c>
      <c r="F572">
        <v>27</v>
      </c>
      <c r="G572">
        <v>283858</v>
      </c>
      <c r="H572">
        <v>30</v>
      </c>
      <c r="I572">
        <v>56.059999230000003</v>
      </c>
      <c r="J572">
        <v>1</v>
      </c>
      <c r="K572">
        <v>0</v>
      </c>
    </row>
    <row r="573" spans="1:11" x14ac:dyDescent="0.25">
      <c r="A573">
        <v>1121185</v>
      </c>
      <c r="B573">
        <v>1178</v>
      </c>
      <c r="C573">
        <v>144549</v>
      </c>
      <c r="D573" t="s">
        <v>11</v>
      </c>
      <c r="E573" t="s">
        <v>12</v>
      </c>
      <c r="F573">
        <v>27</v>
      </c>
      <c r="G573">
        <v>260699</v>
      </c>
      <c r="H573">
        <v>31</v>
      </c>
      <c r="I573">
        <v>54.099998710000001</v>
      </c>
      <c r="J573">
        <v>5</v>
      </c>
      <c r="K573">
        <v>2</v>
      </c>
    </row>
    <row r="574" spans="1:11" x14ac:dyDescent="0.25">
      <c r="A574">
        <v>1121193</v>
      </c>
      <c r="B574">
        <v>1178</v>
      </c>
      <c r="C574">
        <v>144552</v>
      </c>
      <c r="D574" t="s">
        <v>11</v>
      </c>
      <c r="E574" t="s">
        <v>12</v>
      </c>
      <c r="F574">
        <v>28</v>
      </c>
      <c r="G574">
        <v>57781</v>
      </c>
      <c r="H574">
        <v>5</v>
      </c>
      <c r="I574">
        <v>7.8000000719999996</v>
      </c>
      <c r="J574">
        <v>2</v>
      </c>
      <c r="K574">
        <v>1</v>
      </c>
    </row>
    <row r="575" spans="1:11" x14ac:dyDescent="0.25">
      <c r="A575">
        <v>1121195</v>
      </c>
      <c r="B575">
        <v>1178</v>
      </c>
      <c r="C575">
        <v>144552</v>
      </c>
      <c r="D575" t="s">
        <v>11</v>
      </c>
      <c r="E575" t="s">
        <v>12</v>
      </c>
      <c r="F575">
        <v>28</v>
      </c>
      <c r="G575">
        <v>38757</v>
      </c>
      <c r="H575">
        <v>3</v>
      </c>
      <c r="I575">
        <v>5.2200000290000004</v>
      </c>
      <c r="J575">
        <v>1</v>
      </c>
      <c r="K575">
        <v>0</v>
      </c>
    </row>
    <row r="576" spans="1:11" x14ac:dyDescent="0.25">
      <c r="A576">
        <v>1121196</v>
      </c>
      <c r="B576">
        <v>1178</v>
      </c>
      <c r="C576">
        <v>144552</v>
      </c>
      <c r="D576" t="s">
        <v>11</v>
      </c>
      <c r="E576" t="s">
        <v>12</v>
      </c>
      <c r="F576">
        <v>28</v>
      </c>
      <c r="G576">
        <v>1392288</v>
      </c>
      <c r="H576">
        <v>206</v>
      </c>
      <c r="I576">
        <v>358.55000289999998</v>
      </c>
      <c r="J576">
        <v>31</v>
      </c>
      <c r="K576">
        <v>7</v>
      </c>
    </row>
    <row r="577" spans="1:11" x14ac:dyDescent="0.25">
      <c r="A577">
        <v>1121197</v>
      </c>
      <c r="B577">
        <v>1178</v>
      </c>
      <c r="C577">
        <v>144552</v>
      </c>
      <c r="D577" t="s">
        <v>11</v>
      </c>
      <c r="E577" t="s">
        <v>12</v>
      </c>
      <c r="F577">
        <v>28</v>
      </c>
      <c r="G577">
        <v>1109387</v>
      </c>
      <c r="H577">
        <v>159</v>
      </c>
      <c r="I577">
        <v>280.98999950000001</v>
      </c>
      <c r="J577">
        <v>13</v>
      </c>
      <c r="K577">
        <v>2</v>
      </c>
    </row>
    <row r="578" spans="1:11" x14ac:dyDescent="0.25">
      <c r="A578">
        <v>1121202</v>
      </c>
      <c r="B578">
        <v>1178</v>
      </c>
      <c r="C578">
        <v>144554</v>
      </c>
      <c r="D578" t="s">
        <v>11</v>
      </c>
      <c r="E578" t="s">
        <v>12</v>
      </c>
      <c r="F578">
        <v>29</v>
      </c>
      <c r="G578">
        <v>581281</v>
      </c>
      <c r="H578">
        <v>65</v>
      </c>
      <c r="I578">
        <v>115.1200008</v>
      </c>
      <c r="J578">
        <v>10</v>
      </c>
      <c r="K578">
        <v>5</v>
      </c>
    </row>
    <row r="579" spans="1:11" x14ac:dyDescent="0.25">
      <c r="A579">
        <v>1121203</v>
      </c>
      <c r="B579">
        <v>1178</v>
      </c>
      <c r="C579">
        <v>144554</v>
      </c>
      <c r="D579" t="s">
        <v>11</v>
      </c>
      <c r="E579" t="s">
        <v>12</v>
      </c>
      <c r="F579">
        <v>29</v>
      </c>
      <c r="G579">
        <v>1048861</v>
      </c>
      <c r="H579">
        <v>128</v>
      </c>
      <c r="I579">
        <v>219.77000200000001</v>
      </c>
      <c r="J579">
        <v>22</v>
      </c>
      <c r="K579">
        <v>8</v>
      </c>
    </row>
    <row r="580" spans="1:11" x14ac:dyDescent="0.25">
      <c r="A580">
        <v>1121205</v>
      </c>
      <c r="B580">
        <v>1178</v>
      </c>
      <c r="C580">
        <v>144554</v>
      </c>
      <c r="D580" t="s">
        <v>11</v>
      </c>
      <c r="E580" t="s">
        <v>12</v>
      </c>
      <c r="F580">
        <v>29</v>
      </c>
      <c r="G580">
        <v>297452</v>
      </c>
      <c r="H580">
        <v>30</v>
      </c>
      <c r="I580">
        <v>52.019999859999999</v>
      </c>
      <c r="J580">
        <v>4</v>
      </c>
      <c r="K580">
        <v>1</v>
      </c>
    </row>
    <row r="581" spans="1:11" x14ac:dyDescent="0.25">
      <c r="A581">
        <v>1121206</v>
      </c>
      <c r="B581">
        <v>1178</v>
      </c>
      <c r="C581">
        <v>144554</v>
      </c>
      <c r="D581" t="s">
        <v>11</v>
      </c>
      <c r="E581" t="s">
        <v>12</v>
      </c>
      <c r="F581">
        <v>29</v>
      </c>
      <c r="G581">
        <v>227925</v>
      </c>
      <c r="H581">
        <v>22</v>
      </c>
      <c r="I581">
        <v>35.309999939999997</v>
      </c>
      <c r="J581">
        <v>22</v>
      </c>
      <c r="K581">
        <v>12</v>
      </c>
    </row>
    <row r="582" spans="1:11" x14ac:dyDescent="0.25">
      <c r="A582">
        <v>1121207</v>
      </c>
      <c r="B582">
        <v>1178</v>
      </c>
      <c r="C582">
        <v>144554</v>
      </c>
      <c r="D582" t="s">
        <v>11</v>
      </c>
      <c r="E582" t="s">
        <v>12</v>
      </c>
      <c r="F582">
        <v>29</v>
      </c>
      <c r="G582">
        <v>374175</v>
      </c>
      <c r="H582">
        <v>38</v>
      </c>
      <c r="I582">
        <v>63.320001009999999</v>
      </c>
      <c r="J582">
        <v>8</v>
      </c>
      <c r="K582">
        <v>3</v>
      </c>
    </row>
    <row r="583" spans="1:11" x14ac:dyDescent="0.25">
      <c r="A583">
        <v>1121211</v>
      </c>
      <c r="B583">
        <v>1178</v>
      </c>
      <c r="C583">
        <v>144556</v>
      </c>
      <c r="D583" t="s">
        <v>11</v>
      </c>
      <c r="E583" t="s">
        <v>12</v>
      </c>
      <c r="F583">
        <v>30</v>
      </c>
      <c r="G583">
        <v>223586</v>
      </c>
      <c r="H583">
        <v>32</v>
      </c>
      <c r="I583">
        <v>54.240000369999997</v>
      </c>
      <c r="J583">
        <v>1</v>
      </c>
      <c r="K583">
        <v>0</v>
      </c>
    </row>
    <row r="584" spans="1:11" x14ac:dyDescent="0.25">
      <c r="A584">
        <v>1121213</v>
      </c>
      <c r="B584">
        <v>1178</v>
      </c>
      <c r="C584">
        <v>144556</v>
      </c>
      <c r="D584" t="s">
        <v>11</v>
      </c>
      <c r="E584" t="s">
        <v>12</v>
      </c>
      <c r="F584">
        <v>30</v>
      </c>
      <c r="G584">
        <v>283170</v>
      </c>
      <c r="H584">
        <v>39</v>
      </c>
      <c r="I584">
        <v>65.229999960000001</v>
      </c>
      <c r="J584">
        <v>2</v>
      </c>
      <c r="K584">
        <v>1</v>
      </c>
    </row>
    <row r="585" spans="1:11" x14ac:dyDescent="0.25">
      <c r="A585">
        <v>1121215</v>
      </c>
      <c r="B585">
        <v>1178</v>
      </c>
      <c r="C585">
        <v>144556</v>
      </c>
      <c r="D585" t="s">
        <v>11</v>
      </c>
      <c r="E585" t="s">
        <v>12</v>
      </c>
      <c r="F585">
        <v>30</v>
      </c>
      <c r="G585">
        <v>41636</v>
      </c>
      <c r="H585">
        <v>3</v>
      </c>
      <c r="I585">
        <v>4.2100000380000004</v>
      </c>
      <c r="J585">
        <v>1</v>
      </c>
      <c r="K585">
        <v>0</v>
      </c>
    </row>
    <row r="586" spans="1:11" x14ac:dyDescent="0.25">
      <c r="A586">
        <v>1121216</v>
      </c>
      <c r="B586">
        <v>1178</v>
      </c>
      <c r="C586">
        <v>144556</v>
      </c>
      <c r="D586" t="s">
        <v>11</v>
      </c>
      <c r="E586" t="s">
        <v>12</v>
      </c>
      <c r="F586">
        <v>30</v>
      </c>
      <c r="G586">
        <v>198658</v>
      </c>
      <c r="H586">
        <v>30</v>
      </c>
      <c r="I586">
        <v>48.609999780000003</v>
      </c>
      <c r="J586">
        <v>8</v>
      </c>
      <c r="K586">
        <v>1</v>
      </c>
    </row>
    <row r="587" spans="1:11" x14ac:dyDescent="0.25">
      <c r="A587">
        <v>1121220</v>
      </c>
      <c r="B587">
        <v>1178</v>
      </c>
      <c r="C587">
        <v>144558</v>
      </c>
      <c r="D587" t="s">
        <v>11</v>
      </c>
      <c r="E587" t="s">
        <v>12</v>
      </c>
      <c r="F587">
        <v>31</v>
      </c>
      <c r="G587">
        <v>100596</v>
      </c>
      <c r="H587">
        <v>10</v>
      </c>
      <c r="I587">
        <v>13.91999972</v>
      </c>
      <c r="J587">
        <v>4</v>
      </c>
      <c r="K587">
        <v>2</v>
      </c>
    </row>
    <row r="588" spans="1:11" x14ac:dyDescent="0.25">
      <c r="A588">
        <v>1121223</v>
      </c>
      <c r="B588">
        <v>1178</v>
      </c>
      <c r="C588">
        <v>144558</v>
      </c>
      <c r="D588" t="s">
        <v>11</v>
      </c>
      <c r="E588" t="s">
        <v>12</v>
      </c>
      <c r="F588">
        <v>31</v>
      </c>
      <c r="G588">
        <v>64020</v>
      </c>
      <c r="H588">
        <v>5</v>
      </c>
      <c r="I588">
        <v>11.059999700000001</v>
      </c>
      <c r="J588">
        <v>1</v>
      </c>
      <c r="K588">
        <v>0</v>
      </c>
    </row>
    <row r="589" spans="1:11" x14ac:dyDescent="0.25">
      <c r="A589">
        <v>1121224</v>
      </c>
      <c r="B589">
        <v>1178</v>
      </c>
      <c r="C589">
        <v>144558</v>
      </c>
      <c r="D589" t="s">
        <v>11</v>
      </c>
      <c r="E589" t="s">
        <v>12</v>
      </c>
      <c r="F589">
        <v>31</v>
      </c>
      <c r="G589">
        <v>14289</v>
      </c>
      <c r="H589">
        <v>0</v>
      </c>
      <c r="I589">
        <v>0</v>
      </c>
      <c r="J589">
        <v>1</v>
      </c>
      <c r="K589">
        <v>0</v>
      </c>
    </row>
    <row r="590" spans="1:11" x14ac:dyDescent="0.25">
      <c r="A590">
        <v>1121229</v>
      </c>
      <c r="B590">
        <v>1178</v>
      </c>
      <c r="C590">
        <v>144561</v>
      </c>
      <c r="D590" t="s">
        <v>11</v>
      </c>
      <c r="E590" t="s">
        <v>12</v>
      </c>
      <c r="F590">
        <v>32</v>
      </c>
      <c r="G590">
        <v>404866</v>
      </c>
      <c r="H590">
        <v>43</v>
      </c>
      <c r="I590">
        <v>87.420000790000003</v>
      </c>
      <c r="J590">
        <v>4</v>
      </c>
      <c r="K590">
        <v>0</v>
      </c>
    </row>
    <row r="591" spans="1:11" x14ac:dyDescent="0.25">
      <c r="A591">
        <v>1121231</v>
      </c>
      <c r="B591">
        <v>1178</v>
      </c>
      <c r="C591">
        <v>144561</v>
      </c>
      <c r="D591" t="s">
        <v>11</v>
      </c>
      <c r="E591" t="s">
        <v>12</v>
      </c>
      <c r="F591">
        <v>32</v>
      </c>
      <c r="G591">
        <v>22256</v>
      </c>
      <c r="H591">
        <v>1</v>
      </c>
      <c r="I591">
        <v>1.6599999670000001</v>
      </c>
      <c r="J591">
        <v>1</v>
      </c>
      <c r="K591">
        <v>1</v>
      </c>
    </row>
    <row r="592" spans="1:11" x14ac:dyDescent="0.25">
      <c r="A592">
        <v>1121233</v>
      </c>
      <c r="B592">
        <v>1178</v>
      </c>
      <c r="C592">
        <v>144561</v>
      </c>
      <c r="D592" t="s">
        <v>11</v>
      </c>
      <c r="E592" t="s">
        <v>12</v>
      </c>
      <c r="F592">
        <v>32</v>
      </c>
      <c r="G592">
        <v>57690</v>
      </c>
      <c r="H592">
        <v>4</v>
      </c>
      <c r="I592">
        <v>6.7400000100000002</v>
      </c>
      <c r="J592">
        <v>1</v>
      </c>
      <c r="K592">
        <v>0</v>
      </c>
    </row>
    <row r="593" spans="1:11" x14ac:dyDescent="0.25">
      <c r="A593">
        <v>1121241</v>
      </c>
      <c r="B593">
        <v>1178</v>
      </c>
      <c r="C593">
        <v>144562</v>
      </c>
      <c r="D593" t="s">
        <v>11</v>
      </c>
      <c r="E593" t="s">
        <v>12</v>
      </c>
      <c r="F593">
        <v>36</v>
      </c>
      <c r="G593">
        <v>24952</v>
      </c>
      <c r="H593">
        <v>5</v>
      </c>
      <c r="I593">
        <v>8.2200002669999996</v>
      </c>
      <c r="J593">
        <v>3</v>
      </c>
      <c r="K593">
        <v>2</v>
      </c>
    </row>
    <row r="594" spans="1:11" x14ac:dyDescent="0.25">
      <c r="A594">
        <v>1121242</v>
      </c>
      <c r="B594">
        <v>1178</v>
      </c>
      <c r="C594">
        <v>144562</v>
      </c>
      <c r="D594" t="s">
        <v>11</v>
      </c>
      <c r="E594" t="s">
        <v>12</v>
      </c>
      <c r="F594">
        <v>36</v>
      </c>
      <c r="G594">
        <v>38900</v>
      </c>
      <c r="H594">
        <v>3</v>
      </c>
      <c r="I594">
        <v>5.5800000430000001</v>
      </c>
      <c r="J594">
        <v>1</v>
      </c>
      <c r="K594">
        <v>0</v>
      </c>
    </row>
    <row r="595" spans="1:11" x14ac:dyDescent="0.25">
      <c r="A595">
        <v>1121243</v>
      </c>
      <c r="B595">
        <v>1178</v>
      </c>
      <c r="C595">
        <v>144562</v>
      </c>
      <c r="D595" t="s">
        <v>11</v>
      </c>
      <c r="E595" t="s">
        <v>12</v>
      </c>
      <c r="F595">
        <v>36</v>
      </c>
      <c r="G595">
        <v>53520</v>
      </c>
      <c r="H595">
        <v>6</v>
      </c>
      <c r="I595">
        <v>9.2299998999999993</v>
      </c>
      <c r="J595">
        <v>1</v>
      </c>
      <c r="K595">
        <v>1</v>
      </c>
    </row>
    <row r="596" spans="1:11" x14ac:dyDescent="0.25">
      <c r="A596">
        <v>1121244</v>
      </c>
      <c r="B596">
        <v>1178</v>
      </c>
      <c r="C596">
        <v>144562</v>
      </c>
      <c r="D596" t="s">
        <v>11</v>
      </c>
      <c r="E596" t="s">
        <v>12</v>
      </c>
      <c r="F596">
        <v>36</v>
      </c>
      <c r="G596">
        <v>181683</v>
      </c>
      <c r="H596">
        <v>20</v>
      </c>
      <c r="I596">
        <v>34.229999720000002</v>
      </c>
      <c r="J596">
        <v>2</v>
      </c>
      <c r="K596">
        <v>1</v>
      </c>
    </row>
    <row r="597" spans="1:11" x14ac:dyDescent="0.25">
      <c r="A597">
        <v>1121245</v>
      </c>
      <c r="B597">
        <v>1178</v>
      </c>
      <c r="C597">
        <v>144562</v>
      </c>
      <c r="D597" t="s">
        <v>11</v>
      </c>
      <c r="E597" t="s">
        <v>12</v>
      </c>
      <c r="F597">
        <v>36</v>
      </c>
      <c r="G597">
        <v>29185</v>
      </c>
      <c r="H597">
        <v>2</v>
      </c>
      <c r="I597">
        <v>3.1499999760000001</v>
      </c>
      <c r="J597">
        <v>1</v>
      </c>
      <c r="K597">
        <v>0</v>
      </c>
    </row>
    <row r="598" spans="1:11" x14ac:dyDescent="0.25">
      <c r="A598">
        <v>1121246</v>
      </c>
      <c r="B598">
        <v>1178</v>
      </c>
      <c r="C598">
        <v>144562</v>
      </c>
      <c r="D598" t="s">
        <v>11</v>
      </c>
      <c r="E598" t="s">
        <v>12</v>
      </c>
      <c r="F598">
        <v>36</v>
      </c>
      <c r="G598">
        <v>105047</v>
      </c>
      <c r="H598">
        <v>13</v>
      </c>
      <c r="I598">
        <v>20.209999400000001</v>
      </c>
      <c r="J598">
        <v>3</v>
      </c>
      <c r="K598">
        <v>1</v>
      </c>
    </row>
    <row r="599" spans="1:11" x14ac:dyDescent="0.25">
      <c r="A599">
        <v>1121250</v>
      </c>
      <c r="B599">
        <v>1178</v>
      </c>
      <c r="C599">
        <v>144565</v>
      </c>
      <c r="D599" t="s">
        <v>11</v>
      </c>
      <c r="E599" t="s">
        <v>12</v>
      </c>
      <c r="F599">
        <v>63</v>
      </c>
      <c r="G599">
        <v>287976</v>
      </c>
      <c r="H599">
        <v>31</v>
      </c>
      <c r="I599">
        <v>59.439999819999997</v>
      </c>
      <c r="J599">
        <v>3</v>
      </c>
      <c r="K599">
        <v>2</v>
      </c>
    </row>
    <row r="600" spans="1:11" x14ac:dyDescent="0.25">
      <c r="A600">
        <v>1121251</v>
      </c>
      <c r="B600">
        <v>1178</v>
      </c>
      <c r="C600">
        <v>144565</v>
      </c>
      <c r="D600" t="s">
        <v>11</v>
      </c>
      <c r="E600" t="s">
        <v>12</v>
      </c>
      <c r="F600">
        <v>63</v>
      </c>
      <c r="G600">
        <v>212175</v>
      </c>
      <c r="H600">
        <v>22</v>
      </c>
      <c r="I600">
        <v>38.589999679999998</v>
      </c>
      <c r="J600">
        <v>2</v>
      </c>
      <c r="K600">
        <v>1</v>
      </c>
    </row>
    <row r="601" spans="1:11" x14ac:dyDescent="0.25">
      <c r="A601">
        <v>1121252</v>
      </c>
      <c r="B601">
        <v>1178</v>
      </c>
      <c r="C601">
        <v>144565</v>
      </c>
      <c r="D601" t="s">
        <v>11</v>
      </c>
      <c r="E601" t="s">
        <v>12</v>
      </c>
      <c r="F601">
        <v>63</v>
      </c>
      <c r="G601">
        <v>11139</v>
      </c>
      <c r="H601">
        <v>0</v>
      </c>
      <c r="I601">
        <v>0</v>
      </c>
      <c r="J601">
        <v>1</v>
      </c>
      <c r="K601">
        <v>1</v>
      </c>
    </row>
    <row r="602" spans="1:11" x14ac:dyDescent="0.25">
      <c r="A602">
        <v>1121254</v>
      </c>
      <c r="B602">
        <v>1178</v>
      </c>
      <c r="C602">
        <v>144565</v>
      </c>
      <c r="D602" t="s">
        <v>11</v>
      </c>
      <c r="E602" t="s">
        <v>12</v>
      </c>
      <c r="F602">
        <v>63</v>
      </c>
      <c r="G602">
        <v>124005</v>
      </c>
      <c r="H602">
        <v>11</v>
      </c>
      <c r="I602">
        <v>21.849999789999998</v>
      </c>
      <c r="J602">
        <v>4</v>
      </c>
      <c r="K602">
        <v>1</v>
      </c>
    </row>
    <row r="603" spans="1:11" x14ac:dyDescent="0.25">
      <c r="A603">
        <v>1121255</v>
      </c>
      <c r="B603">
        <v>1178</v>
      </c>
      <c r="C603">
        <v>144565</v>
      </c>
      <c r="D603" t="s">
        <v>11</v>
      </c>
      <c r="E603" t="s">
        <v>12</v>
      </c>
      <c r="F603">
        <v>63</v>
      </c>
      <c r="G603">
        <v>20423</v>
      </c>
      <c r="H603">
        <v>1</v>
      </c>
      <c r="I603">
        <v>1.960000038</v>
      </c>
      <c r="J603">
        <v>1</v>
      </c>
      <c r="K603">
        <v>0</v>
      </c>
    </row>
    <row r="604" spans="1:11" x14ac:dyDescent="0.25">
      <c r="A604">
        <v>1121261</v>
      </c>
      <c r="B604">
        <v>1178</v>
      </c>
      <c r="C604">
        <v>144567</v>
      </c>
      <c r="D604" t="s">
        <v>11</v>
      </c>
      <c r="E604" t="s">
        <v>12</v>
      </c>
      <c r="F604">
        <v>64</v>
      </c>
      <c r="G604">
        <v>103001</v>
      </c>
      <c r="H604">
        <v>14</v>
      </c>
      <c r="I604">
        <v>22.320000050000001</v>
      </c>
      <c r="J604">
        <v>1</v>
      </c>
      <c r="K604">
        <v>0</v>
      </c>
    </row>
    <row r="605" spans="1:11" x14ac:dyDescent="0.25">
      <c r="A605">
        <v>1121262</v>
      </c>
      <c r="B605">
        <v>1178</v>
      </c>
      <c r="C605">
        <v>144567</v>
      </c>
      <c r="D605" t="s">
        <v>11</v>
      </c>
      <c r="E605" t="s">
        <v>12</v>
      </c>
      <c r="F605">
        <v>64</v>
      </c>
      <c r="G605">
        <v>447420</v>
      </c>
      <c r="H605">
        <v>66</v>
      </c>
      <c r="I605">
        <v>110.23999910000001</v>
      </c>
      <c r="J605">
        <v>7</v>
      </c>
      <c r="K605">
        <v>2</v>
      </c>
    </row>
    <row r="606" spans="1:11" x14ac:dyDescent="0.25">
      <c r="A606">
        <v>1121263</v>
      </c>
      <c r="B606">
        <v>1178</v>
      </c>
      <c r="C606">
        <v>144567</v>
      </c>
      <c r="D606" t="s">
        <v>11</v>
      </c>
      <c r="E606" t="s">
        <v>12</v>
      </c>
      <c r="F606">
        <v>64</v>
      </c>
      <c r="G606">
        <v>156101</v>
      </c>
      <c r="H606">
        <v>19</v>
      </c>
      <c r="I606">
        <v>29.750000480000001</v>
      </c>
      <c r="J606">
        <v>2</v>
      </c>
      <c r="K606">
        <v>2</v>
      </c>
    </row>
    <row r="607" spans="1:11" x14ac:dyDescent="0.25">
      <c r="A607">
        <v>1121264</v>
      </c>
      <c r="B607">
        <v>1178</v>
      </c>
      <c r="C607">
        <v>144567</v>
      </c>
      <c r="D607" t="s">
        <v>11</v>
      </c>
      <c r="E607" t="s">
        <v>12</v>
      </c>
      <c r="F607">
        <v>64</v>
      </c>
      <c r="G607">
        <v>93015</v>
      </c>
      <c r="H607">
        <v>12</v>
      </c>
      <c r="I607">
        <v>18.470000150000001</v>
      </c>
      <c r="J607">
        <v>1</v>
      </c>
      <c r="K607">
        <v>0</v>
      </c>
    </row>
    <row r="608" spans="1:11" x14ac:dyDescent="0.25">
      <c r="A608">
        <v>1121265</v>
      </c>
      <c r="B608">
        <v>1178</v>
      </c>
      <c r="C608">
        <v>144568</v>
      </c>
      <c r="D608" t="s">
        <v>11</v>
      </c>
      <c r="E608" t="s">
        <v>12</v>
      </c>
      <c r="F608">
        <v>65</v>
      </c>
      <c r="G608">
        <v>145398</v>
      </c>
      <c r="H608">
        <v>23</v>
      </c>
      <c r="I608">
        <v>36.240000250000001</v>
      </c>
      <c r="J608">
        <v>1</v>
      </c>
      <c r="K608">
        <v>0</v>
      </c>
    </row>
    <row r="609" spans="1:11" x14ac:dyDescent="0.25">
      <c r="A609">
        <v>1121269</v>
      </c>
      <c r="B609">
        <v>1178</v>
      </c>
      <c r="C609">
        <v>144568</v>
      </c>
      <c r="D609" t="s">
        <v>11</v>
      </c>
      <c r="E609" t="s">
        <v>12</v>
      </c>
      <c r="F609">
        <v>65</v>
      </c>
      <c r="G609">
        <v>296413</v>
      </c>
      <c r="H609">
        <v>50</v>
      </c>
      <c r="I609">
        <v>76.439999580000006</v>
      </c>
      <c r="J609">
        <v>3</v>
      </c>
      <c r="K609">
        <v>1</v>
      </c>
    </row>
    <row r="610" spans="1:11" x14ac:dyDescent="0.25">
      <c r="A610">
        <v>1121273</v>
      </c>
      <c r="B610">
        <v>1178</v>
      </c>
      <c r="C610">
        <v>144569</v>
      </c>
      <c r="D610" t="s">
        <v>11</v>
      </c>
      <c r="E610" t="s">
        <v>12</v>
      </c>
      <c r="F610">
        <v>2</v>
      </c>
      <c r="G610">
        <v>9370</v>
      </c>
      <c r="H610">
        <v>0</v>
      </c>
      <c r="I610">
        <v>0</v>
      </c>
      <c r="J610">
        <v>1</v>
      </c>
      <c r="K610">
        <v>1</v>
      </c>
    </row>
    <row r="611" spans="1:11" x14ac:dyDescent="0.25">
      <c r="A611">
        <v>1121274</v>
      </c>
      <c r="B611">
        <v>1178</v>
      </c>
      <c r="C611">
        <v>144569</v>
      </c>
      <c r="D611" t="s">
        <v>11</v>
      </c>
      <c r="E611" t="s">
        <v>12</v>
      </c>
      <c r="F611">
        <v>2</v>
      </c>
      <c r="G611">
        <v>63785</v>
      </c>
      <c r="H611">
        <v>7</v>
      </c>
      <c r="I611">
        <v>11.80000019</v>
      </c>
      <c r="J611">
        <v>6</v>
      </c>
      <c r="K611">
        <v>2</v>
      </c>
    </row>
    <row r="612" spans="1:11" x14ac:dyDescent="0.25">
      <c r="A612">
        <v>1121275</v>
      </c>
      <c r="B612">
        <v>1178</v>
      </c>
      <c r="C612">
        <v>144569</v>
      </c>
      <c r="D612" t="s">
        <v>11</v>
      </c>
      <c r="E612" t="s">
        <v>12</v>
      </c>
      <c r="F612">
        <v>2</v>
      </c>
      <c r="G612">
        <v>118522</v>
      </c>
      <c r="H612">
        <v>14</v>
      </c>
      <c r="I612">
        <v>26.819999809999999</v>
      </c>
      <c r="J612">
        <v>2</v>
      </c>
      <c r="K612">
        <v>1</v>
      </c>
    </row>
    <row r="613" spans="1:11" x14ac:dyDescent="0.25">
      <c r="A613">
        <v>1121276</v>
      </c>
      <c r="B613">
        <v>1178</v>
      </c>
      <c r="C613">
        <v>144569</v>
      </c>
      <c r="D613" t="s">
        <v>11</v>
      </c>
      <c r="E613" t="s">
        <v>12</v>
      </c>
      <c r="F613">
        <v>2</v>
      </c>
      <c r="G613">
        <v>240123</v>
      </c>
      <c r="H613">
        <v>38</v>
      </c>
      <c r="I613">
        <v>65.670001150000004</v>
      </c>
      <c r="J613">
        <v>5</v>
      </c>
      <c r="K613">
        <v>4</v>
      </c>
    </row>
    <row r="614" spans="1:11" x14ac:dyDescent="0.25">
      <c r="A614">
        <v>1121277</v>
      </c>
      <c r="B614">
        <v>1178</v>
      </c>
      <c r="C614">
        <v>144570</v>
      </c>
      <c r="D614" t="s">
        <v>11</v>
      </c>
      <c r="E614" t="s">
        <v>12</v>
      </c>
      <c r="F614">
        <v>7</v>
      </c>
      <c r="G614">
        <v>169108</v>
      </c>
      <c r="H614">
        <v>20</v>
      </c>
      <c r="I614">
        <v>32.240000250000001</v>
      </c>
      <c r="J614">
        <v>2</v>
      </c>
      <c r="K614">
        <v>1</v>
      </c>
    </row>
    <row r="615" spans="1:11" x14ac:dyDescent="0.25">
      <c r="A615">
        <v>1121278</v>
      </c>
      <c r="B615">
        <v>1178</v>
      </c>
      <c r="C615">
        <v>144570</v>
      </c>
      <c r="D615" t="s">
        <v>11</v>
      </c>
      <c r="E615" t="s">
        <v>12</v>
      </c>
      <c r="F615">
        <v>7</v>
      </c>
      <c r="G615">
        <v>1044442</v>
      </c>
      <c r="H615">
        <v>142</v>
      </c>
      <c r="I615">
        <v>245.5999999</v>
      </c>
      <c r="J615">
        <v>22</v>
      </c>
      <c r="K615">
        <v>8</v>
      </c>
    </row>
    <row r="616" spans="1:11" x14ac:dyDescent="0.25">
      <c r="A616">
        <v>1121279</v>
      </c>
      <c r="B616">
        <v>1178</v>
      </c>
      <c r="C616">
        <v>144570</v>
      </c>
      <c r="D616" t="s">
        <v>11</v>
      </c>
      <c r="E616" t="s">
        <v>12</v>
      </c>
      <c r="F616">
        <v>7</v>
      </c>
      <c r="G616">
        <v>93891</v>
      </c>
      <c r="H616">
        <v>11</v>
      </c>
      <c r="I616">
        <v>17.640000100000002</v>
      </c>
      <c r="J616">
        <v>5</v>
      </c>
      <c r="K616">
        <v>3</v>
      </c>
    </row>
    <row r="617" spans="1:11" x14ac:dyDescent="0.25">
      <c r="A617">
        <v>1121282</v>
      </c>
      <c r="B617">
        <v>1178</v>
      </c>
      <c r="C617">
        <v>144570</v>
      </c>
      <c r="D617" t="s">
        <v>11</v>
      </c>
      <c r="E617" t="s">
        <v>12</v>
      </c>
      <c r="F617">
        <v>7</v>
      </c>
      <c r="G617">
        <v>185823</v>
      </c>
      <c r="H617">
        <v>25</v>
      </c>
      <c r="I617">
        <v>38.549999360000001</v>
      </c>
      <c r="J617">
        <v>4</v>
      </c>
      <c r="K617">
        <v>1</v>
      </c>
    </row>
    <row r="618" spans="1:11" x14ac:dyDescent="0.25">
      <c r="A618">
        <v>1121284</v>
      </c>
      <c r="B618">
        <v>1178</v>
      </c>
      <c r="C618">
        <v>144571</v>
      </c>
      <c r="D618" t="s">
        <v>11</v>
      </c>
      <c r="E618" t="s">
        <v>12</v>
      </c>
      <c r="F618">
        <v>66</v>
      </c>
      <c r="G618">
        <v>175631</v>
      </c>
      <c r="H618">
        <v>23</v>
      </c>
      <c r="I618">
        <v>40.75999951</v>
      </c>
      <c r="J618">
        <v>1</v>
      </c>
      <c r="K618">
        <v>0</v>
      </c>
    </row>
    <row r="619" spans="1:11" x14ac:dyDescent="0.25">
      <c r="A619">
        <v>1121285</v>
      </c>
      <c r="B619">
        <v>1178</v>
      </c>
      <c r="C619">
        <v>144571</v>
      </c>
      <c r="D619" t="s">
        <v>11</v>
      </c>
      <c r="E619" t="s">
        <v>12</v>
      </c>
      <c r="F619">
        <v>66</v>
      </c>
      <c r="G619">
        <v>37187</v>
      </c>
      <c r="H619">
        <v>4</v>
      </c>
      <c r="I619">
        <v>6.3700000049999996</v>
      </c>
      <c r="J619">
        <v>1</v>
      </c>
      <c r="K619">
        <v>0</v>
      </c>
    </row>
    <row r="620" spans="1:11" x14ac:dyDescent="0.25">
      <c r="A620">
        <v>1121286</v>
      </c>
      <c r="B620">
        <v>1178</v>
      </c>
      <c r="C620">
        <v>144571</v>
      </c>
      <c r="D620" t="s">
        <v>11</v>
      </c>
      <c r="E620" t="s">
        <v>12</v>
      </c>
      <c r="F620">
        <v>66</v>
      </c>
      <c r="G620">
        <v>10991</v>
      </c>
      <c r="H620">
        <v>0</v>
      </c>
      <c r="I620">
        <v>0</v>
      </c>
      <c r="J620">
        <v>1</v>
      </c>
      <c r="K620">
        <v>0</v>
      </c>
    </row>
    <row r="621" spans="1:11" x14ac:dyDescent="0.25">
      <c r="A621">
        <v>1121287</v>
      </c>
      <c r="B621">
        <v>1178</v>
      </c>
      <c r="C621">
        <v>144571</v>
      </c>
      <c r="D621" t="s">
        <v>11</v>
      </c>
      <c r="E621" t="s">
        <v>12</v>
      </c>
      <c r="F621">
        <v>66</v>
      </c>
      <c r="G621">
        <v>344618</v>
      </c>
      <c r="H621">
        <v>51</v>
      </c>
      <c r="I621">
        <v>89.760000469999994</v>
      </c>
      <c r="J621">
        <v>3</v>
      </c>
      <c r="K621">
        <v>1</v>
      </c>
    </row>
    <row r="622" spans="1:11" x14ac:dyDescent="0.25">
      <c r="A622">
        <v>1121289</v>
      </c>
      <c r="B622">
        <v>1178</v>
      </c>
      <c r="C622">
        <v>144572</v>
      </c>
      <c r="D622" t="s">
        <v>13</v>
      </c>
      <c r="E622" t="s">
        <v>12</v>
      </c>
      <c r="F622">
        <v>10</v>
      </c>
      <c r="G622">
        <v>98066</v>
      </c>
      <c r="H622">
        <v>9</v>
      </c>
      <c r="I622">
        <v>16.1500001</v>
      </c>
      <c r="J622">
        <v>1</v>
      </c>
      <c r="K622">
        <v>0</v>
      </c>
    </row>
    <row r="623" spans="1:11" x14ac:dyDescent="0.25">
      <c r="A623">
        <v>1121290</v>
      </c>
      <c r="B623">
        <v>1178</v>
      </c>
      <c r="C623">
        <v>144572</v>
      </c>
      <c r="D623" t="s">
        <v>13</v>
      </c>
      <c r="E623" t="s">
        <v>12</v>
      </c>
      <c r="F623">
        <v>10</v>
      </c>
      <c r="G623">
        <v>770749</v>
      </c>
      <c r="H623">
        <v>100</v>
      </c>
      <c r="I623">
        <v>189.12999840000001</v>
      </c>
      <c r="J623">
        <v>13</v>
      </c>
      <c r="K623">
        <v>3</v>
      </c>
    </row>
    <row r="624" spans="1:11" x14ac:dyDescent="0.25">
      <c r="A624">
        <v>1121291</v>
      </c>
      <c r="B624">
        <v>1178</v>
      </c>
      <c r="C624">
        <v>144572</v>
      </c>
      <c r="D624" t="s">
        <v>13</v>
      </c>
      <c r="E624" t="s">
        <v>12</v>
      </c>
      <c r="F624">
        <v>10</v>
      </c>
      <c r="G624">
        <v>52553</v>
      </c>
      <c r="H624">
        <v>5</v>
      </c>
      <c r="I624">
        <v>8.5299998519999995</v>
      </c>
      <c r="J624">
        <v>1</v>
      </c>
      <c r="K624">
        <v>0</v>
      </c>
    </row>
    <row r="625" spans="1:11" x14ac:dyDescent="0.25">
      <c r="A625">
        <v>1121292</v>
      </c>
      <c r="B625">
        <v>1178</v>
      </c>
      <c r="C625">
        <v>144572</v>
      </c>
      <c r="D625" t="s">
        <v>13</v>
      </c>
      <c r="E625" t="s">
        <v>12</v>
      </c>
      <c r="F625">
        <v>10</v>
      </c>
      <c r="G625">
        <v>362296</v>
      </c>
      <c r="H625">
        <v>39</v>
      </c>
      <c r="I625">
        <v>67.770001289999996</v>
      </c>
      <c r="J625">
        <v>7</v>
      </c>
      <c r="K625">
        <v>3</v>
      </c>
    </row>
    <row r="626" spans="1:11" x14ac:dyDescent="0.25">
      <c r="A626">
        <v>1121293</v>
      </c>
      <c r="B626">
        <v>1178</v>
      </c>
      <c r="C626">
        <v>144572</v>
      </c>
      <c r="D626" t="s">
        <v>13</v>
      </c>
      <c r="E626" t="s">
        <v>12</v>
      </c>
      <c r="F626">
        <v>10</v>
      </c>
      <c r="G626">
        <v>427729</v>
      </c>
      <c r="H626">
        <v>50</v>
      </c>
      <c r="I626">
        <v>96.8999989</v>
      </c>
      <c r="J626">
        <v>4</v>
      </c>
      <c r="K626">
        <v>1</v>
      </c>
    </row>
    <row r="627" spans="1:11" x14ac:dyDescent="0.25">
      <c r="A627">
        <v>1121296</v>
      </c>
      <c r="B627">
        <v>1178</v>
      </c>
      <c r="C627">
        <v>144573</v>
      </c>
      <c r="D627" t="s">
        <v>13</v>
      </c>
      <c r="E627" t="s">
        <v>12</v>
      </c>
      <c r="F627">
        <v>15</v>
      </c>
      <c r="G627">
        <v>180351</v>
      </c>
      <c r="H627">
        <v>21</v>
      </c>
      <c r="I627">
        <v>37.130000109999997</v>
      </c>
      <c r="J627">
        <v>1</v>
      </c>
      <c r="K627">
        <v>1</v>
      </c>
    </row>
    <row r="628" spans="1:11" x14ac:dyDescent="0.25">
      <c r="A628">
        <v>1121297</v>
      </c>
      <c r="B628">
        <v>1178</v>
      </c>
      <c r="C628">
        <v>144573</v>
      </c>
      <c r="D628" t="s">
        <v>13</v>
      </c>
      <c r="E628" t="s">
        <v>12</v>
      </c>
      <c r="F628">
        <v>15</v>
      </c>
      <c r="G628">
        <v>187329</v>
      </c>
      <c r="H628">
        <v>29</v>
      </c>
      <c r="I628">
        <v>53.15999961</v>
      </c>
      <c r="J628">
        <v>2</v>
      </c>
      <c r="K628">
        <v>1</v>
      </c>
    </row>
    <row r="629" spans="1:11" x14ac:dyDescent="0.25">
      <c r="A629">
        <v>1121300</v>
      </c>
      <c r="B629">
        <v>1178</v>
      </c>
      <c r="C629">
        <v>144573</v>
      </c>
      <c r="D629" t="s">
        <v>13</v>
      </c>
      <c r="E629" t="s">
        <v>12</v>
      </c>
      <c r="F629">
        <v>15</v>
      </c>
      <c r="G629">
        <v>782894</v>
      </c>
      <c r="H629">
        <v>118</v>
      </c>
      <c r="I629">
        <v>192.92999950000001</v>
      </c>
      <c r="J629">
        <v>5</v>
      </c>
      <c r="K629">
        <v>2</v>
      </c>
    </row>
    <row r="630" spans="1:11" x14ac:dyDescent="0.25">
      <c r="A630">
        <v>1121302</v>
      </c>
      <c r="B630">
        <v>1178</v>
      </c>
      <c r="C630">
        <v>144574</v>
      </c>
      <c r="D630" t="s">
        <v>13</v>
      </c>
      <c r="E630" t="s">
        <v>12</v>
      </c>
      <c r="F630">
        <v>16</v>
      </c>
      <c r="G630">
        <v>1206533</v>
      </c>
      <c r="H630">
        <v>128</v>
      </c>
      <c r="I630">
        <v>236.11999879999999</v>
      </c>
      <c r="J630">
        <v>17</v>
      </c>
      <c r="K630">
        <v>6</v>
      </c>
    </row>
    <row r="631" spans="1:11" x14ac:dyDescent="0.25">
      <c r="A631">
        <v>1121303</v>
      </c>
      <c r="B631">
        <v>1178</v>
      </c>
      <c r="C631">
        <v>144574</v>
      </c>
      <c r="D631" t="s">
        <v>13</v>
      </c>
      <c r="E631" t="s">
        <v>12</v>
      </c>
      <c r="F631">
        <v>16</v>
      </c>
      <c r="G631">
        <v>84494</v>
      </c>
      <c r="H631">
        <v>7</v>
      </c>
      <c r="I631">
        <v>12.57000017</v>
      </c>
      <c r="J631">
        <v>2</v>
      </c>
      <c r="K631">
        <v>0</v>
      </c>
    </row>
    <row r="632" spans="1:11" x14ac:dyDescent="0.25">
      <c r="A632">
        <v>1121304</v>
      </c>
      <c r="B632">
        <v>1178</v>
      </c>
      <c r="C632">
        <v>144574</v>
      </c>
      <c r="D632" t="s">
        <v>13</v>
      </c>
      <c r="E632" t="s">
        <v>12</v>
      </c>
      <c r="F632">
        <v>16</v>
      </c>
      <c r="G632">
        <v>94257</v>
      </c>
      <c r="H632">
        <v>7</v>
      </c>
      <c r="I632">
        <v>12.580000399999999</v>
      </c>
      <c r="J632">
        <v>1</v>
      </c>
      <c r="K632">
        <v>1</v>
      </c>
    </row>
    <row r="633" spans="1:11" x14ac:dyDescent="0.25">
      <c r="A633">
        <v>1121309</v>
      </c>
      <c r="B633">
        <v>1178</v>
      </c>
      <c r="C633">
        <v>144575</v>
      </c>
      <c r="D633" t="s">
        <v>13</v>
      </c>
      <c r="E633" t="s">
        <v>12</v>
      </c>
      <c r="F633">
        <v>18</v>
      </c>
      <c r="G633">
        <v>131060</v>
      </c>
      <c r="H633">
        <v>16</v>
      </c>
      <c r="I633">
        <v>28.049999589999999</v>
      </c>
      <c r="J633">
        <v>2</v>
      </c>
      <c r="K633">
        <v>1</v>
      </c>
    </row>
    <row r="634" spans="1:11" x14ac:dyDescent="0.25">
      <c r="A634">
        <v>1121310</v>
      </c>
      <c r="B634">
        <v>1178</v>
      </c>
      <c r="C634">
        <v>144575</v>
      </c>
      <c r="D634" t="s">
        <v>13</v>
      </c>
      <c r="E634" t="s">
        <v>12</v>
      </c>
      <c r="F634">
        <v>18</v>
      </c>
      <c r="G634">
        <v>341603</v>
      </c>
      <c r="H634">
        <v>50</v>
      </c>
      <c r="I634">
        <v>83.480001209999998</v>
      </c>
      <c r="J634">
        <v>4</v>
      </c>
      <c r="K634">
        <v>2</v>
      </c>
    </row>
    <row r="635" spans="1:11" x14ac:dyDescent="0.25">
      <c r="A635">
        <v>1121311</v>
      </c>
      <c r="B635">
        <v>1178</v>
      </c>
      <c r="C635">
        <v>144575</v>
      </c>
      <c r="D635" t="s">
        <v>13</v>
      </c>
      <c r="E635" t="s">
        <v>12</v>
      </c>
      <c r="F635">
        <v>18</v>
      </c>
      <c r="G635">
        <v>140749</v>
      </c>
      <c r="H635">
        <v>19</v>
      </c>
      <c r="I635">
        <v>30.479999899999999</v>
      </c>
      <c r="J635">
        <v>1</v>
      </c>
      <c r="K635">
        <v>1</v>
      </c>
    </row>
    <row r="636" spans="1:11" x14ac:dyDescent="0.25">
      <c r="A636">
        <v>1121312</v>
      </c>
      <c r="B636">
        <v>1178</v>
      </c>
      <c r="C636">
        <v>144575</v>
      </c>
      <c r="D636" t="s">
        <v>13</v>
      </c>
      <c r="E636" t="s">
        <v>12</v>
      </c>
      <c r="F636">
        <v>18</v>
      </c>
      <c r="G636">
        <v>102525</v>
      </c>
      <c r="H636">
        <v>13</v>
      </c>
      <c r="I636">
        <v>20.299999830000001</v>
      </c>
      <c r="J636">
        <v>2</v>
      </c>
      <c r="K636">
        <v>1</v>
      </c>
    </row>
    <row r="637" spans="1:11" x14ac:dyDescent="0.25">
      <c r="A637">
        <v>1121316</v>
      </c>
      <c r="B637">
        <v>1178</v>
      </c>
      <c r="C637">
        <v>144576</v>
      </c>
      <c r="D637" t="s">
        <v>13</v>
      </c>
      <c r="E637" t="s">
        <v>12</v>
      </c>
      <c r="F637">
        <v>19</v>
      </c>
      <c r="G637">
        <v>447952</v>
      </c>
      <c r="H637">
        <v>68</v>
      </c>
      <c r="I637">
        <v>131.5799983</v>
      </c>
      <c r="J637">
        <v>8</v>
      </c>
      <c r="K637">
        <v>1</v>
      </c>
    </row>
    <row r="638" spans="1:11" x14ac:dyDescent="0.25">
      <c r="A638">
        <v>1121317</v>
      </c>
      <c r="B638">
        <v>1178</v>
      </c>
      <c r="C638">
        <v>144576</v>
      </c>
      <c r="D638" t="s">
        <v>13</v>
      </c>
      <c r="E638" t="s">
        <v>12</v>
      </c>
      <c r="F638">
        <v>19</v>
      </c>
      <c r="G638">
        <v>76355</v>
      </c>
      <c r="H638">
        <v>9</v>
      </c>
      <c r="I638">
        <v>14.62999988</v>
      </c>
      <c r="J638">
        <v>2</v>
      </c>
      <c r="K638">
        <v>0</v>
      </c>
    </row>
    <row r="639" spans="1:11" x14ac:dyDescent="0.25">
      <c r="A639">
        <v>1121319</v>
      </c>
      <c r="B639">
        <v>1178</v>
      </c>
      <c r="C639">
        <v>144577</v>
      </c>
      <c r="D639" t="s">
        <v>13</v>
      </c>
      <c r="E639" t="s">
        <v>12</v>
      </c>
      <c r="F639">
        <v>20</v>
      </c>
      <c r="G639">
        <v>256598</v>
      </c>
      <c r="H639">
        <v>38</v>
      </c>
      <c r="I639">
        <v>64.469999310000006</v>
      </c>
      <c r="J639">
        <v>6</v>
      </c>
      <c r="K639">
        <v>1</v>
      </c>
    </row>
    <row r="640" spans="1:11" x14ac:dyDescent="0.25">
      <c r="A640">
        <v>1121321</v>
      </c>
      <c r="B640">
        <v>1178</v>
      </c>
      <c r="C640">
        <v>144577</v>
      </c>
      <c r="D640" t="s">
        <v>13</v>
      </c>
      <c r="E640" t="s">
        <v>12</v>
      </c>
      <c r="F640">
        <v>20</v>
      </c>
      <c r="G640">
        <v>127476</v>
      </c>
      <c r="H640">
        <v>21</v>
      </c>
      <c r="I640">
        <v>30.15000057</v>
      </c>
      <c r="J640">
        <v>3</v>
      </c>
      <c r="K640">
        <v>2</v>
      </c>
    </row>
    <row r="641" spans="1:11" x14ac:dyDescent="0.25">
      <c r="A641">
        <v>1121322</v>
      </c>
      <c r="B641">
        <v>1178</v>
      </c>
      <c r="C641">
        <v>144577</v>
      </c>
      <c r="D641" t="s">
        <v>13</v>
      </c>
      <c r="E641" t="s">
        <v>12</v>
      </c>
      <c r="F641">
        <v>20</v>
      </c>
      <c r="G641">
        <v>237603</v>
      </c>
      <c r="H641">
        <v>37</v>
      </c>
      <c r="I641">
        <v>62.250000239999999</v>
      </c>
      <c r="J641">
        <v>5</v>
      </c>
      <c r="K641">
        <v>2</v>
      </c>
    </row>
    <row r="642" spans="1:11" x14ac:dyDescent="0.25">
      <c r="A642">
        <v>1121327</v>
      </c>
      <c r="B642">
        <v>1178</v>
      </c>
      <c r="C642">
        <v>144578</v>
      </c>
      <c r="D642" t="s">
        <v>13</v>
      </c>
      <c r="E642" t="s">
        <v>12</v>
      </c>
      <c r="F642">
        <v>21</v>
      </c>
      <c r="G642">
        <v>271091</v>
      </c>
      <c r="H642">
        <v>42</v>
      </c>
      <c r="I642">
        <v>78.039999839999993</v>
      </c>
      <c r="J642">
        <v>3</v>
      </c>
      <c r="K642">
        <v>1</v>
      </c>
    </row>
    <row r="643" spans="1:11" x14ac:dyDescent="0.25">
      <c r="A643">
        <v>1121330</v>
      </c>
      <c r="B643">
        <v>1178</v>
      </c>
      <c r="C643">
        <v>144578</v>
      </c>
      <c r="D643" t="s">
        <v>13</v>
      </c>
      <c r="E643" t="s">
        <v>12</v>
      </c>
      <c r="F643">
        <v>21</v>
      </c>
      <c r="G643">
        <v>21743</v>
      </c>
      <c r="H643">
        <v>2</v>
      </c>
      <c r="I643">
        <v>3.4000000950000002</v>
      </c>
      <c r="J643">
        <v>1</v>
      </c>
      <c r="K643">
        <v>0</v>
      </c>
    </row>
    <row r="644" spans="1:11" x14ac:dyDescent="0.25">
      <c r="A644">
        <v>1121333</v>
      </c>
      <c r="B644">
        <v>1178</v>
      </c>
      <c r="C644">
        <v>144579</v>
      </c>
      <c r="D644" t="s">
        <v>13</v>
      </c>
      <c r="E644" t="s">
        <v>12</v>
      </c>
      <c r="F644">
        <v>22</v>
      </c>
      <c r="G644">
        <v>88970</v>
      </c>
      <c r="H644">
        <v>10</v>
      </c>
      <c r="I644">
        <v>14.830000399999999</v>
      </c>
      <c r="J644">
        <v>2</v>
      </c>
      <c r="K644">
        <v>0</v>
      </c>
    </row>
    <row r="645" spans="1:11" x14ac:dyDescent="0.25">
      <c r="A645">
        <v>1121334</v>
      </c>
      <c r="B645">
        <v>1178</v>
      </c>
      <c r="C645">
        <v>144579</v>
      </c>
      <c r="D645" t="s">
        <v>13</v>
      </c>
      <c r="E645" t="s">
        <v>12</v>
      </c>
      <c r="F645">
        <v>22</v>
      </c>
      <c r="G645">
        <v>108362</v>
      </c>
      <c r="H645">
        <v>13</v>
      </c>
      <c r="I645">
        <v>22.42999983</v>
      </c>
      <c r="J645">
        <v>1</v>
      </c>
      <c r="K645">
        <v>1</v>
      </c>
    </row>
    <row r="646" spans="1:11" x14ac:dyDescent="0.25">
      <c r="A646">
        <v>1121335</v>
      </c>
      <c r="B646">
        <v>1178</v>
      </c>
      <c r="C646">
        <v>144579</v>
      </c>
      <c r="D646" t="s">
        <v>13</v>
      </c>
      <c r="E646" t="s">
        <v>12</v>
      </c>
      <c r="F646">
        <v>22</v>
      </c>
      <c r="G646">
        <v>188596</v>
      </c>
      <c r="H646">
        <v>27</v>
      </c>
      <c r="I646">
        <v>44.14000034</v>
      </c>
      <c r="J646">
        <v>3</v>
      </c>
      <c r="K646">
        <v>0</v>
      </c>
    </row>
    <row r="647" spans="1:11" x14ac:dyDescent="0.25">
      <c r="A647">
        <v>1121336</v>
      </c>
      <c r="B647">
        <v>1178</v>
      </c>
      <c r="C647">
        <v>144579</v>
      </c>
      <c r="D647" t="s">
        <v>13</v>
      </c>
      <c r="E647" t="s">
        <v>12</v>
      </c>
      <c r="F647">
        <v>22</v>
      </c>
      <c r="G647">
        <v>275080</v>
      </c>
      <c r="H647">
        <v>43</v>
      </c>
      <c r="I647">
        <v>69.659999970000001</v>
      </c>
      <c r="J647">
        <v>4</v>
      </c>
      <c r="K647">
        <v>3</v>
      </c>
    </row>
    <row r="648" spans="1:11" x14ac:dyDescent="0.25">
      <c r="A648">
        <v>1121337</v>
      </c>
      <c r="B648">
        <v>1178</v>
      </c>
      <c r="C648">
        <v>144580</v>
      </c>
      <c r="D648" t="s">
        <v>13</v>
      </c>
      <c r="E648" t="s">
        <v>12</v>
      </c>
      <c r="F648">
        <v>23</v>
      </c>
      <c r="G648">
        <v>64647</v>
      </c>
      <c r="H648">
        <v>10</v>
      </c>
      <c r="I648">
        <v>16.269999980000001</v>
      </c>
      <c r="J648">
        <v>1</v>
      </c>
      <c r="K648">
        <v>0</v>
      </c>
    </row>
    <row r="649" spans="1:11" x14ac:dyDescent="0.25">
      <c r="A649">
        <v>1121338</v>
      </c>
      <c r="B649">
        <v>1178</v>
      </c>
      <c r="C649">
        <v>144580</v>
      </c>
      <c r="D649" t="s">
        <v>13</v>
      </c>
      <c r="E649" t="s">
        <v>12</v>
      </c>
      <c r="F649">
        <v>23</v>
      </c>
      <c r="G649">
        <v>31265</v>
      </c>
      <c r="H649">
        <v>4</v>
      </c>
      <c r="I649">
        <v>5.7899999019999999</v>
      </c>
      <c r="J649">
        <v>1</v>
      </c>
      <c r="K649">
        <v>0</v>
      </c>
    </row>
    <row r="650" spans="1:11" x14ac:dyDescent="0.25">
      <c r="A650">
        <v>1121340</v>
      </c>
      <c r="B650">
        <v>1178</v>
      </c>
      <c r="C650">
        <v>144580</v>
      </c>
      <c r="D650" t="s">
        <v>13</v>
      </c>
      <c r="E650" t="s">
        <v>12</v>
      </c>
      <c r="F650">
        <v>23</v>
      </c>
      <c r="G650">
        <v>140147</v>
      </c>
      <c r="H650">
        <v>24</v>
      </c>
      <c r="I650">
        <v>42.080000159999997</v>
      </c>
      <c r="J650">
        <v>2</v>
      </c>
      <c r="K650">
        <v>0</v>
      </c>
    </row>
    <row r="651" spans="1:11" x14ac:dyDescent="0.25">
      <c r="A651">
        <v>1121341</v>
      </c>
      <c r="B651">
        <v>1178</v>
      </c>
      <c r="C651">
        <v>144580</v>
      </c>
      <c r="D651" t="s">
        <v>13</v>
      </c>
      <c r="E651" t="s">
        <v>12</v>
      </c>
      <c r="F651">
        <v>23</v>
      </c>
      <c r="G651">
        <v>223120</v>
      </c>
      <c r="H651">
        <v>40</v>
      </c>
      <c r="I651">
        <v>67.669999840000003</v>
      </c>
      <c r="J651">
        <v>1</v>
      </c>
      <c r="K651">
        <v>0</v>
      </c>
    </row>
    <row r="652" spans="1:11" x14ac:dyDescent="0.25">
      <c r="A652">
        <v>1121342</v>
      </c>
      <c r="B652">
        <v>1178</v>
      </c>
      <c r="C652">
        <v>144580</v>
      </c>
      <c r="D652" t="s">
        <v>13</v>
      </c>
      <c r="E652" t="s">
        <v>12</v>
      </c>
      <c r="F652">
        <v>23</v>
      </c>
      <c r="G652">
        <v>104869</v>
      </c>
      <c r="H652">
        <v>18</v>
      </c>
      <c r="I652">
        <v>34.070000890000003</v>
      </c>
      <c r="J652">
        <v>1</v>
      </c>
      <c r="K652">
        <v>0</v>
      </c>
    </row>
    <row r="653" spans="1:11" x14ac:dyDescent="0.25">
      <c r="A653">
        <v>1121344</v>
      </c>
      <c r="B653">
        <v>1178</v>
      </c>
      <c r="C653">
        <v>144581</v>
      </c>
      <c r="D653" t="s">
        <v>13</v>
      </c>
      <c r="E653" t="s">
        <v>12</v>
      </c>
      <c r="F653">
        <v>24</v>
      </c>
      <c r="G653">
        <v>165177</v>
      </c>
      <c r="H653">
        <v>23</v>
      </c>
      <c r="I653">
        <v>41.71999967</v>
      </c>
      <c r="J653">
        <v>4</v>
      </c>
      <c r="K653">
        <v>1</v>
      </c>
    </row>
    <row r="654" spans="1:11" x14ac:dyDescent="0.25">
      <c r="A654">
        <v>1121345</v>
      </c>
      <c r="B654">
        <v>1178</v>
      </c>
      <c r="C654">
        <v>144581</v>
      </c>
      <c r="D654" t="s">
        <v>13</v>
      </c>
      <c r="E654" t="s">
        <v>12</v>
      </c>
      <c r="F654">
        <v>24</v>
      </c>
      <c r="G654">
        <v>84194</v>
      </c>
      <c r="H654">
        <v>11</v>
      </c>
      <c r="I654">
        <v>19.569999809999999</v>
      </c>
      <c r="J654">
        <v>1</v>
      </c>
      <c r="K654">
        <v>0</v>
      </c>
    </row>
    <row r="655" spans="1:11" x14ac:dyDescent="0.25">
      <c r="A655">
        <v>1121347</v>
      </c>
      <c r="B655">
        <v>1178</v>
      </c>
      <c r="C655">
        <v>144581</v>
      </c>
      <c r="D655" t="s">
        <v>13</v>
      </c>
      <c r="E655" t="s">
        <v>12</v>
      </c>
      <c r="F655">
        <v>24</v>
      </c>
      <c r="G655">
        <v>220581</v>
      </c>
      <c r="H655">
        <v>31</v>
      </c>
      <c r="I655">
        <v>57.37</v>
      </c>
      <c r="J655">
        <v>1</v>
      </c>
      <c r="K655">
        <v>1</v>
      </c>
    </row>
    <row r="656" spans="1:11" x14ac:dyDescent="0.25">
      <c r="A656">
        <v>1121350</v>
      </c>
      <c r="B656">
        <v>1178</v>
      </c>
      <c r="C656">
        <v>144582</v>
      </c>
      <c r="D656" t="s">
        <v>13</v>
      </c>
      <c r="E656" t="s">
        <v>12</v>
      </c>
      <c r="F656">
        <v>25</v>
      </c>
      <c r="G656">
        <v>75804</v>
      </c>
      <c r="H656">
        <v>10</v>
      </c>
      <c r="I656">
        <v>17.36999965</v>
      </c>
      <c r="J656">
        <v>2</v>
      </c>
      <c r="K656">
        <v>1</v>
      </c>
    </row>
    <row r="657" spans="1:11" x14ac:dyDescent="0.25">
      <c r="A657">
        <v>1121352</v>
      </c>
      <c r="B657">
        <v>1178</v>
      </c>
      <c r="C657">
        <v>144582</v>
      </c>
      <c r="D657" t="s">
        <v>13</v>
      </c>
      <c r="E657" t="s">
        <v>12</v>
      </c>
      <c r="F657">
        <v>25</v>
      </c>
      <c r="G657">
        <v>368986</v>
      </c>
      <c r="H657">
        <v>59</v>
      </c>
      <c r="I657">
        <v>100.28999899999999</v>
      </c>
      <c r="J657">
        <v>0</v>
      </c>
      <c r="K657">
        <v>0</v>
      </c>
    </row>
    <row r="658" spans="1:11" x14ac:dyDescent="0.25">
      <c r="A658">
        <v>1121353</v>
      </c>
      <c r="B658">
        <v>1178</v>
      </c>
      <c r="C658">
        <v>144582</v>
      </c>
      <c r="D658" t="s">
        <v>13</v>
      </c>
      <c r="E658" t="s">
        <v>12</v>
      </c>
      <c r="F658">
        <v>25</v>
      </c>
      <c r="G658">
        <v>28194</v>
      </c>
      <c r="H658">
        <v>3</v>
      </c>
      <c r="I658">
        <v>3.7099999189999999</v>
      </c>
      <c r="J658">
        <v>2</v>
      </c>
      <c r="K658">
        <v>0</v>
      </c>
    </row>
    <row r="659" spans="1:11" x14ac:dyDescent="0.25">
      <c r="A659">
        <v>1121355</v>
      </c>
      <c r="B659">
        <v>1178</v>
      </c>
      <c r="C659">
        <v>144583</v>
      </c>
      <c r="D659" t="s">
        <v>13</v>
      </c>
      <c r="E659" t="s">
        <v>12</v>
      </c>
      <c r="F659">
        <v>26</v>
      </c>
      <c r="G659">
        <v>99961</v>
      </c>
      <c r="H659">
        <v>14</v>
      </c>
      <c r="I659">
        <v>23.209999799999999</v>
      </c>
      <c r="J659">
        <v>1</v>
      </c>
      <c r="K659">
        <v>0</v>
      </c>
    </row>
    <row r="660" spans="1:11" x14ac:dyDescent="0.25">
      <c r="A660">
        <v>1121359</v>
      </c>
      <c r="B660">
        <v>1178</v>
      </c>
      <c r="C660">
        <v>144583</v>
      </c>
      <c r="D660" t="s">
        <v>13</v>
      </c>
      <c r="E660" t="s">
        <v>12</v>
      </c>
      <c r="F660">
        <v>26</v>
      </c>
      <c r="G660">
        <v>7573</v>
      </c>
      <c r="H660">
        <v>0</v>
      </c>
      <c r="I660">
        <v>0</v>
      </c>
      <c r="J660">
        <v>1</v>
      </c>
      <c r="K660">
        <v>0</v>
      </c>
    </row>
    <row r="661" spans="1:11" x14ac:dyDescent="0.25">
      <c r="A661">
        <v>1121361</v>
      </c>
      <c r="B661">
        <v>1178</v>
      </c>
      <c r="C661">
        <v>144584</v>
      </c>
      <c r="D661" t="s">
        <v>13</v>
      </c>
      <c r="E661" t="s">
        <v>12</v>
      </c>
      <c r="F661">
        <v>27</v>
      </c>
      <c r="G661">
        <v>685781</v>
      </c>
      <c r="H661">
        <v>103</v>
      </c>
      <c r="I661">
        <v>177.88999920000001</v>
      </c>
      <c r="J661">
        <v>10</v>
      </c>
      <c r="K661">
        <v>1</v>
      </c>
    </row>
    <row r="662" spans="1:11" x14ac:dyDescent="0.25">
      <c r="A662">
        <v>1121364</v>
      </c>
      <c r="B662">
        <v>1178</v>
      </c>
      <c r="C662">
        <v>144584</v>
      </c>
      <c r="D662" t="s">
        <v>13</v>
      </c>
      <c r="E662" t="s">
        <v>12</v>
      </c>
      <c r="F662">
        <v>27</v>
      </c>
      <c r="G662">
        <v>274222</v>
      </c>
      <c r="H662">
        <v>43</v>
      </c>
      <c r="I662">
        <v>66.770000100000004</v>
      </c>
      <c r="J662">
        <v>2</v>
      </c>
      <c r="K662">
        <v>1</v>
      </c>
    </row>
    <row r="663" spans="1:11" x14ac:dyDescent="0.25">
      <c r="A663">
        <v>1121365</v>
      </c>
      <c r="B663">
        <v>1178</v>
      </c>
      <c r="C663">
        <v>144584</v>
      </c>
      <c r="D663" t="s">
        <v>13</v>
      </c>
      <c r="E663" t="s">
        <v>12</v>
      </c>
      <c r="F663">
        <v>27</v>
      </c>
      <c r="G663">
        <v>110503</v>
      </c>
      <c r="H663">
        <v>25</v>
      </c>
      <c r="I663">
        <v>32.679999950000003</v>
      </c>
      <c r="J663">
        <v>4</v>
      </c>
      <c r="K663">
        <v>0</v>
      </c>
    </row>
    <row r="664" spans="1:11" x14ac:dyDescent="0.25">
      <c r="A664">
        <v>1121367</v>
      </c>
      <c r="B664">
        <v>1178</v>
      </c>
      <c r="C664">
        <v>144585</v>
      </c>
      <c r="D664" t="s">
        <v>13</v>
      </c>
      <c r="E664" t="s">
        <v>12</v>
      </c>
      <c r="F664">
        <v>28</v>
      </c>
      <c r="G664">
        <v>1447755</v>
      </c>
      <c r="H664">
        <v>233</v>
      </c>
      <c r="I664">
        <v>420.5799983</v>
      </c>
      <c r="J664">
        <v>11</v>
      </c>
      <c r="K664">
        <v>8</v>
      </c>
    </row>
    <row r="665" spans="1:11" x14ac:dyDescent="0.25">
      <c r="A665">
        <v>1121368</v>
      </c>
      <c r="B665">
        <v>1178</v>
      </c>
      <c r="C665">
        <v>144585</v>
      </c>
      <c r="D665" t="s">
        <v>13</v>
      </c>
      <c r="E665" t="s">
        <v>12</v>
      </c>
      <c r="F665">
        <v>28</v>
      </c>
      <c r="G665">
        <v>358987</v>
      </c>
      <c r="H665">
        <v>52</v>
      </c>
      <c r="I665">
        <v>87.550000670000003</v>
      </c>
      <c r="J665">
        <v>1</v>
      </c>
      <c r="K665">
        <v>0</v>
      </c>
    </row>
    <row r="666" spans="1:11" x14ac:dyDescent="0.25">
      <c r="A666">
        <v>1121369</v>
      </c>
      <c r="B666">
        <v>1178</v>
      </c>
      <c r="C666">
        <v>144585</v>
      </c>
      <c r="D666" t="s">
        <v>13</v>
      </c>
      <c r="E666" t="s">
        <v>12</v>
      </c>
      <c r="F666">
        <v>28</v>
      </c>
      <c r="G666">
        <v>826205</v>
      </c>
      <c r="H666">
        <v>125</v>
      </c>
      <c r="I666">
        <v>232.37000080000001</v>
      </c>
      <c r="J666">
        <v>5</v>
      </c>
      <c r="K666">
        <v>1</v>
      </c>
    </row>
    <row r="667" spans="1:11" x14ac:dyDescent="0.25">
      <c r="A667">
        <v>1121370</v>
      </c>
      <c r="B667">
        <v>1178</v>
      </c>
      <c r="C667">
        <v>144585</v>
      </c>
      <c r="D667" t="s">
        <v>13</v>
      </c>
      <c r="E667" t="s">
        <v>12</v>
      </c>
      <c r="F667">
        <v>28</v>
      </c>
      <c r="G667">
        <v>550954</v>
      </c>
      <c r="H667">
        <v>84</v>
      </c>
      <c r="I667">
        <v>150.1400012</v>
      </c>
      <c r="J667">
        <v>3</v>
      </c>
      <c r="K667">
        <v>0</v>
      </c>
    </row>
    <row r="668" spans="1:11" x14ac:dyDescent="0.25">
      <c r="A668">
        <v>1121372</v>
      </c>
      <c r="B668">
        <v>1178</v>
      </c>
      <c r="C668">
        <v>144585</v>
      </c>
      <c r="D668" t="s">
        <v>13</v>
      </c>
      <c r="E668" t="s">
        <v>12</v>
      </c>
      <c r="F668">
        <v>28</v>
      </c>
      <c r="G668">
        <v>378350</v>
      </c>
      <c r="H668">
        <v>55</v>
      </c>
      <c r="I668">
        <v>96.48000073</v>
      </c>
      <c r="J668">
        <v>4</v>
      </c>
      <c r="K668">
        <v>0</v>
      </c>
    </row>
    <row r="669" spans="1:11" x14ac:dyDescent="0.25">
      <c r="A669">
        <v>1121373</v>
      </c>
      <c r="B669">
        <v>1178</v>
      </c>
      <c r="C669">
        <v>144586</v>
      </c>
      <c r="D669" t="s">
        <v>13</v>
      </c>
      <c r="E669" t="s">
        <v>12</v>
      </c>
      <c r="F669">
        <v>29</v>
      </c>
      <c r="G669">
        <v>492784</v>
      </c>
      <c r="H669">
        <v>56</v>
      </c>
      <c r="I669">
        <v>95.510001299999999</v>
      </c>
      <c r="J669">
        <v>7</v>
      </c>
      <c r="K669">
        <v>4</v>
      </c>
    </row>
    <row r="670" spans="1:11" x14ac:dyDescent="0.25">
      <c r="A670">
        <v>1121374</v>
      </c>
      <c r="B670">
        <v>1178</v>
      </c>
      <c r="C670">
        <v>144586</v>
      </c>
      <c r="D670" t="s">
        <v>13</v>
      </c>
      <c r="E670" t="s">
        <v>12</v>
      </c>
      <c r="F670">
        <v>29</v>
      </c>
      <c r="G670">
        <v>327158</v>
      </c>
      <c r="H670">
        <v>43</v>
      </c>
      <c r="I670">
        <v>72.310000299999999</v>
      </c>
      <c r="J670">
        <v>6</v>
      </c>
      <c r="K670">
        <v>2</v>
      </c>
    </row>
    <row r="671" spans="1:11" x14ac:dyDescent="0.25">
      <c r="A671">
        <v>1121375</v>
      </c>
      <c r="B671">
        <v>1178</v>
      </c>
      <c r="C671">
        <v>144586</v>
      </c>
      <c r="D671" t="s">
        <v>13</v>
      </c>
      <c r="E671" t="s">
        <v>12</v>
      </c>
      <c r="F671">
        <v>29</v>
      </c>
      <c r="G671">
        <v>9921</v>
      </c>
      <c r="H671">
        <v>0</v>
      </c>
      <c r="I671">
        <v>0</v>
      </c>
      <c r="J671">
        <v>1</v>
      </c>
      <c r="K671">
        <v>0</v>
      </c>
    </row>
    <row r="672" spans="1:11" x14ac:dyDescent="0.25">
      <c r="A672">
        <v>1121377</v>
      </c>
      <c r="B672">
        <v>1178</v>
      </c>
      <c r="C672">
        <v>144586</v>
      </c>
      <c r="D672" t="s">
        <v>13</v>
      </c>
      <c r="E672" t="s">
        <v>12</v>
      </c>
      <c r="F672">
        <v>29</v>
      </c>
      <c r="G672">
        <v>59390</v>
      </c>
      <c r="H672">
        <v>5</v>
      </c>
      <c r="I672">
        <v>9.2099999189999995</v>
      </c>
      <c r="J672">
        <v>5</v>
      </c>
      <c r="K672">
        <v>3</v>
      </c>
    </row>
    <row r="673" spans="1:11" x14ac:dyDescent="0.25">
      <c r="A673">
        <v>1121378</v>
      </c>
      <c r="B673">
        <v>1178</v>
      </c>
      <c r="C673">
        <v>144586</v>
      </c>
      <c r="D673" t="s">
        <v>13</v>
      </c>
      <c r="E673" t="s">
        <v>12</v>
      </c>
      <c r="F673">
        <v>29</v>
      </c>
      <c r="G673">
        <v>1040330</v>
      </c>
      <c r="H673">
        <v>147</v>
      </c>
      <c r="I673">
        <v>254.2500038</v>
      </c>
      <c r="J673">
        <v>13</v>
      </c>
      <c r="K673">
        <v>2</v>
      </c>
    </row>
    <row r="674" spans="1:11" x14ac:dyDescent="0.25">
      <c r="A674">
        <v>1121379</v>
      </c>
      <c r="B674">
        <v>1178</v>
      </c>
      <c r="C674">
        <v>144587</v>
      </c>
      <c r="D674" t="s">
        <v>13</v>
      </c>
      <c r="E674" t="s">
        <v>12</v>
      </c>
      <c r="F674">
        <v>30</v>
      </c>
      <c r="G674">
        <v>49422</v>
      </c>
      <c r="H674">
        <v>6</v>
      </c>
      <c r="I674">
        <v>11.170000310000001</v>
      </c>
      <c r="J674">
        <v>1</v>
      </c>
      <c r="K674">
        <v>0</v>
      </c>
    </row>
    <row r="675" spans="1:11" x14ac:dyDescent="0.25">
      <c r="A675">
        <v>1121380</v>
      </c>
      <c r="B675">
        <v>1178</v>
      </c>
      <c r="C675">
        <v>144587</v>
      </c>
      <c r="D675" t="s">
        <v>13</v>
      </c>
      <c r="E675" t="s">
        <v>12</v>
      </c>
      <c r="F675">
        <v>30</v>
      </c>
      <c r="G675">
        <v>131091</v>
      </c>
      <c r="H675">
        <v>18</v>
      </c>
      <c r="I675">
        <v>34.230000259999997</v>
      </c>
      <c r="J675">
        <v>3</v>
      </c>
      <c r="K675">
        <v>1</v>
      </c>
    </row>
    <row r="676" spans="1:11" x14ac:dyDescent="0.25">
      <c r="A676">
        <v>1121381</v>
      </c>
      <c r="B676">
        <v>1178</v>
      </c>
      <c r="C676">
        <v>144587</v>
      </c>
      <c r="D676" t="s">
        <v>13</v>
      </c>
      <c r="E676" t="s">
        <v>12</v>
      </c>
      <c r="F676">
        <v>30</v>
      </c>
      <c r="G676">
        <v>95691</v>
      </c>
      <c r="H676">
        <v>15</v>
      </c>
      <c r="I676">
        <v>25.26000011</v>
      </c>
      <c r="J676">
        <v>1</v>
      </c>
      <c r="K676">
        <v>1</v>
      </c>
    </row>
    <row r="677" spans="1:11" x14ac:dyDescent="0.25">
      <c r="A677">
        <v>1121390</v>
      </c>
      <c r="B677">
        <v>1178</v>
      </c>
      <c r="C677">
        <v>144588</v>
      </c>
      <c r="D677" t="s">
        <v>13</v>
      </c>
      <c r="E677" t="s">
        <v>12</v>
      </c>
      <c r="F677">
        <v>31</v>
      </c>
      <c r="G677">
        <v>15513</v>
      </c>
      <c r="H677">
        <v>1</v>
      </c>
      <c r="I677">
        <v>1.289999962</v>
      </c>
      <c r="J677">
        <v>1</v>
      </c>
      <c r="K677">
        <v>0</v>
      </c>
    </row>
    <row r="678" spans="1:11" x14ac:dyDescent="0.25">
      <c r="A678">
        <v>1121391</v>
      </c>
      <c r="B678">
        <v>1178</v>
      </c>
      <c r="C678">
        <v>144589</v>
      </c>
      <c r="D678" t="s">
        <v>13</v>
      </c>
      <c r="E678" t="s">
        <v>12</v>
      </c>
      <c r="F678">
        <v>32</v>
      </c>
      <c r="G678">
        <v>382537</v>
      </c>
      <c r="H678">
        <v>63</v>
      </c>
      <c r="I678">
        <v>113.99000119999999</v>
      </c>
      <c r="J678">
        <v>4</v>
      </c>
      <c r="K678">
        <v>3</v>
      </c>
    </row>
    <row r="679" spans="1:11" x14ac:dyDescent="0.25">
      <c r="A679">
        <v>1121394</v>
      </c>
      <c r="B679">
        <v>1178</v>
      </c>
      <c r="C679">
        <v>144589</v>
      </c>
      <c r="D679" t="s">
        <v>13</v>
      </c>
      <c r="E679" t="s">
        <v>12</v>
      </c>
      <c r="F679">
        <v>32</v>
      </c>
      <c r="G679">
        <v>461356</v>
      </c>
      <c r="H679">
        <v>64</v>
      </c>
      <c r="I679">
        <v>121.0999982</v>
      </c>
      <c r="J679">
        <v>6</v>
      </c>
      <c r="K679">
        <v>3</v>
      </c>
    </row>
    <row r="680" spans="1:11" x14ac:dyDescent="0.25">
      <c r="A680">
        <v>1121395</v>
      </c>
      <c r="B680">
        <v>1178</v>
      </c>
      <c r="C680">
        <v>144589</v>
      </c>
      <c r="D680" t="s">
        <v>13</v>
      </c>
      <c r="E680" t="s">
        <v>12</v>
      </c>
      <c r="F680">
        <v>32</v>
      </c>
      <c r="G680">
        <v>392541</v>
      </c>
      <c r="H680">
        <v>53</v>
      </c>
      <c r="I680">
        <v>98.700000169999996</v>
      </c>
      <c r="J680">
        <v>3</v>
      </c>
      <c r="K680">
        <v>2</v>
      </c>
    </row>
    <row r="681" spans="1:11" x14ac:dyDescent="0.25">
      <c r="A681">
        <v>1121398</v>
      </c>
      <c r="B681">
        <v>1178</v>
      </c>
      <c r="C681">
        <v>144590</v>
      </c>
      <c r="D681" t="s">
        <v>13</v>
      </c>
      <c r="E681" t="s">
        <v>12</v>
      </c>
      <c r="F681">
        <v>36</v>
      </c>
      <c r="G681">
        <v>35088</v>
      </c>
      <c r="H681">
        <v>5</v>
      </c>
      <c r="I681">
        <v>8.8000000719999996</v>
      </c>
      <c r="J681">
        <v>1</v>
      </c>
      <c r="K681">
        <v>1</v>
      </c>
    </row>
    <row r="682" spans="1:11" x14ac:dyDescent="0.25">
      <c r="A682">
        <v>1121400</v>
      </c>
      <c r="B682">
        <v>1178</v>
      </c>
      <c r="C682">
        <v>144590</v>
      </c>
      <c r="D682" t="s">
        <v>13</v>
      </c>
      <c r="E682" t="s">
        <v>12</v>
      </c>
      <c r="F682">
        <v>36</v>
      </c>
      <c r="G682">
        <v>53933</v>
      </c>
      <c r="H682">
        <v>6</v>
      </c>
      <c r="I682">
        <v>9.9299999480000007</v>
      </c>
      <c r="J682">
        <v>3</v>
      </c>
      <c r="K682">
        <v>1</v>
      </c>
    </row>
    <row r="683" spans="1:11" x14ac:dyDescent="0.25">
      <c r="A683">
        <v>1121403</v>
      </c>
      <c r="B683">
        <v>1178</v>
      </c>
      <c r="C683">
        <v>144591</v>
      </c>
      <c r="D683" t="s">
        <v>13</v>
      </c>
      <c r="E683" t="s">
        <v>12</v>
      </c>
      <c r="F683">
        <v>63</v>
      </c>
      <c r="G683">
        <v>228861</v>
      </c>
      <c r="H683">
        <v>33</v>
      </c>
      <c r="I683">
        <v>53.38999939</v>
      </c>
      <c r="J683">
        <v>4</v>
      </c>
      <c r="K683">
        <v>2</v>
      </c>
    </row>
    <row r="684" spans="1:11" x14ac:dyDescent="0.25">
      <c r="A684">
        <v>1121405</v>
      </c>
      <c r="B684">
        <v>1178</v>
      </c>
      <c r="C684">
        <v>144591</v>
      </c>
      <c r="D684" t="s">
        <v>13</v>
      </c>
      <c r="E684" t="s">
        <v>12</v>
      </c>
      <c r="F684">
        <v>63</v>
      </c>
      <c r="G684">
        <v>20959</v>
      </c>
      <c r="H684">
        <v>2</v>
      </c>
      <c r="I684">
        <v>3.7699999809999998</v>
      </c>
      <c r="J684">
        <v>1</v>
      </c>
      <c r="K684">
        <v>1</v>
      </c>
    </row>
    <row r="685" spans="1:11" x14ac:dyDescent="0.25">
      <c r="A685">
        <v>1121410</v>
      </c>
      <c r="B685">
        <v>1178</v>
      </c>
      <c r="C685">
        <v>144592</v>
      </c>
      <c r="D685" t="s">
        <v>13</v>
      </c>
      <c r="E685" t="s">
        <v>12</v>
      </c>
      <c r="F685">
        <v>64</v>
      </c>
      <c r="G685">
        <v>24992</v>
      </c>
      <c r="H685">
        <v>2</v>
      </c>
      <c r="I685">
        <v>3.1900000569999998</v>
      </c>
      <c r="J685">
        <v>1</v>
      </c>
      <c r="K685">
        <v>0</v>
      </c>
    </row>
    <row r="686" spans="1:11" x14ac:dyDescent="0.25">
      <c r="A686">
        <v>1121411</v>
      </c>
      <c r="B686">
        <v>1178</v>
      </c>
      <c r="C686">
        <v>144592</v>
      </c>
      <c r="D686" t="s">
        <v>13</v>
      </c>
      <c r="E686" t="s">
        <v>12</v>
      </c>
      <c r="F686">
        <v>64</v>
      </c>
      <c r="G686">
        <v>100351</v>
      </c>
      <c r="H686">
        <v>15</v>
      </c>
      <c r="I686">
        <v>24.179999949999999</v>
      </c>
      <c r="J686">
        <v>2</v>
      </c>
      <c r="K686">
        <v>1</v>
      </c>
    </row>
    <row r="687" spans="1:11" x14ac:dyDescent="0.25">
      <c r="A687">
        <v>1121412</v>
      </c>
      <c r="B687">
        <v>1178</v>
      </c>
      <c r="C687">
        <v>144592</v>
      </c>
      <c r="D687" t="s">
        <v>13</v>
      </c>
      <c r="E687" t="s">
        <v>12</v>
      </c>
      <c r="F687">
        <v>64</v>
      </c>
      <c r="G687">
        <v>292448</v>
      </c>
      <c r="H687">
        <v>43</v>
      </c>
      <c r="I687">
        <v>76.899999679999993</v>
      </c>
      <c r="J687">
        <v>2</v>
      </c>
      <c r="K687">
        <v>1</v>
      </c>
    </row>
    <row r="688" spans="1:11" x14ac:dyDescent="0.25">
      <c r="A688">
        <v>1121413</v>
      </c>
      <c r="B688">
        <v>1178</v>
      </c>
      <c r="C688">
        <v>144592</v>
      </c>
      <c r="D688" t="s">
        <v>13</v>
      </c>
      <c r="E688" t="s">
        <v>12</v>
      </c>
      <c r="F688">
        <v>64</v>
      </c>
      <c r="G688">
        <v>65060</v>
      </c>
      <c r="H688">
        <v>7</v>
      </c>
      <c r="I688">
        <v>14.520000100000001</v>
      </c>
      <c r="J688">
        <v>1</v>
      </c>
      <c r="K688">
        <v>1</v>
      </c>
    </row>
    <row r="689" spans="1:11" x14ac:dyDescent="0.25">
      <c r="A689">
        <v>1121414</v>
      </c>
      <c r="B689">
        <v>1178</v>
      </c>
      <c r="C689">
        <v>144592</v>
      </c>
      <c r="D689" t="s">
        <v>13</v>
      </c>
      <c r="E689" t="s">
        <v>12</v>
      </c>
      <c r="F689">
        <v>64</v>
      </c>
      <c r="G689">
        <v>133316</v>
      </c>
      <c r="H689">
        <v>21</v>
      </c>
      <c r="I689">
        <v>36.170000549999997</v>
      </c>
      <c r="J689">
        <v>2</v>
      </c>
      <c r="K689">
        <v>0</v>
      </c>
    </row>
    <row r="690" spans="1:11" x14ac:dyDescent="0.25">
      <c r="A690">
        <v>1121415</v>
      </c>
      <c r="B690">
        <v>1178</v>
      </c>
      <c r="C690">
        <v>144593</v>
      </c>
      <c r="D690" t="s">
        <v>13</v>
      </c>
      <c r="E690" t="s">
        <v>12</v>
      </c>
      <c r="F690">
        <v>65</v>
      </c>
      <c r="G690">
        <v>113501</v>
      </c>
      <c r="H690">
        <v>26</v>
      </c>
      <c r="I690">
        <v>38.440000769999997</v>
      </c>
      <c r="J690">
        <v>5</v>
      </c>
      <c r="K690">
        <v>4</v>
      </c>
    </row>
    <row r="691" spans="1:11" x14ac:dyDescent="0.25">
      <c r="A691">
        <v>1121418</v>
      </c>
      <c r="B691">
        <v>1178</v>
      </c>
      <c r="C691">
        <v>144593</v>
      </c>
      <c r="D691" t="s">
        <v>13</v>
      </c>
      <c r="E691" t="s">
        <v>12</v>
      </c>
      <c r="F691">
        <v>65</v>
      </c>
      <c r="G691">
        <v>192810</v>
      </c>
      <c r="H691">
        <v>41</v>
      </c>
      <c r="I691">
        <v>61.929999950000003</v>
      </c>
      <c r="J691">
        <v>4</v>
      </c>
      <c r="K691">
        <v>3</v>
      </c>
    </row>
    <row r="692" spans="1:11" x14ac:dyDescent="0.25">
      <c r="A692">
        <v>1121421</v>
      </c>
      <c r="B692">
        <v>1178</v>
      </c>
      <c r="C692">
        <v>144594</v>
      </c>
      <c r="D692" t="s">
        <v>13</v>
      </c>
      <c r="E692" t="s">
        <v>12</v>
      </c>
      <c r="F692">
        <v>2</v>
      </c>
      <c r="G692">
        <v>233404</v>
      </c>
      <c r="H692">
        <v>43</v>
      </c>
      <c r="I692">
        <v>70.410000800000006</v>
      </c>
      <c r="J692">
        <v>2</v>
      </c>
      <c r="K692">
        <v>1</v>
      </c>
    </row>
    <row r="693" spans="1:11" x14ac:dyDescent="0.25">
      <c r="A693">
        <v>1121422</v>
      </c>
      <c r="B693">
        <v>1178</v>
      </c>
      <c r="C693">
        <v>144594</v>
      </c>
      <c r="D693" t="s">
        <v>13</v>
      </c>
      <c r="E693" t="s">
        <v>12</v>
      </c>
      <c r="F693">
        <v>2</v>
      </c>
      <c r="G693">
        <v>128843</v>
      </c>
      <c r="H693">
        <v>24</v>
      </c>
      <c r="I693">
        <v>37.5999999</v>
      </c>
      <c r="J693">
        <v>2</v>
      </c>
      <c r="K693">
        <v>0</v>
      </c>
    </row>
    <row r="694" spans="1:11" x14ac:dyDescent="0.25">
      <c r="A694">
        <v>1121423</v>
      </c>
      <c r="B694">
        <v>1178</v>
      </c>
      <c r="C694">
        <v>144594</v>
      </c>
      <c r="D694" t="s">
        <v>13</v>
      </c>
      <c r="E694" t="s">
        <v>12</v>
      </c>
      <c r="F694">
        <v>2</v>
      </c>
      <c r="G694">
        <v>63564</v>
      </c>
      <c r="H694">
        <v>12</v>
      </c>
      <c r="I694">
        <v>20.590000270000001</v>
      </c>
      <c r="J694">
        <v>2</v>
      </c>
      <c r="K694">
        <v>0</v>
      </c>
    </row>
    <row r="695" spans="1:11" x14ac:dyDescent="0.25">
      <c r="A695">
        <v>1121425</v>
      </c>
      <c r="B695">
        <v>1178</v>
      </c>
      <c r="C695">
        <v>144594</v>
      </c>
      <c r="D695" t="s">
        <v>13</v>
      </c>
      <c r="E695" t="s">
        <v>12</v>
      </c>
      <c r="F695">
        <v>2</v>
      </c>
      <c r="G695">
        <v>85970</v>
      </c>
      <c r="H695">
        <v>14</v>
      </c>
      <c r="I695">
        <v>24.780000210000001</v>
      </c>
      <c r="J695">
        <v>1</v>
      </c>
      <c r="K695">
        <v>1</v>
      </c>
    </row>
    <row r="696" spans="1:11" x14ac:dyDescent="0.25">
      <c r="A696">
        <v>1121428</v>
      </c>
      <c r="B696">
        <v>1178</v>
      </c>
      <c r="C696">
        <v>144595</v>
      </c>
      <c r="D696" t="s">
        <v>13</v>
      </c>
      <c r="E696" t="s">
        <v>12</v>
      </c>
      <c r="F696">
        <v>7</v>
      </c>
      <c r="G696">
        <v>131232</v>
      </c>
      <c r="H696">
        <v>16</v>
      </c>
      <c r="I696">
        <v>29.53999937</v>
      </c>
      <c r="J696">
        <v>1</v>
      </c>
      <c r="K696">
        <v>1</v>
      </c>
    </row>
    <row r="697" spans="1:11" x14ac:dyDescent="0.25">
      <c r="A697">
        <v>1121429</v>
      </c>
      <c r="B697">
        <v>1178</v>
      </c>
      <c r="C697">
        <v>144595</v>
      </c>
      <c r="D697" t="s">
        <v>13</v>
      </c>
      <c r="E697" t="s">
        <v>12</v>
      </c>
      <c r="F697">
        <v>7</v>
      </c>
      <c r="G697">
        <v>152454</v>
      </c>
      <c r="H697">
        <v>22</v>
      </c>
      <c r="I697">
        <v>37.849999789999998</v>
      </c>
      <c r="J697">
        <v>1</v>
      </c>
      <c r="K697">
        <v>1</v>
      </c>
    </row>
    <row r="698" spans="1:11" x14ac:dyDescent="0.25">
      <c r="A698">
        <v>1121430</v>
      </c>
      <c r="B698">
        <v>1178</v>
      </c>
      <c r="C698">
        <v>144595</v>
      </c>
      <c r="D698" t="s">
        <v>13</v>
      </c>
      <c r="E698" t="s">
        <v>12</v>
      </c>
      <c r="F698">
        <v>7</v>
      </c>
      <c r="G698">
        <v>28989</v>
      </c>
      <c r="H698">
        <v>2</v>
      </c>
      <c r="I698">
        <v>2.290000021</v>
      </c>
      <c r="J698">
        <v>1</v>
      </c>
      <c r="K698">
        <v>0</v>
      </c>
    </row>
    <row r="699" spans="1:11" x14ac:dyDescent="0.25">
      <c r="A699">
        <v>1121433</v>
      </c>
      <c r="B699">
        <v>1178</v>
      </c>
      <c r="C699">
        <v>144596</v>
      </c>
      <c r="D699" t="s">
        <v>13</v>
      </c>
      <c r="E699" t="s">
        <v>12</v>
      </c>
      <c r="F699">
        <v>66</v>
      </c>
      <c r="G699">
        <v>80248</v>
      </c>
      <c r="H699">
        <v>15</v>
      </c>
      <c r="I699">
        <v>24.190000300000001</v>
      </c>
      <c r="J699">
        <v>1</v>
      </c>
      <c r="K699">
        <v>1</v>
      </c>
    </row>
    <row r="700" spans="1:11" x14ac:dyDescent="0.25">
      <c r="A700">
        <v>1121437</v>
      </c>
      <c r="B700">
        <v>1178</v>
      </c>
      <c r="C700">
        <v>144596</v>
      </c>
      <c r="D700" t="s">
        <v>13</v>
      </c>
      <c r="E700" t="s">
        <v>12</v>
      </c>
      <c r="F700">
        <v>66</v>
      </c>
      <c r="G700">
        <v>38580</v>
      </c>
      <c r="H700">
        <v>5</v>
      </c>
      <c r="I700">
        <v>8.5199999809999998</v>
      </c>
      <c r="J700">
        <v>1</v>
      </c>
      <c r="K700">
        <v>0</v>
      </c>
    </row>
    <row r="701" spans="1:11" x14ac:dyDescent="0.25">
      <c r="A701">
        <v>1121439</v>
      </c>
      <c r="B701">
        <v>1178</v>
      </c>
      <c r="C701">
        <v>144597</v>
      </c>
      <c r="D701" t="s">
        <v>14</v>
      </c>
      <c r="E701" t="s">
        <v>12</v>
      </c>
      <c r="F701">
        <v>10</v>
      </c>
      <c r="G701">
        <v>621591</v>
      </c>
      <c r="H701">
        <v>91</v>
      </c>
      <c r="I701">
        <v>163.36000000000001</v>
      </c>
      <c r="J701">
        <v>5</v>
      </c>
      <c r="K701">
        <v>1</v>
      </c>
    </row>
    <row r="702" spans="1:11" x14ac:dyDescent="0.25">
      <c r="A702">
        <v>1121440</v>
      </c>
      <c r="B702">
        <v>1178</v>
      </c>
      <c r="C702">
        <v>144597</v>
      </c>
      <c r="D702" t="s">
        <v>14</v>
      </c>
      <c r="E702" t="s">
        <v>12</v>
      </c>
      <c r="F702">
        <v>10</v>
      </c>
      <c r="G702">
        <v>250499</v>
      </c>
      <c r="H702">
        <v>36</v>
      </c>
      <c r="I702">
        <v>58.140000049999998</v>
      </c>
      <c r="J702">
        <v>3</v>
      </c>
      <c r="K702">
        <v>1</v>
      </c>
    </row>
    <row r="703" spans="1:11" x14ac:dyDescent="0.25">
      <c r="A703">
        <v>1121442</v>
      </c>
      <c r="B703">
        <v>1178</v>
      </c>
      <c r="C703">
        <v>144597</v>
      </c>
      <c r="D703" t="s">
        <v>14</v>
      </c>
      <c r="E703" t="s">
        <v>12</v>
      </c>
      <c r="F703">
        <v>10</v>
      </c>
      <c r="G703">
        <v>131637</v>
      </c>
      <c r="H703">
        <v>18</v>
      </c>
      <c r="I703">
        <v>29.309999820000002</v>
      </c>
      <c r="J703">
        <v>2</v>
      </c>
      <c r="K703">
        <v>1</v>
      </c>
    </row>
    <row r="704" spans="1:11" x14ac:dyDescent="0.25">
      <c r="A704">
        <v>1121443</v>
      </c>
      <c r="B704">
        <v>1178</v>
      </c>
      <c r="C704">
        <v>144597</v>
      </c>
      <c r="D704" t="s">
        <v>14</v>
      </c>
      <c r="E704" t="s">
        <v>12</v>
      </c>
      <c r="F704">
        <v>10</v>
      </c>
      <c r="G704">
        <v>463813</v>
      </c>
      <c r="H704">
        <v>69</v>
      </c>
      <c r="I704">
        <v>116.3399996</v>
      </c>
      <c r="J704">
        <v>4</v>
      </c>
      <c r="K704">
        <v>2</v>
      </c>
    </row>
    <row r="705" spans="1:11" x14ac:dyDescent="0.25">
      <c r="A705">
        <v>1121444</v>
      </c>
      <c r="B705">
        <v>1178</v>
      </c>
      <c r="C705">
        <v>144597</v>
      </c>
      <c r="D705" t="s">
        <v>14</v>
      </c>
      <c r="E705" t="s">
        <v>12</v>
      </c>
      <c r="F705">
        <v>10</v>
      </c>
      <c r="G705">
        <v>211767</v>
      </c>
      <c r="H705">
        <v>35</v>
      </c>
      <c r="I705">
        <v>60.899999139999998</v>
      </c>
      <c r="J705">
        <v>5</v>
      </c>
      <c r="K705">
        <v>1</v>
      </c>
    </row>
    <row r="706" spans="1:11" x14ac:dyDescent="0.25">
      <c r="A706">
        <v>1121446</v>
      </c>
      <c r="B706">
        <v>1178</v>
      </c>
      <c r="C706">
        <v>144598</v>
      </c>
      <c r="D706" t="s">
        <v>14</v>
      </c>
      <c r="E706" t="s">
        <v>12</v>
      </c>
      <c r="F706">
        <v>15</v>
      </c>
      <c r="G706">
        <v>163181</v>
      </c>
      <c r="H706">
        <v>26</v>
      </c>
      <c r="I706">
        <v>40.020000930000002</v>
      </c>
      <c r="J706">
        <v>1</v>
      </c>
      <c r="K706">
        <v>1</v>
      </c>
    </row>
    <row r="707" spans="1:11" x14ac:dyDescent="0.25">
      <c r="A707">
        <v>1121451</v>
      </c>
      <c r="B707">
        <v>1178</v>
      </c>
      <c r="C707">
        <v>144599</v>
      </c>
      <c r="D707" t="s">
        <v>14</v>
      </c>
      <c r="E707" t="s">
        <v>12</v>
      </c>
      <c r="F707">
        <v>16</v>
      </c>
      <c r="G707">
        <v>1117385</v>
      </c>
      <c r="H707">
        <v>147</v>
      </c>
      <c r="I707">
        <v>260.06999839999997</v>
      </c>
      <c r="J707">
        <v>11</v>
      </c>
      <c r="K707">
        <v>2</v>
      </c>
    </row>
    <row r="708" spans="1:11" x14ac:dyDescent="0.25">
      <c r="A708">
        <v>1121452</v>
      </c>
      <c r="B708">
        <v>1178</v>
      </c>
      <c r="C708">
        <v>144599</v>
      </c>
      <c r="D708" t="s">
        <v>14</v>
      </c>
      <c r="E708" t="s">
        <v>12</v>
      </c>
      <c r="F708">
        <v>16</v>
      </c>
      <c r="G708">
        <v>1663441</v>
      </c>
      <c r="H708">
        <v>205</v>
      </c>
      <c r="I708">
        <v>359.47000009999999</v>
      </c>
      <c r="J708">
        <v>17</v>
      </c>
      <c r="K708">
        <v>6</v>
      </c>
    </row>
    <row r="709" spans="1:11" x14ac:dyDescent="0.25">
      <c r="A709">
        <v>1121453</v>
      </c>
      <c r="B709">
        <v>1178</v>
      </c>
      <c r="C709">
        <v>144599</v>
      </c>
      <c r="D709" t="s">
        <v>14</v>
      </c>
      <c r="E709" t="s">
        <v>12</v>
      </c>
      <c r="F709">
        <v>16</v>
      </c>
      <c r="G709">
        <v>455248</v>
      </c>
      <c r="H709">
        <v>54</v>
      </c>
      <c r="I709">
        <v>105.7099996</v>
      </c>
      <c r="J709">
        <v>5</v>
      </c>
      <c r="K709">
        <v>2</v>
      </c>
    </row>
    <row r="710" spans="1:11" x14ac:dyDescent="0.25">
      <c r="A710">
        <v>1121454</v>
      </c>
      <c r="B710">
        <v>1178</v>
      </c>
      <c r="C710">
        <v>144599</v>
      </c>
      <c r="D710" t="s">
        <v>14</v>
      </c>
      <c r="E710" t="s">
        <v>12</v>
      </c>
      <c r="F710">
        <v>16</v>
      </c>
      <c r="G710">
        <v>75589</v>
      </c>
      <c r="H710">
        <v>6</v>
      </c>
      <c r="I710">
        <v>10.66000009</v>
      </c>
      <c r="J710">
        <v>1</v>
      </c>
      <c r="K710">
        <v>1</v>
      </c>
    </row>
    <row r="711" spans="1:11" x14ac:dyDescent="0.25">
      <c r="A711">
        <v>1121455</v>
      </c>
      <c r="B711">
        <v>1178</v>
      </c>
      <c r="C711">
        <v>144599</v>
      </c>
      <c r="D711" t="s">
        <v>14</v>
      </c>
      <c r="E711" t="s">
        <v>12</v>
      </c>
      <c r="F711">
        <v>16</v>
      </c>
      <c r="G711">
        <v>594267</v>
      </c>
      <c r="H711">
        <v>82</v>
      </c>
      <c r="I711">
        <v>143.30000089999999</v>
      </c>
      <c r="J711">
        <v>3</v>
      </c>
      <c r="K711">
        <v>2</v>
      </c>
    </row>
    <row r="712" spans="1:11" x14ac:dyDescent="0.25">
      <c r="A712">
        <v>1121456</v>
      </c>
      <c r="B712">
        <v>1178</v>
      </c>
      <c r="C712">
        <v>144599</v>
      </c>
      <c r="D712" t="s">
        <v>14</v>
      </c>
      <c r="E712" t="s">
        <v>12</v>
      </c>
      <c r="F712">
        <v>16</v>
      </c>
      <c r="G712">
        <v>315281</v>
      </c>
      <c r="H712">
        <v>35</v>
      </c>
      <c r="I712">
        <v>65.029998539999994</v>
      </c>
      <c r="J712">
        <v>1</v>
      </c>
      <c r="K712">
        <v>0</v>
      </c>
    </row>
    <row r="713" spans="1:11" x14ac:dyDescent="0.25">
      <c r="A713">
        <v>1121464</v>
      </c>
      <c r="B713">
        <v>1178</v>
      </c>
      <c r="C713">
        <v>144601</v>
      </c>
      <c r="D713" t="s">
        <v>14</v>
      </c>
      <c r="E713" t="s">
        <v>12</v>
      </c>
      <c r="F713">
        <v>19</v>
      </c>
      <c r="G713">
        <v>363456</v>
      </c>
      <c r="H713">
        <v>71</v>
      </c>
      <c r="I713">
        <v>117.55999970000001</v>
      </c>
      <c r="J713">
        <v>7</v>
      </c>
      <c r="K713">
        <v>1</v>
      </c>
    </row>
    <row r="714" spans="1:11" x14ac:dyDescent="0.25">
      <c r="A714">
        <v>1121466</v>
      </c>
      <c r="B714">
        <v>1178</v>
      </c>
      <c r="C714">
        <v>144601</v>
      </c>
      <c r="D714" t="s">
        <v>14</v>
      </c>
      <c r="E714" t="s">
        <v>12</v>
      </c>
      <c r="F714">
        <v>19</v>
      </c>
      <c r="G714">
        <v>438983</v>
      </c>
      <c r="H714">
        <v>81</v>
      </c>
      <c r="I714">
        <v>143.4300001</v>
      </c>
      <c r="J714">
        <v>3</v>
      </c>
      <c r="K714">
        <v>1</v>
      </c>
    </row>
    <row r="715" spans="1:11" x14ac:dyDescent="0.25">
      <c r="A715">
        <v>1121467</v>
      </c>
      <c r="B715">
        <v>1178</v>
      </c>
      <c r="C715">
        <v>144601</v>
      </c>
      <c r="D715" t="s">
        <v>14</v>
      </c>
      <c r="E715" t="s">
        <v>12</v>
      </c>
      <c r="F715">
        <v>19</v>
      </c>
      <c r="G715">
        <v>42563</v>
      </c>
      <c r="H715">
        <v>5</v>
      </c>
      <c r="I715">
        <v>9.6599998469999999</v>
      </c>
      <c r="J715">
        <v>1</v>
      </c>
      <c r="K715">
        <v>1</v>
      </c>
    </row>
    <row r="716" spans="1:11" x14ac:dyDescent="0.25">
      <c r="A716">
        <v>1121469</v>
      </c>
      <c r="B716">
        <v>1178</v>
      </c>
      <c r="C716">
        <v>144602</v>
      </c>
      <c r="D716" t="s">
        <v>14</v>
      </c>
      <c r="E716" t="s">
        <v>12</v>
      </c>
      <c r="F716">
        <v>20</v>
      </c>
      <c r="G716">
        <v>399035</v>
      </c>
      <c r="H716">
        <v>75</v>
      </c>
      <c r="I716">
        <v>124.7999995</v>
      </c>
      <c r="J716">
        <v>7</v>
      </c>
      <c r="K716">
        <v>3</v>
      </c>
    </row>
    <row r="717" spans="1:11" x14ac:dyDescent="0.25">
      <c r="A717">
        <v>1121471</v>
      </c>
      <c r="B717">
        <v>1178</v>
      </c>
      <c r="C717">
        <v>144602</v>
      </c>
      <c r="D717" t="s">
        <v>14</v>
      </c>
      <c r="E717" t="s">
        <v>12</v>
      </c>
      <c r="F717">
        <v>20</v>
      </c>
      <c r="G717">
        <v>304680</v>
      </c>
      <c r="H717">
        <v>59</v>
      </c>
      <c r="I717">
        <v>98.550000190000006</v>
      </c>
      <c r="J717">
        <v>3</v>
      </c>
      <c r="K717">
        <v>0</v>
      </c>
    </row>
    <row r="718" spans="1:11" x14ac:dyDescent="0.25">
      <c r="A718">
        <v>1121472</v>
      </c>
      <c r="B718">
        <v>1178</v>
      </c>
      <c r="C718">
        <v>144602</v>
      </c>
      <c r="D718" t="s">
        <v>14</v>
      </c>
      <c r="E718" t="s">
        <v>12</v>
      </c>
      <c r="F718">
        <v>20</v>
      </c>
      <c r="G718">
        <v>140596</v>
      </c>
      <c r="H718">
        <v>23</v>
      </c>
      <c r="I718">
        <v>40.77000022</v>
      </c>
      <c r="J718">
        <v>1</v>
      </c>
      <c r="K718">
        <v>0</v>
      </c>
    </row>
    <row r="719" spans="1:11" x14ac:dyDescent="0.25">
      <c r="A719">
        <v>1121473</v>
      </c>
      <c r="B719">
        <v>1178</v>
      </c>
      <c r="C719">
        <v>144602</v>
      </c>
      <c r="D719" t="s">
        <v>14</v>
      </c>
      <c r="E719" t="s">
        <v>12</v>
      </c>
      <c r="F719">
        <v>20</v>
      </c>
      <c r="G719">
        <v>439986</v>
      </c>
      <c r="H719">
        <v>80</v>
      </c>
      <c r="I719">
        <v>134.8799999</v>
      </c>
      <c r="J719">
        <v>4</v>
      </c>
      <c r="K719">
        <v>3</v>
      </c>
    </row>
    <row r="720" spans="1:11" x14ac:dyDescent="0.25">
      <c r="A720">
        <v>1121474</v>
      </c>
      <c r="B720">
        <v>1178</v>
      </c>
      <c r="C720">
        <v>144602</v>
      </c>
      <c r="D720" t="s">
        <v>14</v>
      </c>
      <c r="E720" t="s">
        <v>12</v>
      </c>
      <c r="F720">
        <v>20</v>
      </c>
      <c r="G720">
        <v>75803</v>
      </c>
      <c r="H720">
        <v>11</v>
      </c>
      <c r="I720">
        <v>19.359999899999998</v>
      </c>
      <c r="J720">
        <v>2</v>
      </c>
      <c r="K720">
        <v>2</v>
      </c>
    </row>
    <row r="721" spans="1:11" x14ac:dyDescent="0.25">
      <c r="A721">
        <v>1121477</v>
      </c>
      <c r="B721">
        <v>1178</v>
      </c>
      <c r="C721">
        <v>144603</v>
      </c>
      <c r="D721" t="s">
        <v>14</v>
      </c>
      <c r="E721" t="s">
        <v>12</v>
      </c>
      <c r="F721">
        <v>21</v>
      </c>
      <c r="G721">
        <v>7073</v>
      </c>
      <c r="H721">
        <v>0</v>
      </c>
      <c r="I721">
        <v>0</v>
      </c>
      <c r="J721">
        <v>1</v>
      </c>
      <c r="K721">
        <v>0</v>
      </c>
    </row>
    <row r="722" spans="1:11" x14ac:dyDescent="0.25">
      <c r="A722">
        <v>1121481</v>
      </c>
      <c r="B722">
        <v>1178</v>
      </c>
      <c r="C722">
        <v>144604</v>
      </c>
      <c r="D722" t="s">
        <v>14</v>
      </c>
      <c r="E722" t="s">
        <v>12</v>
      </c>
      <c r="F722">
        <v>22</v>
      </c>
      <c r="G722">
        <v>153586</v>
      </c>
      <c r="H722">
        <v>28</v>
      </c>
      <c r="I722">
        <v>43.010000349999999</v>
      </c>
      <c r="J722">
        <v>2</v>
      </c>
      <c r="K722">
        <v>0</v>
      </c>
    </row>
    <row r="723" spans="1:11" x14ac:dyDescent="0.25">
      <c r="A723">
        <v>1121482</v>
      </c>
      <c r="B723">
        <v>1178</v>
      </c>
      <c r="C723">
        <v>144604</v>
      </c>
      <c r="D723" t="s">
        <v>14</v>
      </c>
      <c r="E723" t="s">
        <v>12</v>
      </c>
      <c r="F723">
        <v>22</v>
      </c>
      <c r="G723">
        <v>180815</v>
      </c>
      <c r="H723">
        <v>31</v>
      </c>
      <c r="I723">
        <v>42.629999759999997</v>
      </c>
      <c r="J723">
        <v>1</v>
      </c>
      <c r="K723">
        <v>0</v>
      </c>
    </row>
    <row r="724" spans="1:11" x14ac:dyDescent="0.25">
      <c r="A724">
        <v>1121483</v>
      </c>
      <c r="B724">
        <v>1178</v>
      </c>
      <c r="C724">
        <v>144604</v>
      </c>
      <c r="D724" t="s">
        <v>14</v>
      </c>
      <c r="E724" t="s">
        <v>12</v>
      </c>
      <c r="F724">
        <v>22</v>
      </c>
      <c r="G724">
        <v>253169</v>
      </c>
      <c r="H724">
        <v>51</v>
      </c>
      <c r="I724">
        <v>75.789999839999993</v>
      </c>
      <c r="J724">
        <v>1</v>
      </c>
      <c r="K724">
        <v>0</v>
      </c>
    </row>
    <row r="725" spans="1:11" x14ac:dyDescent="0.25">
      <c r="A725">
        <v>1121484</v>
      </c>
      <c r="B725">
        <v>1178</v>
      </c>
      <c r="C725">
        <v>144604</v>
      </c>
      <c r="D725" t="s">
        <v>14</v>
      </c>
      <c r="E725" t="s">
        <v>12</v>
      </c>
      <c r="F725">
        <v>22</v>
      </c>
      <c r="G725">
        <v>34453</v>
      </c>
      <c r="H725">
        <v>5</v>
      </c>
      <c r="I725">
        <v>7.7100000380000004</v>
      </c>
      <c r="J725">
        <v>1</v>
      </c>
      <c r="K725">
        <v>1</v>
      </c>
    </row>
    <row r="726" spans="1:11" x14ac:dyDescent="0.25">
      <c r="A726">
        <v>1121487</v>
      </c>
      <c r="B726">
        <v>1178</v>
      </c>
      <c r="C726">
        <v>144605</v>
      </c>
      <c r="D726" t="s">
        <v>14</v>
      </c>
      <c r="E726" t="s">
        <v>12</v>
      </c>
      <c r="F726">
        <v>23</v>
      </c>
      <c r="G726">
        <v>51550</v>
      </c>
      <c r="H726">
        <v>8</v>
      </c>
      <c r="I726">
        <v>14.03999984</v>
      </c>
      <c r="J726">
        <v>1</v>
      </c>
      <c r="K726">
        <v>0</v>
      </c>
    </row>
    <row r="727" spans="1:11" x14ac:dyDescent="0.25">
      <c r="A727">
        <v>1121489</v>
      </c>
      <c r="B727">
        <v>1178</v>
      </c>
      <c r="C727">
        <v>144605</v>
      </c>
      <c r="D727" t="s">
        <v>14</v>
      </c>
      <c r="E727" t="s">
        <v>12</v>
      </c>
      <c r="F727">
        <v>23</v>
      </c>
      <c r="G727">
        <v>110018</v>
      </c>
      <c r="H727">
        <v>24</v>
      </c>
      <c r="I727">
        <v>39.85999966</v>
      </c>
      <c r="J727">
        <v>1</v>
      </c>
      <c r="K727">
        <v>0</v>
      </c>
    </row>
    <row r="728" spans="1:11" x14ac:dyDescent="0.25">
      <c r="A728">
        <v>1121493</v>
      </c>
      <c r="B728">
        <v>1178</v>
      </c>
      <c r="C728">
        <v>144606</v>
      </c>
      <c r="D728" t="s">
        <v>14</v>
      </c>
      <c r="E728" t="s">
        <v>12</v>
      </c>
      <c r="F728">
        <v>24</v>
      </c>
      <c r="G728">
        <v>137584</v>
      </c>
      <c r="H728">
        <v>21</v>
      </c>
      <c r="I728">
        <v>36.779999609999997</v>
      </c>
      <c r="J728">
        <v>1</v>
      </c>
      <c r="K728">
        <v>0</v>
      </c>
    </row>
    <row r="729" spans="1:11" x14ac:dyDescent="0.25">
      <c r="A729">
        <v>1121497</v>
      </c>
      <c r="B729">
        <v>1178</v>
      </c>
      <c r="C729">
        <v>144606</v>
      </c>
      <c r="D729" t="s">
        <v>14</v>
      </c>
      <c r="E729" t="s">
        <v>12</v>
      </c>
      <c r="F729">
        <v>24</v>
      </c>
      <c r="G729">
        <v>209825</v>
      </c>
      <c r="H729">
        <v>30</v>
      </c>
      <c r="I729">
        <v>54.869999530000001</v>
      </c>
      <c r="J729">
        <v>1</v>
      </c>
      <c r="K729">
        <v>0</v>
      </c>
    </row>
    <row r="730" spans="1:11" x14ac:dyDescent="0.25">
      <c r="A730">
        <v>1121499</v>
      </c>
      <c r="B730">
        <v>1178</v>
      </c>
      <c r="C730">
        <v>144607</v>
      </c>
      <c r="D730" t="s">
        <v>14</v>
      </c>
      <c r="E730" t="s">
        <v>12</v>
      </c>
      <c r="F730">
        <v>25</v>
      </c>
      <c r="G730">
        <v>264222</v>
      </c>
      <c r="H730">
        <v>63</v>
      </c>
      <c r="I730">
        <v>87.789999600000002</v>
      </c>
      <c r="J730">
        <v>1</v>
      </c>
      <c r="K730">
        <v>1</v>
      </c>
    </row>
    <row r="731" spans="1:11" x14ac:dyDescent="0.25">
      <c r="A731">
        <v>1121510</v>
      </c>
      <c r="B731">
        <v>1178</v>
      </c>
      <c r="C731">
        <v>144608</v>
      </c>
      <c r="D731" t="s">
        <v>14</v>
      </c>
      <c r="E731" t="s">
        <v>12</v>
      </c>
      <c r="F731">
        <v>26</v>
      </c>
      <c r="G731">
        <v>31202</v>
      </c>
      <c r="H731">
        <v>5</v>
      </c>
      <c r="I731">
        <v>6.7300000190000002</v>
      </c>
      <c r="J731">
        <v>1</v>
      </c>
      <c r="K731">
        <v>0</v>
      </c>
    </row>
    <row r="732" spans="1:11" x14ac:dyDescent="0.25">
      <c r="A732">
        <v>1121511</v>
      </c>
      <c r="B732">
        <v>1178</v>
      </c>
      <c r="C732">
        <v>144609</v>
      </c>
      <c r="D732" t="s">
        <v>14</v>
      </c>
      <c r="E732" t="s">
        <v>12</v>
      </c>
      <c r="F732">
        <v>27</v>
      </c>
      <c r="G732">
        <v>252991</v>
      </c>
      <c r="H732">
        <v>49</v>
      </c>
      <c r="I732">
        <v>76.839999320000004</v>
      </c>
      <c r="J732">
        <v>3</v>
      </c>
      <c r="K732">
        <v>0</v>
      </c>
    </row>
    <row r="733" spans="1:11" x14ac:dyDescent="0.25">
      <c r="A733">
        <v>1121514</v>
      </c>
      <c r="B733">
        <v>1178</v>
      </c>
      <c r="C733">
        <v>144609</v>
      </c>
      <c r="D733" t="s">
        <v>14</v>
      </c>
      <c r="E733" t="s">
        <v>12</v>
      </c>
      <c r="F733">
        <v>27</v>
      </c>
      <c r="G733">
        <v>56265</v>
      </c>
      <c r="H733">
        <v>9</v>
      </c>
      <c r="I733">
        <v>15.539999720000001</v>
      </c>
      <c r="J733">
        <v>1</v>
      </c>
      <c r="K733">
        <v>0</v>
      </c>
    </row>
    <row r="734" spans="1:11" x14ac:dyDescent="0.25">
      <c r="A734">
        <v>1121523</v>
      </c>
      <c r="B734">
        <v>1178</v>
      </c>
      <c r="C734">
        <v>144611</v>
      </c>
      <c r="D734" t="s">
        <v>14</v>
      </c>
      <c r="E734" t="s">
        <v>12</v>
      </c>
      <c r="F734">
        <v>29</v>
      </c>
      <c r="G734">
        <v>76923</v>
      </c>
      <c r="H734">
        <v>11</v>
      </c>
      <c r="I734">
        <v>17.670000080000001</v>
      </c>
      <c r="J734">
        <v>2</v>
      </c>
      <c r="K734">
        <v>2</v>
      </c>
    </row>
    <row r="735" spans="1:11" x14ac:dyDescent="0.25">
      <c r="A735">
        <v>1121524</v>
      </c>
      <c r="B735">
        <v>1178</v>
      </c>
      <c r="C735">
        <v>144611</v>
      </c>
      <c r="D735" t="s">
        <v>14</v>
      </c>
      <c r="E735" t="s">
        <v>12</v>
      </c>
      <c r="F735">
        <v>29</v>
      </c>
      <c r="G735">
        <v>209332</v>
      </c>
      <c r="H735">
        <v>30</v>
      </c>
      <c r="I735">
        <v>49.600000139999999</v>
      </c>
      <c r="J735">
        <v>3</v>
      </c>
      <c r="K735">
        <v>1</v>
      </c>
    </row>
    <row r="736" spans="1:11" x14ac:dyDescent="0.25">
      <c r="A736">
        <v>1121525</v>
      </c>
      <c r="B736">
        <v>1178</v>
      </c>
      <c r="C736">
        <v>144611</v>
      </c>
      <c r="D736" t="s">
        <v>14</v>
      </c>
      <c r="E736" t="s">
        <v>12</v>
      </c>
      <c r="F736">
        <v>29</v>
      </c>
      <c r="G736">
        <v>214094</v>
      </c>
      <c r="H736">
        <v>31</v>
      </c>
      <c r="I736">
        <v>53.269999030000001</v>
      </c>
      <c r="J736">
        <v>1</v>
      </c>
      <c r="K736">
        <v>0</v>
      </c>
    </row>
    <row r="737" spans="1:11" x14ac:dyDescent="0.25">
      <c r="A737">
        <v>1121526</v>
      </c>
      <c r="B737">
        <v>1178</v>
      </c>
      <c r="C737">
        <v>144611</v>
      </c>
      <c r="D737" t="s">
        <v>14</v>
      </c>
      <c r="E737" t="s">
        <v>12</v>
      </c>
      <c r="F737">
        <v>29</v>
      </c>
      <c r="G737">
        <v>526209</v>
      </c>
      <c r="H737">
        <v>85</v>
      </c>
      <c r="I737">
        <v>126.9299996</v>
      </c>
      <c r="J737">
        <v>3</v>
      </c>
      <c r="K737">
        <v>2</v>
      </c>
    </row>
    <row r="738" spans="1:11" x14ac:dyDescent="0.25">
      <c r="A738">
        <v>1121527</v>
      </c>
      <c r="B738">
        <v>1178</v>
      </c>
      <c r="C738">
        <v>144611</v>
      </c>
      <c r="D738" t="s">
        <v>14</v>
      </c>
      <c r="E738" t="s">
        <v>12</v>
      </c>
      <c r="F738">
        <v>29</v>
      </c>
      <c r="G738">
        <v>741143</v>
      </c>
      <c r="H738">
        <v>120</v>
      </c>
      <c r="I738">
        <v>179.620001</v>
      </c>
      <c r="J738">
        <v>4</v>
      </c>
      <c r="K738">
        <v>1</v>
      </c>
    </row>
    <row r="739" spans="1:11" x14ac:dyDescent="0.25">
      <c r="A739">
        <v>1121528</v>
      </c>
      <c r="B739">
        <v>1178</v>
      </c>
      <c r="C739">
        <v>144611</v>
      </c>
      <c r="D739" t="s">
        <v>14</v>
      </c>
      <c r="E739" t="s">
        <v>12</v>
      </c>
      <c r="F739">
        <v>29</v>
      </c>
      <c r="G739">
        <v>172827</v>
      </c>
      <c r="H739">
        <v>25</v>
      </c>
      <c r="I739">
        <v>38.420000430000002</v>
      </c>
      <c r="J739">
        <v>2</v>
      </c>
      <c r="K739">
        <v>0</v>
      </c>
    </row>
    <row r="740" spans="1:11" x14ac:dyDescent="0.25">
      <c r="A740">
        <v>1121530</v>
      </c>
      <c r="B740">
        <v>1178</v>
      </c>
      <c r="C740">
        <v>144612</v>
      </c>
      <c r="D740" t="s">
        <v>14</v>
      </c>
      <c r="E740" t="s">
        <v>12</v>
      </c>
      <c r="F740">
        <v>30</v>
      </c>
      <c r="G740">
        <v>188873</v>
      </c>
      <c r="H740">
        <v>38</v>
      </c>
      <c r="I740">
        <v>58.5999999</v>
      </c>
      <c r="J740">
        <v>1</v>
      </c>
      <c r="K740">
        <v>1</v>
      </c>
    </row>
    <row r="741" spans="1:11" x14ac:dyDescent="0.25">
      <c r="A741">
        <v>1121532</v>
      </c>
      <c r="B741">
        <v>1178</v>
      </c>
      <c r="C741">
        <v>144612</v>
      </c>
      <c r="D741" t="s">
        <v>14</v>
      </c>
      <c r="E741" t="s">
        <v>12</v>
      </c>
      <c r="F741">
        <v>30</v>
      </c>
      <c r="G741">
        <v>123126</v>
      </c>
      <c r="H741">
        <v>25</v>
      </c>
      <c r="I741">
        <v>39.72999978</v>
      </c>
      <c r="J741">
        <v>2</v>
      </c>
      <c r="K741">
        <v>1</v>
      </c>
    </row>
    <row r="742" spans="1:11" x14ac:dyDescent="0.25">
      <c r="A742">
        <v>1121535</v>
      </c>
      <c r="B742">
        <v>1178</v>
      </c>
      <c r="C742">
        <v>144613</v>
      </c>
      <c r="D742" t="s">
        <v>14</v>
      </c>
      <c r="E742" t="s">
        <v>12</v>
      </c>
      <c r="F742">
        <v>31</v>
      </c>
      <c r="G742">
        <v>77794</v>
      </c>
      <c r="H742">
        <v>14</v>
      </c>
      <c r="I742">
        <v>19.11000001</v>
      </c>
      <c r="J742">
        <v>1</v>
      </c>
      <c r="K742">
        <v>1</v>
      </c>
    </row>
    <row r="743" spans="1:11" x14ac:dyDescent="0.25">
      <c r="A743">
        <v>1121541</v>
      </c>
      <c r="B743">
        <v>1178</v>
      </c>
      <c r="C743">
        <v>144614</v>
      </c>
      <c r="D743" t="s">
        <v>14</v>
      </c>
      <c r="E743" t="s">
        <v>12</v>
      </c>
      <c r="F743">
        <v>32</v>
      </c>
      <c r="G743">
        <v>56630</v>
      </c>
      <c r="H743">
        <v>9</v>
      </c>
      <c r="I743">
        <v>15.810000179999999</v>
      </c>
      <c r="J743">
        <v>1</v>
      </c>
      <c r="K743">
        <v>1</v>
      </c>
    </row>
    <row r="744" spans="1:11" x14ac:dyDescent="0.25">
      <c r="A744">
        <v>1121544</v>
      </c>
      <c r="B744">
        <v>1178</v>
      </c>
      <c r="C744">
        <v>144614</v>
      </c>
      <c r="D744" t="s">
        <v>14</v>
      </c>
      <c r="E744" t="s">
        <v>12</v>
      </c>
      <c r="F744">
        <v>32</v>
      </c>
      <c r="G744">
        <v>400844</v>
      </c>
      <c r="H744">
        <v>85</v>
      </c>
      <c r="I744">
        <v>140.97000220000001</v>
      </c>
      <c r="J744">
        <v>4</v>
      </c>
      <c r="K744">
        <v>2</v>
      </c>
    </row>
    <row r="745" spans="1:11" x14ac:dyDescent="0.25">
      <c r="A745">
        <v>1121545</v>
      </c>
      <c r="B745">
        <v>1178</v>
      </c>
      <c r="C745">
        <v>144614</v>
      </c>
      <c r="D745" t="s">
        <v>14</v>
      </c>
      <c r="E745" t="s">
        <v>12</v>
      </c>
      <c r="F745">
        <v>32</v>
      </c>
      <c r="G745">
        <v>208572</v>
      </c>
      <c r="H745">
        <v>36</v>
      </c>
      <c r="I745">
        <v>60.760000230000003</v>
      </c>
      <c r="J745">
        <v>2</v>
      </c>
      <c r="K745">
        <v>1</v>
      </c>
    </row>
    <row r="746" spans="1:11" x14ac:dyDescent="0.25">
      <c r="A746">
        <v>1121548</v>
      </c>
      <c r="B746">
        <v>1178</v>
      </c>
      <c r="C746">
        <v>144615</v>
      </c>
      <c r="D746" t="s">
        <v>14</v>
      </c>
      <c r="E746" t="s">
        <v>12</v>
      </c>
      <c r="F746">
        <v>36</v>
      </c>
      <c r="G746">
        <v>59004</v>
      </c>
      <c r="H746">
        <v>8</v>
      </c>
      <c r="I746">
        <v>13.51000011</v>
      </c>
      <c r="J746">
        <v>1</v>
      </c>
      <c r="K746">
        <v>0</v>
      </c>
    </row>
    <row r="747" spans="1:11" x14ac:dyDescent="0.25">
      <c r="A747">
        <v>1121551</v>
      </c>
      <c r="B747">
        <v>1178</v>
      </c>
      <c r="C747">
        <v>144615</v>
      </c>
      <c r="D747" t="s">
        <v>14</v>
      </c>
      <c r="E747" t="s">
        <v>12</v>
      </c>
      <c r="F747">
        <v>36</v>
      </c>
      <c r="G747">
        <v>196253</v>
      </c>
      <c r="H747">
        <v>32</v>
      </c>
      <c r="I747">
        <v>55.100000020000003</v>
      </c>
      <c r="J747">
        <v>1</v>
      </c>
      <c r="K747">
        <v>0</v>
      </c>
    </row>
    <row r="748" spans="1:11" x14ac:dyDescent="0.25">
      <c r="A748">
        <v>1121554</v>
      </c>
      <c r="B748">
        <v>1178</v>
      </c>
      <c r="C748">
        <v>144616</v>
      </c>
      <c r="D748" t="s">
        <v>14</v>
      </c>
      <c r="E748" t="s">
        <v>12</v>
      </c>
      <c r="F748">
        <v>63</v>
      </c>
      <c r="G748">
        <v>51858</v>
      </c>
      <c r="H748">
        <v>8</v>
      </c>
      <c r="I748">
        <v>12.630000109999999</v>
      </c>
      <c r="J748">
        <v>1</v>
      </c>
      <c r="K748">
        <v>1</v>
      </c>
    </row>
    <row r="749" spans="1:11" x14ac:dyDescent="0.25">
      <c r="A749">
        <v>1121557</v>
      </c>
      <c r="B749">
        <v>1178</v>
      </c>
      <c r="C749">
        <v>144616</v>
      </c>
      <c r="D749" t="s">
        <v>14</v>
      </c>
      <c r="E749" t="s">
        <v>12</v>
      </c>
      <c r="F749">
        <v>63</v>
      </c>
      <c r="G749">
        <v>280764</v>
      </c>
      <c r="H749">
        <v>49</v>
      </c>
      <c r="I749">
        <v>81.360000249999999</v>
      </c>
      <c r="J749">
        <v>2</v>
      </c>
      <c r="K749">
        <v>1</v>
      </c>
    </row>
    <row r="750" spans="1:11" x14ac:dyDescent="0.25">
      <c r="A750">
        <v>1121561</v>
      </c>
      <c r="B750">
        <v>1178</v>
      </c>
      <c r="C750">
        <v>144617</v>
      </c>
      <c r="D750" t="s">
        <v>14</v>
      </c>
      <c r="E750" t="s">
        <v>12</v>
      </c>
      <c r="F750">
        <v>64</v>
      </c>
      <c r="G750">
        <v>63660</v>
      </c>
      <c r="H750">
        <v>11</v>
      </c>
      <c r="I750">
        <v>16.470000030000001</v>
      </c>
      <c r="J750">
        <v>1</v>
      </c>
      <c r="K750">
        <v>1</v>
      </c>
    </row>
    <row r="751" spans="1:11" x14ac:dyDescent="0.25">
      <c r="A751">
        <v>1121562</v>
      </c>
      <c r="B751">
        <v>1178</v>
      </c>
      <c r="C751">
        <v>144617</v>
      </c>
      <c r="D751" t="s">
        <v>14</v>
      </c>
      <c r="E751" t="s">
        <v>12</v>
      </c>
      <c r="F751">
        <v>64</v>
      </c>
      <c r="G751">
        <v>109289</v>
      </c>
      <c r="H751">
        <v>19</v>
      </c>
      <c r="I751">
        <v>31.029999969999999</v>
      </c>
      <c r="J751">
        <v>1</v>
      </c>
      <c r="K751">
        <v>0</v>
      </c>
    </row>
    <row r="752" spans="1:11" x14ac:dyDescent="0.25">
      <c r="A752">
        <v>1121568</v>
      </c>
      <c r="B752">
        <v>1178</v>
      </c>
      <c r="C752">
        <v>144618</v>
      </c>
      <c r="D752" t="s">
        <v>14</v>
      </c>
      <c r="E752" t="s">
        <v>12</v>
      </c>
      <c r="F752">
        <v>65</v>
      </c>
      <c r="G752">
        <v>188440</v>
      </c>
      <c r="H752">
        <v>40</v>
      </c>
      <c r="I752">
        <v>60.729999659999997</v>
      </c>
      <c r="J752">
        <v>2</v>
      </c>
      <c r="K752">
        <v>1</v>
      </c>
    </row>
    <row r="753" spans="1:11" x14ac:dyDescent="0.25">
      <c r="A753">
        <v>1121571</v>
      </c>
      <c r="B753">
        <v>1178</v>
      </c>
      <c r="C753">
        <v>144619</v>
      </c>
      <c r="D753" t="s">
        <v>14</v>
      </c>
      <c r="E753" t="s">
        <v>12</v>
      </c>
      <c r="F753">
        <v>2</v>
      </c>
      <c r="G753">
        <v>212496</v>
      </c>
      <c r="H753">
        <v>44</v>
      </c>
      <c r="I753">
        <v>74.830001350000003</v>
      </c>
      <c r="J753">
        <v>2</v>
      </c>
      <c r="K753">
        <v>1</v>
      </c>
    </row>
    <row r="754" spans="1:11" x14ac:dyDescent="0.25">
      <c r="A754">
        <v>1121572</v>
      </c>
      <c r="B754">
        <v>1178</v>
      </c>
      <c r="C754">
        <v>144619</v>
      </c>
      <c r="D754" t="s">
        <v>14</v>
      </c>
      <c r="E754" t="s">
        <v>12</v>
      </c>
      <c r="F754">
        <v>2</v>
      </c>
      <c r="G754">
        <v>32574</v>
      </c>
      <c r="H754">
        <v>5</v>
      </c>
      <c r="I754">
        <v>7.4800000190000002</v>
      </c>
      <c r="J754">
        <v>1</v>
      </c>
      <c r="K754">
        <v>0</v>
      </c>
    </row>
    <row r="755" spans="1:11" x14ac:dyDescent="0.25">
      <c r="A755">
        <v>1121575</v>
      </c>
      <c r="B755">
        <v>1178</v>
      </c>
      <c r="C755">
        <v>144619</v>
      </c>
      <c r="D755" t="s">
        <v>14</v>
      </c>
      <c r="E755" t="s">
        <v>12</v>
      </c>
      <c r="F755">
        <v>2</v>
      </c>
      <c r="G755">
        <v>128595</v>
      </c>
      <c r="H755">
        <v>23</v>
      </c>
      <c r="I755">
        <v>36.480000500000003</v>
      </c>
      <c r="J755">
        <v>1</v>
      </c>
      <c r="K755">
        <v>1</v>
      </c>
    </row>
    <row r="756" spans="1:11" x14ac:dyDescent="0.25">
      <c r="A756">
        <v>1121577</v>
      </c>
      <c r="B756">
        <v>1178</v>
      </c>
      <c r="C756">
        <v>144620</v>
      </c>
      <c r="D756" t="s">
        <v>14</v>
      </c>
      <c r="E756" t="s">
        <v>12</v>
      </c>
      <c r="F756">
        <v>7</v>
      </c>
      <c r="G756">
        <v>242234</v>
      </c>
      <c r="H756">
        <v>48</v>
      </c>
      <c r="I756">
        <v>68.060000540000004</v>
      </c>
      <c r="J756">
        <v>2</v>
      </c>
      <c r="K756">
        <v>0</v>
      </c>
    </row>
    <row r="757" spans="1:11" x14ac:dyDescent="0.25">
      <c r="A757">
        <v>1121584</v>
      </c>
      <c r="B757">
        <v>1178</v>
      </c>
      <c r="C757">
        <v>144621</v>
      </c>
      <c r="D757" t="s">
        <v>14</v>
      </c>
      <c r="E757" t="s">
        <v>12</v>
      </c>
      <c r="F757">
        <v>66</v>
      </c>
      <c r="G757">
        <v>33154</v>
      </c>
      <c r="H757">
        <v>5</v>
      </c>
      <c r="I757">
        <v>7.8799999950000004</v>
      </c>
      <c r="J757">
        <v>1</v>
      </c>
      <c r="K757">
        <v>1</v>
      </c>
    </row>
    <row r="758" spans="1:11" x14ac:dyDescent="0.25">
      <c r="A758">
        <v>1121585</v>
      </c>
      <c r="B758">
        <v>1178</v>
      </c>
      <c r="C758">
        <v>144621</v>
      </c>
      <c r="D758" t="s">
        <v>14</v>
      </c>
      <c r="E758" t="s">
        <v>12</v>
      </c>
      <c r="F758">
        <v>66</v>
      </c>
      <c r="G758">
        <v>9773</v>
      </c>
      <c r="H758">
        <v>1</v>
      </c>
      <c r="I758">
        <v>1.460000038</v>
      </c>
      <c r="J758">
        <v>1</v>
      </c>
      <c r="K758">
        <v>0</v>
      </c>
    </row>
    <row r="759" spans="1:11" x14ac:dyDescent="0.25">
      <c r="A759">
        <v>1121589</v>
      </c>
      <c r="B759">
        <v>1178</v>
      </c>
      <c r="C759">
        <v>144622</v>
      </c>
      <c r="D759" t="s">
        <v>15</v>
      </c>
      <c r="E759" t="s">
        <v>12</v>
      </c>
      <c r="F759">
        <v>10</v>
      </c>
      <c r="G759">
        <v>464036</v>
      </c>
      <c r="H759">
        <v>77</v>
      </c>
      <c r="I759">
        <v>123.5500004</v>
      </c>
      <c r="J759">
        <v>3</v>
      </c>
      <c r="K759">
        <v>1</v>
      </c>
    </row>
    <row r="760" spans="1:11" x14ac:dyDescent="0.25">
      <c r="A760">
        <v>1121590</v>
      </c>
      <c r="B760">
        <v>1178</v>
      </c>
      <c r="C760">
        <v>144622</v>
      </c>
      <c r="D760" t="s">
        <v>15</v>
      </c>
      <c r="E760" t="s">
        <v>12</v>
      </c>
      <c r="F760">
        <v>10</v>
      </c>
      <c r="G760">
        <v>478480</v>
      </c>
      <c r="H760">
        <v>75</v>
      </c>
      <c r="I760">
        <v>135.75000120000001</v>
      </c>
      <c r="J760">
        <v>3</v>
      </c>
      <c r="K760">
        <v>1</v>
      </c>
    </row>
    <row r="761" spans="1:11" x14ac:dyDescent="0.25">
      <c r="A761">
        <v>1121592</v>
      </c>
      <c r="B761">
        <v>1178</v>
      </c>
      <c r="C761">
        <v>144622</v>
      </c>
      <c r="D761" t="s">
        <v>15</v>
      </c>
      <c r="E761" t="s">
        <v>12</v>
      </c>
      <c r="F761">
        <v>10</v>
      </c>
      <c r="G761">
        <v>428812</v>
      </c>
      <c r="H761">
        <v>66</v>
      </c>
      <c r="I761">
        <v>116.8800001</v>
      </c>
      <c r="J761">
        <v>4</v>
      </c>
      <c r="K761">
        <v>2</v>
      </c>
    </row>
    <row r="762" spans="1:11" x14ac:dyDescent="0.25">
      <c r="A762">
        <v>1121593</v>
      </c>
      <c r="B762">
        <v>1178</v>
      </c>
      <c r="C762">
        <v>144622</v>
      </c>
      <c r="D762" t="s">
        <v>15</v>
      </c>
      <c r="E762" t="s">
        <v>12</v>
      </c>
      <c r="F762">
        <v>10</v>
      </c>
      <c r="G762">
        <v>1177535</v>
      </c>
      <c r="H762">
        <v>221</v>
      </c>
      <c r="I762">
        <v>365.6600009</v>
      </c>
      <c r="J762">
        <v>15</v>
      </c>
      <c r="K762">
        <v>3</v>
      </c>
    </row>
    <row r="763" spans="1:11" x14ac:dyDescent="0.25">
      <c r="A763">
        <v>1121594</v>
      </c>
      <c r="B763">
        <v>1178</v>
      </c>
      <c r="C763">
        <v>144622</v>
      </c>
      <c r="D763" t="s">
        <v>15</v>
      </c>
      <c r="E763" t="s">
        <v>12</v>
      </c>
      <c r="F763">
        <v>10</v>
      </c>
      <c r="G763">
        <v>426500</v>
      </c>
      <c r="H763">
        <v>72</v>
      </c>
      <c r="I763">
        <v>128.27999879999999</v>
      </c>
      <c r="J763">
        <v>4</v>
      </c>
      <c r="K763">
        <v>1</v>
      </c>
    </row>
    <row r="764" spans="1:11" x14ac:dyDescent="0.25">
      <c r="A764">
        <v>1121597</v>
      </c>
      <c r="B764">
        <v>1178</v>
      </c>
      <c r="C764">
        <v>144623</v>
      </c>
      <c r="D764" t="s">
        <v>15</v>
      </c>
      <c r="E764" t="s">
        <v>12</v>
      </c>
      <c r="F764">
        <v>15</v>
      </c>
      <c r="G764">
        <v>54237</v>
      </c>
      <c r="H764">
        <v>7</v>
      </c>
      <c r="I764">
        <v>10.779999849999999</v>
      </c>
      <c r="J764">
        <v>2</v>
      </c>
      <c r="K764">
        <v>1</v>
      </c>
    </row>
    <row r="765" spans="1:11" x14ac:dyDescent="0.25">
      <c r="A765">
        <v>1121598</v>
      </c>
      <c r="B765">
        <v>1178</v>
      </c>
      <c r="C765">
        <v>144623</v>
      </c>
      <c r="D765" t="s">
        <v>15</v>
      </c>
      <c r="E765" t="s">
        <v>12</v>
      </c>
      <c r="F765">
        <v>15</v>
      </c>
      <c r="G765">
        <v>506916</v>
      </c>
      <c r="H765">
        <v>89</v>
      </c>
      <c r="I765">
        <v>133.69999859999999</v>
      </c>
      <c r="J765">
        <v>2</v>
      </c>
      <c r="K765">
        <v>2</v>
      </c>
    </row>
    <row r="766" spans="1:11" x14ac:dyDescent="0.25">
      <c r="A766">
        <v>1121599</v>
      </c>
      <c r="B766">
        <v>1178</v>
      </c>
      <c r="C766">
        <v>144623</v>
      </c>
      <c r="D766" t="s">
        <v>15</v>
      </c>
      <c r="E766" t="s">
        <v>12</v>
      </c>
      <c r="F766">
        <v>15</v>
      </c>
      <c r="G766">
        <v>250960</v>
      </c>
      <c r="H766">
        <v>42</v>
      </c>
      <c r="I766">
        <v>64.879999519999998</v>
      </c>
      <c r="J766">
        <v>2</v>
      </c>
      <c r="K766">
        <v>0</v>
      </c>
    </row>
    <row r="767" spans="1:11" x14ac:dyDescent="0.25">
      <c r="A767">
        <v>1121601</v>
      </c>
      <c r="B767">
        <v>1178</v>
      </c>
      <c r="C767">
        <v>144624</v>
      </c>
      <c r="D767" t="s">
        <v>15</v>
      </c>
      <c r="E767" t="s">
        <v>12</v>
      </c>
      <c r="F767">
        <v>16</v>
      </c>
      <c r="G767">
        <v>2286228</v>
      </c>
      <c r="H767">
        <v>353</v>
      </c>
      <c r="I767">
        <v>603.38000199999999</v>
      </c>
      <c r="J767">
        <v>16</v>
      </c>
      <c r="K767">
        <v>7</v>
      </c>
    </row>
    <row r="768" spans="1:11" x14ac:dyDescent="0.25">
      <c r="A768">
        <v>1121602</v>
      </c>
      <c r="B768">
        <v>1178</v>
      </c>
      <c r="C768">
        <v>144624</v>
      </c>
      <c r="D768" t="s">
        <v>15</v>
      </c>
      <c r="E768" t="s">
        <v>12</v>
      </c>
      <c r="F768">
        <v>16</v>
      </c>
      <c r="G768">
        <v>915451</v>
      </c>
      <c r="H768">
        <v>125</v>
      </c>
      <c r="I768">
        <v>220.559999</v>
      </c>
      <c r="J768">
        <v>6</v>
      </c>
      <c r="K768">
        <v>1</v>
      </c>
    </row>
    <row r="769" spans="1:11" x14ac:dyDescent="0.25">
      <c r="A769">
        <v>1121603</v>
      </c>
      <c r="B769">
        <v>1178</v>
      </c>
      <c r="C769">
        <v>144624</v>
      </c>
      <c r="D769" t="s">
        <v>15</v>
      </c>
      <c r="E769" t="s">
        <v>12</v>
      </c>
      <c r="F769">
        <v>16</v>
      </c>
      <c r="G769">
        <v>159478</v>
      </c>
      <c r="H769">
        <v>20</v>
      </c>
      <c r="I769">
        <v>33.899999979999997</v>
      </c>
      <c r="J769">
        <v>3</v>
      </c>
      <c r="K769">
        <v>1</v>
      </c>
    </row>
    <row r="770" spans="1:11" x14ac:dyDescent="0.25">
      <c r="A770">
        <v>1121605</v>
      </c>
      <c r="B770">
        <v>1178</v>
      </c>
      <c r="C770">
        <v>144624</v>
      </c>
      <c r="D770" t="s">
        <v>15</v>
      </c>
      <c r="E770" t="s">
        <v>12</v>
      </c>
      <c r="F770">
        <v>16</v>
      </c>
      <c r="G770">
        <v>1228924</v>
      </c>
      <c r="H770">
        <v>190</v>
      </c>
      <c r="I770">
        <v>318.97000320000001</v>
      </c>
      <c r="J770">
        <v>6</v>
      </c>
      <c r="K770">
        <v>3</v>
      </c>
    </row>
    <row r="771" spans="1:11" x14ac:dyDescent="0.25">
      <c r="A771">
        <v>1121606</v>
      </c>
      <c r="B771">
        <v>1178</v>
      </c>
      <c r="C771">
        <v>144624</v>
      </c>
      <c r="D771" t="s">
        <v>15</v>
      </c>
      <c r="E771" t="s">
        <v>12</v>
      </c>
      <c r="F771">
        <v>16</v>
      </c>
      <c r="G771">
        <v>938283</v>
      </c>
      <c r="H771">
        <v>134</v>
      </c>
      <c r="I771">
        <v>248.64000010000001</v>
      </c>
      <c r="J771">
        <v>7</v>
      </c>
      <c r="K771">
        <v>2</v>
      </c>
    </row>
    <row r="772" spans="1:11" x14ac:dyDescent="0.25">
      <c r="A772">
        <v>1121607</v>
      </c>
      <c r="B772">
        <v>1178</v>
      </c>
      <c r="C772">
        <v>144625</v>
      </c>
      <c r="D772" t="s">
        <v>15</v>
      </c>
      <c r="E772" t="s">
        <v>12</v>
      </c>
      <c r="F772">
        <v>18</v>
      </c>
      <c r="G772">
        <v>154572</v>
      </c>
      <c r="H772">
        <v>26</v>
      </c>
      <c r="I772">
        <v>40.930000069999998</v>
      </c>
      <c r="J772">
        <v>1</v>
      </c>
      <c r="K772">
        <v>1</v>
      </c>
    </row>
    <row r="773" spans="1:11" x14ac:dyDescent="0.25">
      <c r="A773">
        <v>1121609</v>
      </c>
      <c r="B773">
        <v>1178</v>
      </c>
      <c r="C773">
        <v>144625</v>
      </c>
      <c r="D773" t="s">
        <v>15</v>
      </c>
      <c r="E773" t="s">
        <v>12</v>
      </c>
      <c r="F773">
        <v>18</v>
      </c>
      <c r="G773">
        <v>378171</v>
      </c>
      <c r="H773">
        <v>70</v>
      </c>
      <c r="I773">
        <v>109.2500008</v>
      </c>
      <c r="J773">
        <v>1</v>
      </c>
      <c r="K773">
        <v>0</v>
      </c>
    </row>
    <row r="774" spans="1:11" x14ac:dyDescent="0.25">
      <c r="A774">
        <v>1121612</v>
      </c>
      <c r="B774">
        <v>1178</v>
      </c>
      <c r="C774">
        <v>144625</v>
      </c>
      <c r="D774" t="s">
        <v>15</v>
      </c>
      <c r="E774" t="s">
        <v>12</v>
      </c>
      <c r="F774">
        <v>18</v>
      </c>
      <c r="G774">
        <v>468749</v>
      </c>
      <c r="H774">
        <v>84</v>
      </c>
      <c r="I774">
        <v>134.11999750000001</v>
      </c>
      <c r="J774">
        <v>6</v>
      </c>
      <c r="K774">
        <v>1</v>
      </c>
    </row>
    <row r="775" spans="1:11" x14ac:dyDescent="0.25">
      <c r="A775">
        <v>1121613</v>
      </c>
      <c r="B775">
        <v>1178</v>
      </c>
      <c r="C775">
        <v>144626</v>
      </c>
      <c r="D775" t="s">
        <v>15</v>
      </c>
      <c r="E775" t="s">
        <v>12</v>
      </c>
      <c r="F775">
        <v>19</v>
      </c>
      <c r="G775">
        <v>309823</v>
      </c>
      <c r="H775">
        <v>60</v>
      </c>
      <c r="I775">
        <v>103.3899996</v>
      </c>
      <c r="J775">
        <v>4</v>
      </c>
      <c r="K775">
        <v>4</v>
      </c>
    </row>
    <row r="776" spans="1:11" x14ac:dyDescent="0.25">
      <c r="A776">
        <v>1121615</v>
      </c>
      <c r="B776">
        <v>1178</v>
      </c>
      <c r="C776">
        <v>144626</v>
      </c>
      <c r="D776" t="s">
        <v>15</v>
      </c>
      <c r="E776" t="s">
        <v>12</v>
      </c>
      <c r="F776">
        <v>19</v>
      </c>
      <c r="G776">
        <v>327227</v>
      </c>
      <c r="H776">
        <v>65</v>
      </c>
      <c r="I776">
        <v>116.5599996</v>
      </c>
      <c r="J776">
        <v>5</v>
      </c>
      <c r="K776">
        <v>0</v>
      </c>
    </row>
    <row r="777" spans="1:11" x14ac:dyDescent="0.25">
      <c r="A777">
        <v>1121616</v>
      </c>
      <c r="B777">
        <v>1178</v>
      </c>
      <c r="C777">
        <v>144626</v>
      </c>
      <c r="D777" t="s">
        <v>15</v>
      </c>
      <c r="E777" t="s">
        <v>12</v>
      </c>
      <c r="F777">
        <v>19</v>
      </c>
      <c r="G777">
        <v>334945</v>
      </c>
      <c r="H777">
        <v>72</v>
      </c>
      <c r="I777">
        <v>120.2999994</v>
      </c>
      <c r="J777">
        <v>2</v>
      </c>
      <c r="K777">
        <v>1</v>
      </c>
    </row>
    <row r="778" spans="1:11" x14ac:dyDescent="0.25">
      <c r="A778">
        <v>1121617</v>
      </c>
      <c r="B778">
        <v>1178</v>
      </c>
      <c r="C778">
        <v>144626</v>
      </c>
      <c r="D778" t="s">
        <v>15</v>
      </c>
      <c r="E778" t="s">
        <v>12</v>
      </c>
      <c r="F778">
        <v>19</v>
      </c>
      <c r="G778">
        <v>68859</v>
      </c>
      <c r="H778">
        <v>15</v>
      </c>
      <c r="I778">
        <v>25.459999679999999</v>
      </c>
      <c r="J778">
        <v>1</v>
      </c>
      <c r="K778">
        <v>0</v>
      </c>
    </row>
    <row r="779" spans="1:11" x14ac:dyDescent="0.25">
      <c r="A779">
        <v>1121619</v>
      </c>
      <c r="B779">
        <v>1178</v>
      </c>
      <c r="C779">
        <v>144627</v>
      </c>
      <c r="D779" t="s">
        <v>15</v>
      </c>
      <c r="E779" t="s">
        <v>12</v>
      </c>
      <c r="F779">
        <v>20</v>
      </c>
      <c r="G779">
        <v>127125</v>
      </c>
      <c r="H779">
        <v>20</v>
      </c>
      <c r="I779">
        <v>35.67999983</v>
      </c>
      <c r="J779">
        <v>2</v>
      </c>
      <c r="K779">
        <v>0</v>
      </c>
    </row>
    <row r="780" spans="1:11" x14ac:dyDescent="0.25">
      <c r="A780">
        <v>1121620</v>
      </c>
      <c r="B780">
        <v>1178</v>
      </c>
      <c r="C780">
        <v>144627</v>
      </c>
      <c r="D780" t="s">
        <v>15</v>
      </c>
      <c r="E780" t="s">
        <v>12</v>
      </c>
      <c r="F780">
        <v>20</v>
      </c>
      <c r="G780">
        <v>415798</v>
      </c>
      <c r="H780">
        <v>80</v>
      </c>
      <c r="I780">
        <v>131.78000059999999</v>
      </c>
      <c r="J780">
        <v>3</v>
      </c>
      <c r="K780">
        <v>1</v>
      </c>
    </row>
    <row r="781" spans="1:11" x14ac:dyDescent="0.25">
      <c r="A781">
        <v>1121622</v>
      </c>
      <c r="B781">
        <v>1178</v>
      </c>
      <c r="C781">
        <v>144627</v>
      </c>
      <c r="D781" t="s">
        <v>15</v>
      </c>
      <c r="E781" t="s">
        <v>12</v>
      </c>
      <c r="F781">
        <v>20</v>
      </c>
      <c r="G781">
        <v>107671</v>
      </c>
      <c r="H781">
        <v>20</v>
      </c>
      <c r="I781">
        <v>29.91000021</v>
      </c>
      <c r="J781">
        <v>1</v>
      </c>
      <c r="K781">
        <v>1</v>
      </c>
    </row>
    <row r="782" spans="1:11" x14ac:dyDescent="0.25">
      <c r="A782">
        <v>1121623</v>
      </c>
      <c r="B782">
        <v>1178</v>
      </c>
      <c r="C782">
        <v>144627</v>
      </c>
      <c r="D782" t="s">
        <v>15</v>
      </c>
      <c r="E782" t="s">
        <v>12</v>
      </c>
      <c r="F782">
        <v>20</v>
      </c>
      <c r="G782">
        <v>164356</v>
      </c>
      <c r="H782">
        <v>28</v>
      </c>
      <c r="I782">
        <v>46.790000200000001</v>
      </c>
      <c r="J782">
        <v>2</v>
      </c>
      <c r="K782">
        <v>1</v>
      </c>
    </row>
    <row r="783" spans="1:11" x14ac:dyDescent="0.25">
      <c r="A783">
        <v>1121624</v>
      </c>
      <c r="B783">
        <v>1178</v>
      </c>
      <c r="C783">
        <v>144627</v>
      </c>
      <c r="D783" t="s">
        <v>15</v>
      </c>
      <c r="E783" t="s">
        <v>12</v>
      </c>
      <c r="F783">
        <v>20</v>
      </c>
      <c r="G783">
        <v>17662</v>
      </c>
      <c r="H783">
        <v>2</v>
      </c>
      <c r="I783">
        <v>3.1899999380000001</v>
      </c>
      <c r="J783">
        <v>1</v>
      </c>
      <c r="K783">
        <v>0</v>
      </c>
    </row>
    <row r="784" spans="1:11" x14ac:dyDescent="0.25">
      <c r="A784">
        <v>1121627</v>
      </c>
      <c r="B784">
        <v>1178</v>
      </c>
      <c r="C784">
        <v>144628</v>
      </c>
      <c r="D784" t="s">
        <v>15</v>
      </c>
      <c r="E784" t="s">
        <v>12</v>
      </c>
      <c r="F784">
        <v>21</v>
      </c>
      <c r="G784">
        <v>65339</v>
      </c>
      <c r="H784">
        <v>10</v>
      </c>
      <c r="I784">
        <v>16.67999983</v>
      </c>
      <c r="J784">
        <v>2</v>
      </c>
      <c r="K784">
        <v>0</v>
      </c>
    </row>
    <row r="785" spans="1:11" x14ac:dyDescent="0.25">
      <c r="A785">
        <v>1121628</v>
      </c>
      <c r="B785">
        <v>1178</v>
      </c>
      <c r="C785">
        <v>144628</v>
      </c>
      <c r="D785" t="s">
        <v>15</v>
      </c>
      <c r="E785" t="s">
        <v>12</v>
      </c>
      <c r="F785">
        <v>21</v>
      </c>
      <c r="G785">
        <v>59838</v>
      </c>
      <c r="H785">
        <v>7</v>
      </c>
      <c r="I785">
        <v>11.11000013</v>
      </c>
      <c r="J785">
        <v>1</v>
      </c>
      <c r="K785">
        <v>0</v>
      </c>
    </row>
    <row r="786" spans="1:11" x14ac:dyDescent="0.25">
      <c r="A786">
        <v>1121629</v>
      </c>
      <c r="B786">
        <v>1178</v>
      </c>
      <c r="C786">
        <v>144628</v>
      </c>
      <c r="D786" t="s">
        <v>15</v>
      </c>
      <c r="E786" t="s">
        <v>12</v>
      </c>
      <c r="F786">
        <v>21</v>
      </c>
      <c r="G786">
        <v>381577</v>
      </c>
      <c r="H786">
        <v>81</v>
      </c>
      <c r="I786">
        <v>127.56999930000001</v>
      </c>
      <c r="J786">
        <v>2</v>
      </c>
      <c r="K786">
        <v>0</v>
      </c>
    </row>
    <row r="787" spans="1:11" x14ac:dyDescent="0.25">
      <c r="A787">
        <v>1121635</v>
      </c>
      <c r="B787">
        <v>1178</v>
      </c>
      <c r="C787">
        <v>144629</v>
      </c>
      <c r="D787" t="s">
        <v>15</v>
      </c>
      <c r="E787" t="s">
        <v>12</v>
      </c>
      <c r="F787">
        <v>22</v>
      </c>
      <c r="G787">
        <v>45491</v>
      </c>
      <c r="H787">
        <v>8</v>
      </c>
      <c r="I787">
        <v>11.009999990000001</v>
      </c>
      <c r="J787">
        <v>1</v>
      </c>
      <c r="K787">
        <v>0</v>
      </c>
    </row>
    <row r="788" spans="1:11" x14ac:dyDescent="0.25">
      <c r="A788">
        <v>1121638</v>
      </c>
      <c r="B788">
        <v>1178</v>
      </c>
      <c r="C788">
        <v>144630</v>
      </c>
      <c r="D788" t="s">
        <v>15</v>
      </c>
      <c r="E788" t="s">
        <v>12</v>
      </c>
      <c r="F788">
        <v>23</v>
      </c>
      <c r="G788">
        <v>18946</v>
      </c>
      <c r="H788">
        <v>2</v>
      </c>
      <c r="I788">
        <v>3.5999999049999998</v>
      </c>
      <c r="J788">
        <v>1</v>
      </c>
      <c r="K788">
        <v>0</v>
      </c>
    </row>
    <row r="789" spans="1:11" x14ac:dyDescent="0.25">
      <c r="A789">
        <v>1121641</v>
      </c>
      <c r="B789">
        <v>1178</v>
      </c>
      <c r="C789">
        <v>144630</v>
      </c>
      <c r="D789" t="s">
        <v>15</v>
      </c>
      <c r="E789" t="s">
        <v>12</v>
      </c>
      <c r="F789">
        <v>23</v>
      </c>
      <c r="G789">
        <v>114370</v>
      </c>
      <c r="H789">
        <v>18</v>
      </c>
      <c r="I789">
        <v>33.659999970000001</v>
      </c>
      <c r="J789">
        <v>1</v>
      </c>
      <c r="K789">
        <v>0</v>
      </c>
    </row>
    <row r="790" spans="1:11" x14ac:dyDescent="0.25">
      <c r="A790">
        <v>1121642</v>
      </c>
      <c r="B790">
        <v>1178</v>
      </c>
      <c r="C790">
        <v>144630</v>
      </c>
      <c r="D790" t="s">
        <v>15</v>
      </c>
      <c r="E790" t="s">
        <v>12</v>
      </c>
      <c r="F790">
        <v>23</v>
      </c>
      <c r="G790">
        <v>99698</v>
      </c>
      <c r="H790">
        <v>21</v>
      </c>
      <c r="I790">
        <v>33.3499999</v>
      </c>
      <c r="J790">
        <v>1</v>
      </c>
      <c r="K790">
        <v>0</v>
      </c>
    </row>
    <row r="791" spans="1:11" x14ac:dyDescent="0.25">
      <c r="A791">
        <v>1121644</v>
      </c>
      <c r="B791">
        <v>1178</v>
      </c>
      <c r="C791">
        <v>144631</v>
      </c>
      <c r="D791" t="s">
        <v>15</v>
      </c>
      <c r="E791" t="s">
        <v>12</v>
      </c>
      <c r="F791">
        <v>24</v>
      </c>
      <c r="G791">
        <v>355165</v>
      </c>
      <c r="H791">
        <v>81</v>
      </c>
      <c r="I791">
        <v>128.6099997</v>
      </c>
      <c r="J791">
        <v>4</v>
      </c>
      <c r="K791">
        <v>3</v>
      </c>
    </row>
    <row r="792" spans="1:11" x14ac:dyDescent="0.25">
      <c r="A792">
        <v>1121650</v>
      </c>
      <c r="B792">
        <v>1178</v>
      </c>
      <c r="C792">
        <v>144632</v>
      </c>
      <c r="D792" t="s">
        <v>15</v>
      </c>
      <c r="E792" t="s">
        <v>12</v>
      </c>
      <c r="F792">
        <v>25</v>
      </c>
      <c r="G792">
        <v>101431</v>
      </c>
      <c r="H792">
        <v>23</v>
      </c>
      <c r="I792">
        <v>33.930000309999997</v>
      </c>
      <c r="J792">
        <v>1</v>
      </c>
      <c r="K792">
        <v>1</v>
      </c>
    </row>
    <row r="793" spans="1:11" x14ac:dyDescent="0.25">
      <c r="A793">
        <v>1121652</v>
      </c>
      <c r="B793">
        <v>1178</v>
      </c>
      <c r="C793">
        <v>144632</v>
      </c>
      <c r="D793" t="s">
        <v>15</v>
      </c>
      <c r="E793" t="s">
        <v>12</v>
      </c>
      <c r="F793">
        <v>25</v>
      </c>
      <c r="G793">
        <v>123151</v>
      </c>
      <c r="H793">
        <v>24</v>
      </c>
      <c r="I793">
        <v>36.440000300000001</v>
      </c>
      <c r="J793">
        <v>2</v>
      </c>
      <c r="K793">
        <v>1</v>
      </c>
    </row>
    <row r="794" spans="1:11" x14ac:dyDescent="0.25">
      <c r="A794">
        <v>1121660</v>
      </c>
      <c r="B794">
        <v>1178</v>
      </c>
      <c r="C794">
        <v>144633</v>
      </c>
      <c r="D794" t="s">
        <v>15</v>
      </c>
      <c r="E794" t="s">
        <v>12</v>
      </c>
      <c r="F794">
        <v>26</v>
      </c>
      <c r="G794">
        <v>24078</v>
      </c>
      <c r="H794">
        <v>4</v>
      </c>
      <c r="I794">
        <v>5.7699999809999998</v>
      </c>
      <c r="J794">
        <v>1</v>
      </c>
      <c r="K794">
        <v>0</v>
      </c>
    </row>
    <row r="795" spans="1:11" x14ac:dyDescent="0.25">
      <c r="A795">
        <v>1121661</v>
      </c>
      <c r="B795">
        <v>1178</v>
      </c>
      <c r="C795">
        <v>144634</v>
      </c>
      <c r="D795" t="s">
        <v>15</v>
      </c>
      <c r="E795" t="s">
        <v>12</v>
      </c>
      <c r="F795">
        <v>27</v>
      </c>
      <c r="G795">
        <v>517801</v>
      </c>
      <c r="H795">
        <v>105</v>
      </c>
      <c r="I795">
        <v>181.72000109999999</v>
      </c>
      <c r="J795">
        <v>3</v>
      </c>
      <c r="K795">
        <v>0</v>
      </c>
    </row>
    <row r="796" spans="1:11" x14ac:dyDescent="0.25">
      <c r="A796">
        <v>1121662</v>
      </c>
      <c r="B796">
        <v>1178</v>
      </c>
      <c r="C796">
        <v>144634</v>
      </c>
      <c r="D796" t="s">
        <v>15</v>
      </c>
      <c r="E796" t="s">
        <v>12</v>
      </c>
      <c r="F796">
        <v>27</v>
      </c>
      <c r="G796">
        <v>145104</v>
      </c>
      <c r="H796">
        <v>25</v>
      </c>
      <c r="I796">
        <v>41.420000080000001</v>
      </c>
      <c r="J796">
        <v>2</v>
      </c>
      <c r="K796">
        <v>1</v>
      </c>
    </row>
    <row r="797" spans="1:11" x14ac:dyDescent="0.25">
      <c r="A797">
        <v>1121664</v>
      </c>
      <c r="B797">
        <v>1178</v>
      </c>
      <c r="C797">
        <v>144634</v>
      </c>
      <c r="D797" t="s">
        <v>15</v>
      </c>
      <c r="E797" t="s">
        <v>12</v>
      </c>
      <c r="F797">
        <v>27</v>
      </c>
      <c r="G797">
        <v>179950</v>
      </c>
      <c r="H797">
        <v>35</v>
      </c>
      <c r="I797">
        <v>58.679999709999997</v>
      </c>
      <c r="J797">
        <v>1</v>
      </c>
      <c r="K797">
        <v>0</v>
      </c>
    </row>
    <row r="798" spans="1:11" x14ac:dyDescent="0.25">
      <c r="A798">
        <v>1121665</v>
      </c>
      <c r="B798">
        <v>1178</v>
      </c>
      <c r="C798">
        <v>144634</v>
      </c>
      <c r="D798" t="s">
        <v>15</v>
      </c>
      <c r="E798" t="s">
        <v>12</v>
      </c>
      <c r="F798">
        <v>27</v>
      </c>
      <c r="G798">
        <v>258531</v>
      </c>
      <c r="H798">
        <v>46</v>
      </c>
      <c r="I798">
        <v>80.339999789999993</v>
      </c>
      <c r="J798">
        <v>2</v>
      </c>
      <c r="K798">
        <v>0</v>
      </c>
    </row>
    <row r="799" spans="1:11" x14ac:dyDescent="0.25">
      <c r="A799">
        <v>1121666</v>
      </c>
      <c r="B799">
        <v>1178</v>
      </c>
      <c r="C799">
        <v>144634</v>
      </c>
      <c r="D799" t="s">
        <v>15</v>
      </c>
      <c r="E799" t="s">
        <v>12</v>
      </c>
      <c r="F799">
        <v>27</v>
      </c>
      <c r="G799">
        <v>272500</v>
      </c>
      <c r="H799">
        <v>62</v>
      </c>
      <c r="I799">
        <v>104.4599996</v>
      </c>
      <c r="J799">
        <v>3</v>
      </c>
      <c r="K799">
        <v>0</v>
      </c>
    </row>
    <row r="800" spans="1:11" x14ac:dyDescent="0.25">
      <c r="A800">
        <v>1121667</v>
      </c>
      <c r="B800">
        <v>1178</v>
      </c>
      <c r="C800">
        <v>144635</v>
      </c>
      <c r="D800" t="s">
        <v>15</v>
      </c>
      <c r="E800" t="s">
        <v>12</v>
      </c>
      <c r="F800">
        <v>28</v>
      </c>
      <c r="G800">
        <v>273197</v>
      </c>
      <c r="H800">
        <v>57</v>
      </c>
      <c r="I800">
        <v>87.730000500000003</v>
      </c>
      <c r="J800">
        <v>3</v>
      </c>
      <c r="K800">
        <v>0</v>
      </c>
    </row>
    <row r="801" spans="1:11" x14ac:dyDescent="0.25">
      <c r="A801">
        <v>1121668</v>
      </c>
      <c r="B801">
        <v>1178</v>
      </c>
      <c r="C801">
        <v>144635</v>
      </c>
      <c r="D801" t="s">
        <v>15</v>
      </c>
      <c r="E801" t="s">
        <v>12</v>
      </c>
      <c r="F801">
        <v>28</v>
      </c>
      <c r="G801">
        <v>775904</v>
      </c>
      <c r="H801">
        <v>172</v>
      </c>
      <c r="I801">
        <v>253.990002</v>
      </c>
      <c r="J801">
        <v>4</v>
      </c>
      <c r="K801">
        <v>2</v>
      </c>
    </row>
    <row r="802" spans="1:11" x14ac:dyDescent="0.25">
      <c r="A802">
        <v>1121669</v>
      </c>
      <c r="B802">
        <v>1178</v>
      </c>
      <c r="C802">
        <v>144635</v>
      </c>
      <c r="D802" t="s">
        <v>15</v>
      </c>
      <c r="E802" t="s">
        <v>12</v>
      </c>
      <c r="F802">
        <v>28</v>
      </c>
      <c r="G802">
        <v>120251</v>
      </c>
      <c r="H802">
        <v>26</v>
      </c>
      <c r="I802">
        <v>39.440000060000003</v>
      </c>
      <c r="J802">
        <v>1</v>
      </c>
      <c r="K802">
        <v>0</v>
      </c>
    </row>
    <row r="803" spans="1:11" x14ac:dyDescent="0.25">
      <c r="A803">
        <v>1121671</v>
      </c>
      <c r="B803">
        <v>1178</v>
      </c>
      <c r="C803">
        <v>144635</v>
      </c>
      <c r="D803" t="s">
        <v>15</v>
      </c>
      <c r="E803" t="s">
        <v>12</v>
      </c>
      <c r="F803">
        <v>28</v>
      </c>
      <c r="G803">
        <v>139406</v>
      </c>
      <c r="H803">
        <v>24</v>
      </c>
      <c r="I803">
        <v>39.049999479999997</v>
      </c>
      <c r="J803">
        <v>1</v>
      </c>
      <c r="K803">
        <v>0</v>
      </c>
    </row>
    <row r="804" spans="1:11" x14ac:dyDescent="0.25">
      <c r="A804">
        <v>1121672</v>
      </c>
      <c r="B804">
        <v>1178</v>
      </c>
      <c r="C804">
        <v>144635</v>
      </c>
      <c r="D804" t="s">
        <v>15</v>
      </c>
      <c r="E804" t="s">
        <v>12</v>
      </c>
      <c r="F804">
        <v>28</v>
      </c>
      <c r="G804">
        <v>60314</v>
      </c>
      <c r="H804">
        <v>11</v>
      </c>
      <c r="I804">
        <v>16.939999579999999</v>
      </c>
      <c r="J804">
        <v>2</v>
      </c>
      <c r="K804">
        <v>1</v>
      </c>
    </row>
    <row r="805" spans="1:11" x14ac:dyDescent="0.25">
      <c r="A805">
        <v>1121673</v>
      </c>
      <c r="B805">
        <v>1178</v>
      </c>
      <c r="C805">
        <v>144636</v>
      </c>
      <c r="D805" t="s">
        <v>15</v>
      </c>
      <c r="E805" t="s">
        <v>12</v>
      </c>
      <c r="F805">
        <v>29</v>
      </c>
      <c r="G805">
        <v>563074</v>
      </c>
      <c r="H805">
        <v>86</v>
      </c>
      <c r="I805">
        <v>142.70999850000001</v>
      </c>
      <c r="J805">
        <v>4</v>
      </c>
      <c r="K805">
        <v>2</v>
      </c>
    </row>
    <row r="806" spans="1:11" x14ac:dyDescent="0.25">
      <c r="A806">
        <v>1121674</v>
      </c>
      <c r="B806">
        <v>1178</v>
      </c>
      <c r="C806">
        <v>144636</v>
      </c>
      <c r="D806" t="s">
        <v>15</v>
      </c>
      <c r="E806" t="s">
        <v>12</v>
      </c>
      <c r="F806">
        <v>29</v>
      </c>
      <c r="G806">
        <v>168655</v>
      </c>
      <c r="H806">
        <v>18</v>
      </c>
      <c r="I806">
        <v>27.299999830000001</v>
      </c>
      <c r="J806">
        <v>2</v>
      </c>
      <c r="K806">
        <v>0</v>
      </c>
    </row>
    <row r="807" spans="1:11" x14ac:dyDescent="0.25">
      <c r="A807">
        <v>1121675</v>
      </c>
      <c r="B807">
        <v>1178</v>
      </c>
      <c r="C807">
        <v>144636</v>
      </c>
      <c r="D807" t="s">
        <v>15</v>
      </c>
      <c r="E807" t="s">
        <v>12</v>
      </c>
      <c r="F807">
        <v>29</v>
      </c>
      <c r="G807">
        <v>111963</v>
      </c>
      <c r="H807">
        <v>17</v>
      </c>
      <c r="I807">
        <v>29.379999399999999</v>
      </c>
      <c r="J807">
        <v>2</v>
      </c>
      <c r="K807">
        <v>1</v>
      </c>
    </row>
    <row r="808" spans="1:11" x14ac:dyDescent="0.25">
      <c r="A808">
        <v>1121676</v>
      </c>
      <c r="B808">
        <v>1178</v>
      </c>
      <c r="C808">
        <v>144636</v>
      </c>
      <c r="D808" t="s">
        <v>15</v>
      </c>
      <c r="E808" t="s">
        <v>12</v>
      </c>
      <c r="F808">
        <v>29</v>
      </c>
      <c r="G808">
        <v>1026304</v>
      </c>
      <c r="H808">
        <v>168</v>
      </c>
      <c r="I808">
        <v>277.57999860000001</v>
      </c>
      <c r="J808">
        <v>17</v>
      </c>
      <c r="K808">
        <v>8</v>
      </c>
    </row>
    <row r="809" spans="1:11" x14ac:dyDescent="0.25">
      <c r="A809">
        <v>1121677</v>
      </c>
      <c r="B809">
        <v>1178</v>
      </c>
      <c r="C809">
        <v>144636</v>
      </c>
      <c r="D809" t="s">
        <v>15</v>
      </c>
      <c r="E809" t="s">
        <v>12</v>
      </c>
      <c r="F809">
        <v>29</v>
      </c>
      <c r="G809">
        <v>1391924</v>
      </c>
      <c r="H809">
        <v>258</v>
      </c>
      <c r="I809">
        <v>422.84000379999998</v>
      </c>
      <c r="J809">
        <v>17</v>
      </c>
      <c r="K809">
        <v>10</v>
      </c>
    </row>
    <row r="810" spans="1:11" x14ac:dyDescent="0.25">
      <c r="A810">
        <v>1121678</v>
      </c>
      <c r="B810">
        <v>1178</v>
      </c>
      <c r="C810">
        <v>144636</v>
      </c>
      <c r="D810" t="s">
        <v>15</v>
      </c>
      <c r="E810" t="s">
        <v>12</v>
      </c>
      <c r="F810">
        <v>29</v>
      </c>
      <c r="G810">
        <v>147551</v>
      </c>
      <c r="H810">
        <v>22</v>
      </c>
      <c r="I810">
        <v>38.500000829999998</v>
      </c>
      <c r="J810">
        <v>1</v>
      </c>
      <c r="K810">
        <v>0</v>
      </c>
    </row>
    <row r="811" spans="1:11" x14ac:dyDescent="0.25">
      <c r="A811">
        <v>1121685</v>
      </c>
      <c r="B811">
        <v>1178</v>
      </c>
      <c r="C811">
        <v>144638</v>
      </c>
      <c r="D811" t="s">
        <v>15</v>
      </c>
      <c r="E811" t="s">
        <v>12</v>
      </c>
      <c r="F811">
        <v>31</v>
      </c>
      <c r="G811">
        <v>66794</v>
      </c>
      <c r="H811">
        <v>9</v>
      </c>
      <c r="I811">
        <v>17.3299998</v>
      </c>
      <c r="J811">
        <v>1</v>
      </c>
      <c r="K811">
        <v>1</v>
      </c>
    </row>
    <row r="812" spans="1:11" x14ac:dyDescent="0.25">
      <c r="A812">
        <v>1121687</v>
      </c>
      <c r="B812">
        <v>1178</v>
      </c>
      <c r="C812">
        <v>144638</v>
      </c>
      <c r="D812" t="s">
        <v>15</v>
      </c>
      <c r="E812" t="s">
        <v>12</v>
      </c>
      <c r="F812">
        <v>31</v>
      </c>
      <c r="G812">
        <v>118882</v>
      </c>
      <c r="H812">
        <v>19</v>
      </c>
      <c r="I812">
        <v>32.309999939999997</v>
      </c>
      <c r="J812">
        <v>2</v>
      </c>
      <c r="K812">
        <v>1</v>
      </c>
    </row>
    <row r="813" spans="1:11" x14ac:dyDescent="0.25">
      <c r="A813">
        <v>1121689</v>
      </c>
      <c r="B813">
        <v>1178</v>
      </c>
      <c r="C813">
        <v>144638</v>
      </c>
      <c r="D813" t="s">
        <v>15</v>
      </c>
      <c r="E813" t="s">
        <v>12</v>
      </c>
      <c r="F813">
        <v>31</v>
      </c>
      <c r="G813">
        <v>148010</v>
      </c>
      <c r="H813">
        <v>24</v>
      </c>
      <c r="I813">
        <v>41.969999430000001</v>
      </c>
      <c r="J813">
        <v>1</v>
      </c>
      <c r="K813">
        <v>0</v>
      </c>
    </row>
    <row r="814" spans="1:11" x14ac:dyDescent="0.25">
      <c r="A814">
        <v>1121691</v>
      </c>
      <c r="B814">
        <v>1178</v>
      </c>
      <c r="C814">
        <v>144639</v>
      </c>
      <c r="D814" t="s">
        <v>15</v>
      </c>
      <c r="E814" t="s">
        <v>12</v>
      </c>
      <c r="F814">
        <v>32</v>
      </c>
      <c r="G814">
        <v>932890</v>
      </c>
      <c r="H814">
        <v>197</v>
      </c>
      <c r="I814">
        <v>352.44999890000003</v>
      </c>
      <c r="J814">
        <v>3</v>
      </c>
      <c r="K814">
        <v>1</v>
      </c>
    </row>
    <row r="815" spans="1:11" x14ac:dyDescent="0.25">
      <c r="A815">
        <v>1121692</v>
      </c>
      <c r="B815">
        <v>1178</v>
      </c>
      <c r="C815">
        <v>144639</v>
      </c>
      <c r="D815" t="s">
        <v>15</v>
      </c>
      <c r="E815" t="s">
        <v>12</v>
      </c>
      <c r="F815">
        <v>32</v>
      </c>
      <c r="G815">
        <v>718359</v>
      </c>
      <c r="H815">
        <v>147</v>
      </c>
      <c r="I815">
        <v>264.58999970000002</v>
      </c>
      <c r="J815">
        <v>4</v>
      </c>
      <c r="K815">
        <v>1</v>
      </c>
    </row>
    <row r="816" spans="1:11" x14ac:dyDescent="0.25">
      <c r="A816">
        <v>1121693</v>
      </c>
      <c r="B816">
        <v>1178</v>
      </c>
      <c r="C816">
        <v>144639</v>
      </c>
      <c r="D816" t="s">
        <v>15</v>
      </c>
      <c r="E816" t="s">
        <v>12</v>
      </c>
      <c r="F816">
        <v>32</v>
      </c>
      <c r="G816">
        <v>433658</v>
      </c>
      <c r="H816">
        <v>82</v>
      </c>
      <c r="I816">
        <v>158.59999980000001</v>
      </c>
      <c r="J816">
        <v>5</v>
      </c>
      <c r="K816">
        <v>2</v>
      </c>
    </row>
    <row r="817" spans="1:11" x14ac:dyDescent="0.25">
      <c r="A817">
        <v>1121695</v>
      </c>
      <c r="B817">
        <v>1178</v>
      </c>
      <c r="C817">
        <v>144639</v>
      </c>
      <c r="D817" t="s">
        <v>15</v>
      </c>
      <c r="E817" t="s">
        <v>12</v>
      </c>
      <c r="F817">
        <v>32</v>
      </c>
      <c r="G817">
        <v>29455</v>
      </c>
      <c r="H817">
        <v>3</v>
      </c>
      <c r="I817">
        <v>4.7699999809999998</v>
      </c>
      <c r="J817">
        <v>1</v>
      </c>
      <c r="K817">
        <v>0</v>
      </c>
    </row>
    <row r="818" spans="1:11" x14ac:dyDescent="0.25">
      <c r="A818">
        <v>1121701</v>
      </c>
      <c r="B818">
        <v>1178</v>
      </c>
      <c r="C818">
        <v>144640</v>
      </c>
      <c r="D818" t="s">
        <v>15</v>
      </c>
      <c r="E818" t="s">
        <v>12</v>
      </c>
      <c r="F818">
        <v>36</v>
      </c>
      <c r="G818">
        <v>23973</v>
      </c>
      <c r="H818">
        <v>3</v>
      </c>
      <c r="I818">
        <v>4.8200000520000001</v>
      </c>
      <c r="J818">
        <v>1</v>
      </c>
      <c r="K818">
        <v>1</v>
      </c>
    </row>
    <row r="819" spans="1:11" x14ac:dyDescent="0.25">
      <c r="A819">
        <v>1121705</v>
      </c>
      <c r="B819">
        <v>1178</v>
      </c>
      <c r="C819">
        <v>144641</v>
      </c>
      <c r="D819" t="s">
        <v>15</v>
      </c>
      <c r="E819" t="s">
        <v>12</v>
      </c>
      <c r="F819">
        <v>63</v>
      </c>
      <c r="G819">
        <v>126480</v>
      </c>
      <c r="H819">
        <v>25</v>
      </c>
      <c r="I819">
        <v>37.259999989999997</v>
      </c>
      <c r="J819">
        <v>1</v>
      </c>
      <c r="K819">
        <v>1</v>
      </c>
    </row>
    <row r="820" spans="1:11" x14ac:dyDescent="0.25">
      <c r="A820">
        <v>1121706</v>
      </c>
      <c r="B820">
        <v>1178</v>
      </c>
      <c r="C820">
        <v>144641</v>
      </c>
      <c r="D820" t="s">
        <v>15</v>
      </c>
      <c r="E820" t="s">
        <v>12</v>
      </c>
      <c r="F820">
        <v>63</v>
      </c>
      <c r="G820">
        <v>138959</v>
      </c>
      <c r="H820">
        <v>28</v>
      </c>
      <c r="I820">
        <v>39.520000699999997</v>
      </c>
      <c r="J820">
        <v>1</v>
      </c>
      <c r="K820">
        <v>0</v>
      </c>
    </row>
    <row r="821" spans="1:11" x14ac:dyDescent="0.25">
      <c r="A821">
        <v>1121708</v>
      </c>
      <c r="B821">
        <v>1178</v>
      </c>
      <c r="C821">
        <v>144641</v>
      </c>
      <c r="D821" t="s">
        <v>15</v>
      </c>
      <c r="E821" t="s">
        <v>12</v>
      </c>
      <c r="F821">
        <v>63</v>
      </c>
      <c r="G821">
        <v>68829</v>
      </c>
      <c r="H821">
        <v>12</v>
      </c>
      <c r="I821">
        <v>19.47999978</v>
      </c>
      <c r="J821">
        <v>1</v>
      </c>
      <c r="K821">
        <v>0</v>
      </c>
    </row>
    <row r="822" spans="1:11" x14ac:dyDescent="0.25">
      <c r="A822">
        <v>1121711</v>
      </c>
      <c r="B822">
        <v>1178</v>
      </c>
      <c r="C822">
        <v>144642</v>
      </c>
      <c r="D822" t="s">
        <v>15</v>
      </c>
      <c r="E822" t="s">
        <v>12</v>
      </c>
      <c r="F822">
        <v>64</v>
      </c>
      <c r="G822">
        <v>49916</v>
      </c>
      <c r="H822">
        <v>10</v>
      </c>
      <c r="I822">
        <v>16.38</v>
      </c>
      <c r="J822">
        <v>1</v>
      </c>
      <c r="K822">
        <v>1</v>
      </c>
    </row>
    <row r="823" spans="1:11" x14ac:dyDescent="0.25">
      <c r="A823">
        <v>1121716</v>
      </c>
      <c r="B823">
        <v>1178</v>
      </c>
      <c r="C823">
        <v>144643</v>
      </c>
      <c r="D823" t="s">
        <v>15</v>
      </c>
      <c r="E823" t="s">
        <v>12</v>
      </c>
      <c r="F823">
        <v>65</v>
      </c>
      <c r="G823">
        <v>76014</v>
      </c>
      <c r="H823">
        <v>16</v>
      </c>
      <c r="I823">
        <v>22.670000309999999</v>
      </c>
      <c r="J823">
        <v>1</v>
      </c>
      <c r="K823">
        <v>1</v>
      </c>
    </row>
    <row r="824" spans="1:11" x14ac:dyDescent="0.25">
      <c r="A824">
        <v>1121723</v>
      </c>
      <c r="B824">
        <v>1178</v>
      </c>
      <c r="C824">
        <v>144644</v>
      </c>
      <c r="D824" t="s">
        <v>15</v>
      </c>
      <c r="E824" t="s">
        <v>12</v>
      </c>
      <c r="F824">
        <v>2</v>
      </c>
      <c r="G824">
        <v>50947</v>
      </c>
      <c r="H824">
        <v>10</v>
      </c>
      <c r="I824">
        <v>15.99000025</v>
      </c>
      <c r="J824">
        <v>1</v>
      </c>
      <c r="K824">
        <v>0</v>
      </c>
    </row>
    <row r="825" spans="1:11" x14ac:dyDescent="0.25">
      <c r="A825">
        <v>1121733</v>
      </c>
      <c r="B825">
        <v>1178</v>
      </c>
      <c r="C825">
        <v>144646</v>
      </c>
      <c r="D825" t="s">
        <v>15</v>
      </c>
      <c r="E825" t="s">
        <v>12</v>
      </c>
      <c r="F825">
        <v>66</v>
      </c>
      <c r="G825">
        <v>55536</v>
      </c>
      <c r="H825">
        <v>11</v>
      </c>
      <c r="I825">
        <v>17.04999995</v>
      </c>
      <c r="J825">
        <v>1</v>
      </c>
      <c r="K825">
        <v>0</v>
      </c>
    </row>
    <row r="826" spans="1:11" x14ac:dyDescent="0.25">
      <c r="A826">
        <v>1121741</v>
      </c>
      <c r="B826">
        <v>1178</v>
      </c>
      <c r="C826">
        <v>144647</v>
      </c>
      <c r="D826" t="s">
        <v>11</v>
      </c>
      <c r="E826" t="s">
        <v>16</v>
      </c>
      <c r="F826">
        <v>10</v>
      </c>
      <c r="G826">
        <v>318042</v>
      </c>
      <c r="H826">
        <v>46</v>
      </c>
      <c r="I826">
        <v>64.409999970000001</v>
      </c>
      <c r="J826">
        <v>8</v>
      </c>
      <c r="K826">
        <v>4</v>
      </c>
    </row>
    <row r="827" spans="1:11" x14ac:dyDescent="0.25">
      <c r="A827">
        <v>1121742</v>
      </c>
      <c r="B827">
        <v>1178</v>
      </c>
      <c r="C827">
        <v>144647</v>
      </c>
      <c r="D827" t="s">
        <v>11</v>
      </c>
      <c r="E827" t="s">
        <v>16</v>
      </c>
      <c r="F827">
        <v>10</v>
      </c>
      <c r="G827">
        <v>213016</v>
      </c>
      <c r="H827">
        <v>30</v>
      </c>
      <c r="I827">
        <v>44.219999549999997</v>
      </c>
      <c r="J827">
        <v>8</v>
      </c>
      <c r="K827">
        <v>2</v>
      </c>
    </row>
    <row r="828" spans="1:11" x14ac:dyDescent="0.25">
      <c r="A828">
        <v>1121745</v>
      </c>
      <c r="B828">
        <v>1178</v>
      </c>
      <c r="C828">
        <v>144648</v>
      </c>
      <c r="D828" t="s">
        <v>11</v>
      </c>
      <c r="E828" t="s">
        <v>16</v>
      </c>
      <c r="F828">
        <v>15</v>
      </c>
      <c r="G828">
        <v>182265</v>
      </c>
      <c r="H828">
        <v>27</v>
      </c>
      <c r="I828">
        <v>38.180000069999998</v>
      </c>
      <c r="J828">
        <v>2</v>
      </c>
      <c r="K828">
        <v>1</v>
      </c>
    </row>
    <row r="829" spans="1:11" x14ac:dyDescent="0.25">
      <c r="A829">
        <v>1121746</v>
      </c>
      <c r="B829">
        <v>1178</v>
      </c>
      <c r="C829">
        <v>144648</v>
      </c>
      <c r="D829" t="s">
        <v>11</v>
      </c>
      <c r="E829" t="s">
        <v>16</v>
      </c>
      <c r="F829">
        <v>15</v>
      </c>
      <c r="G829">
        <v>1117371</v>
      </c>
      <c r="H829">
        <v>177</v>
      </c>
      <c r="I829">
        <v>268.05000200000001</v>
      </c>
      <c r="J829">
        <v>26</v>
      </c>
      <c r="K829">
        <v>5</v>
      </c>
    </row>
    <row r="830" spans="1:11" x14ac:dyDescent="0.25">
      <c r="A830">
        <v>1121749</v>
      </c>
      <c r="B830">
        <v>1178</v>
      </c>
      <c r="C830">
        <v>144648</v>
      </c>
      <c r="D830" t="s">
        <v>11</v>
      </c>
      <c r="E830" t="s">
        <v>16</v>
      </c>
      <c r="F830">
        <v>15</v>
      </c>
      <c r="G830">
        <v>333345</v>
      </c>
      <c r="H830">
        <v>52</v>
      </c>
      <c r="I830">
        <v>77.590000270000004</v>
      </c>
      <c r="J830">
        <v>5</v>
      </c>
      <c r="K830">
        <v>1</v>
      </c>
    </row>
    <row r="831" spans="1:11" x14ac:dyDescent="0.25">
      <c r="A831">
        <v>1121751</v>
      </c>
      <c r="B831">
        <v>1178</v>
      </c>
      <c r="C831">
        <v>144649</v>
      </c>
      <c r="D831" t="s">
        <v>11</v>
      </c>
      <c r="E831" t="s">
        <v>16</v>
      </c>
      <c r="F831">
        <v>16</v>
      </c>
      <c r="G831">
        <v>275930</v>
      </c>
      <c r="H831">
        <v>30</v>
      </c>
      <c r="I831">
        <v>46.779999969999999</v>
      </c>
      <c r="J831">
        <v>5</v>
      </c>
      <c r="K831">
        <v>2</v>
      </c>
    </row>
    <row r="832" spans="1:11" x14ac:dyDescent="0.25">
      <c r="A832">
        <v>1121753</v>
      </c>
      <c r="B832">
        <v>1178</v>
      </c>
      <c r="C832">
        <v>144649</v>
      </c>
      <c r="D832" t="s">
        <v>11</v>
      </c>
      <c r="E832" t="s">
        <v>16</v>
      </c>
      <c r="F832">
        <v>16</v>
      </c>
      <c r="G832">
        <v>740631</v>
      </c>
      <c r="H832">
        <v>101</v>
      </c>
      <c r="I832">
        <v>153.11999750000001</v>
      </c>
      <c r="J832">
        <v>9</v>
      </c>
      <c r="K832">
        <v>1</v>
      </c>
    </row>
    <row r="833" spans="1:11" x14ac:dyDescent="0.25">
      <c r="A833">
        <v>1121754</v>
      </c>
      <c r="B833">
        <v>1178</v>
      </c>
      <c r="C833">
        <v>144649</v>
      </c>
      <c r="D833" t="s">
        <v>11</v>
      </c>
      <c r="E833" t="s">
        <v>16</v>
      </c>
      <c r="F833">
        <v>16</v>
      </c>
      <c r="G833">
        <v>328272</v>
      </c>
      <c r="H833">
        <v>35</v>
      </c>
      <c r="I833">
        <v>55.990000250000001</v>
      </c>
      <c r="J833">
        <v>2</v>
      </c>
      <c r="K833">
        <v>1</v>
      </c>
    </row>
    <row r="834" spans="1:11" x14ac:dyDescent="0.25">
      <c r="A834">
        <v>1121755</v>
      </c>
      <c r="B834">
        <v>1178</v>
      </c>
      <c r="C834">
        <v>144649</v>
      </c>
      <c r="D834" t="s">
        <v>11</v>
      </c>
      <c r="E834" t="s">
        <v>16</v>
      </c>
      <c r="F834">
        <v>16</v>
      </c>
      <c r="G834">
        <v>178455</v>
      </c>
      <c r="H834">
        <v>20</v>
      </c>
      <c r="I834">
        <v>31.540000200000001</v>
      </c>
      <c r="J834">
        <v>6</v>
      </c>
      <c r="K834">
        <v>3</v>
      </c>
    </row>
    <row r="835" spans="1:11" x14ac:dyDescent="0.25">
      <c r="A835">
        <v>1121756</v>
      </c>
      <c r="B835">
        <v>1178</v>
      </c>
      <c r="C835">
        <v>144649</v>
      </c>
      <c r="D835" t="s">
        <v>11</v>
      </c>
      <c r="E835" t="s">
        <v>16</v>
      </c>
      <c r="F835">
        <v>16</v>
      </c>
      <c r="G835">
        <v>705712</v>
      </c>
      <c r="H835">
        <v>98</v>
      </c>
      <c r="I835">
        <v>147.33999900000001</v>
      </c>
      <c r="J835">
        <v>6</v>
      </c>
      <c r="K835">
        <v>1</v>
      </c>
    </row>
    <row r="836" spans="1:11" x14ac:dyDescent="0.25">
      <c r="A836">
        <v>1121758</v>
      </c>
      <c r="B836">
        <v>1178</v>
      </c>
      <c r="C836">
        <v>144650</v>
      </c>
      <c r="D836" t="s">
        <v>11</v>
      </c>
      <c r="E836" t="s">
        <v>16</v>
      </c>
      <c r="F836">
        <v>18</v>
      </c>
      <c r="G836">
        <v>690373</v>
      </c>
      <c r="H836">
        <v>91</v>
      </c>
      <c r="I836">
        <v>159.57000210000001</v>
      </c>
      <c r="J836">
        <v>5</v>
      </c>
      <c r="K836">
        <v>2</v>
      </c>
    </row>
    <row r="837" spans="1:11" x14ac:dyDescent="0.25">
      <c r="A837">
        <v>1121759</v>
      </c>
      <c r="B837">
        <v>1178</v>
      </c>
      <c r="C837">
        <v>144650</v>
      </c>
      <c r="D837" t="s">
        <v>11</v>
      </c>
      <c r="E837" t="s">
        <v>16</v>
      </c>
      <c r="F837">
        <v>18</v>
      </c>
      <c r="G837">
        <v>515812</v>
      </c>
      <c r="H837">
        <v>69</v>
      </c>
      <c r="I837">
        <v>117.6299995</v>
      </c>
      <c r="J837">
        <v>3</v>
      </c>
      <c r="K837">
        <v>1</v>
      </c>
    </row>
    <row r="838" spans="1:11" x14ac:dyDescent="0.25">
      <c r="A838">
        <v>1121760</v>
      </c>
      <c r="B838">
        <v>1178</v>
      </c>
      <c r="C838">
        <v>144650</v>
      </c>
      <c r="D838" t="s">
        <v>11</v>
      </c>
      <c r="E838" t="s">
        <v>16</v>
      </c>
      <c r="F838">
        <v>18</v>
      </c>
      <c r="G838">
        <v>764793</v>
      </c>
      <c r="H838">
        <v>101</v>
      </c>
      <c r="I838">
        <v>171.97999759999999</v>
      </c>
      <c r="J838">
        <v>4</v>
      </c>
      <c r="K838">
        <v>2</v>
      </c>
    </row>
    <row r="839" spans="1:11" x14ac:dyDescent="0.25">
      <c r="A839">
        <v>1121763</v>
      </c>
      <c r="B839">
        <v>1178</v>
      </c>
      <c r="C839">
        <v>144651</v>
      </c>
      <c r="D839" t="s">
        <v>11</v>
      </c>
      <c r="E839" t="s">
        <v>16</v>
      </c>
      <c r="F839">
        <v>19</v>
      </c>
      <c r="G839">
        <v>87832</v>
      </c>
      <c r="H839">
        <v>11</v>
      </c>
      <c r="I839">
        <v>18.100000380000001</v>
      </c>
      <c r="J839">
        <v>1</v>
      </c>
      <c r="K839">
        <v>1</v>
      </c>
    </row>
    <row r="840" spans="1:11" x14ac:dyDescent="0.25">
      <c r="A840">
        <v>1121764</v>
      </c>
      <c r="B840">
        <v>1178</v>
      </c>
      <c r="C840">
        <v>144651</v>
      </c>
      <c r="D840" t="s">
        <v>11</v>
      </c>
      <c r="E840" t="s">
        <v>16</v>
      </c>
      <c r="F840">
        <v>19</v>
      </c>
      <c r="G840">
        <v>23368</v>
      </c>
      <c r="H840">
        <v>3</v>
      </c>
      <c r="I840">
        <v>4.3000001909999996</v>
      </c>
      <c r="J840">
        <v>1</v>
      </c>
      <c r="K840">
        <v>0</v>
      </c>
    </row>
    <row r="841" spans="1:11" x14ac:dyDescent="0.25">
      <c r="A841">
        <v>1121765</v>
      </c>
      <c r="B841">
        <v>1178</v>
      </c>
      <c r="C841">
        <v>144651</v>
      </c>
      <c r="D841" t="s">
        <v>11</v>
      </c>
      <c r="E841" t="s">
        <v>16</v>
      </c>
      <c r="F841">
        <v>19</v>
      </c>
      <c r="G841">
        <v>51509</v>
      </c>
      <c r="H841">
        <v>7</v>
      </c>
      <c r="I841">
        <v>11.570000050000001</v>
      </c>
      <c r="J841">
        <v>1</v>
      </c>
      <c r="K841">
        <v>0</v>
      </c>
    </row>
    <row r="842" spans="1:11" x14ac:dyDescent="0.25">
      <c r="A842">
        <v>1121767</v>
      </c>
      <c r="B842">
        <v>1178</v>
      </c>
      <c r="C842">
        <v>144651</v>
      </c>
      <c r="D842" t="s">
        <v>11</v>
      </c>
      <c r="E842" t="s">
        <v>16</v>
      </c>
      <c r="F842">
        <v>19</v>
      </c>
      <c r="G842">
        <v>87043</v>
      </c>
      <c r="H842">
        <v>16</v>
      </c>
      <c r="I842">
        <v>24.480000019999999</v>
      </c>
      <c r="J842">
        <v>2</v>
      </c>
      <c r="K842">
        <v>0</v>
      </c>
    </row>
    <row r="843" spans="1:11" x14ac:dyDescent="0.25">
      <c r="A843">
        <v>1121768</v>
      </c>
      <c r="B843">
        <v>1178</v>
      </c>
      <c r="C843">
        <v>144651</v>
      </c>
      <c r="D843" t="s">
        <v>11</v>
      </c>
      <c r="E843" t="s">
        <v>16</v>
      </c>
      <c r="F843">
        <v>19</v>
      </c>
      <c r="G843">
        <v>565565</v>
      </c>
      <c r="H843">
        <v>113</v>
      </c>
      <c r="I843">
        <v>169.66999820000001</v>
      </c>
      <c r="J843">
        <v>7</v>
      </c>
      <c r="K843">
        <v>4</v>
      </c>
    </row>
    <row r="844" spans="1:11" x14ac:dyDescent="0.25">
      <c r="A844">
        <v>1121769</v>
      </c>
      <c r="B844">
        <v>1178</v>
      </c>
      <c r="C844">
        <v>144652</v>
      </c>
      <c r="D844" t="s">
        <v>11</v>
      </c>
      <c r="E844" t="s">
        <v>16</v>
      </c>
      <c r="F844">
        <v>20</v>
      </c>
      <c r="G844">
        <v>253758</v>
      </c>
      <c r="H844">
        <v>43</v>
      </c>
      <c r="I844">
        <v>62.14000034</v>
      </c>
      <c r="J844">
        <v>4</v>
      </c>
      <c r="K844">
        <v>1</v>
      </c>
    </row>
    <row r="845" spans="1:11" x14ac:dyDescent="0.25">
      <c r="A845">
        <v>1121773</v>
      </c>
      <c r="B845">
        <v>1178</v>
      </c>
      <c r="C845">
        <v>144652</v>
      </c>
      <c r="D845" t="s">
        <v>11</v>
      </c>
      <c r="E845" t="s">
        <v>16</v>
      </c>
      <c r="F845">
        <v>20</v>
      </c>
      <c r="G845">
        <v>319131</v>
      </c>
      <c r="H845">
        <v>51</v>
      </c>
      <c r="I845">
        <v>76.680000250000006</v>
      </c>
      <c r="J845">
        <v>6</v>
      </c>
      <c r="K845">
        <v>1</v>
      </c>
    </row>
    <row r="846" spans="1:11" x14ac:dyDescent="0.25">
      <c r="A846">
        <v>1121774</v>
      </c>
      <c r="B846">
        <v>1178</v>
      </c>
      <c r="C846">
        <v>144652</v>
      </c>
      <c r="D846" t="s">
        <v>11</v>
      </c>
      <c r="E846" t="s">
        <v>16</v>
      </c>
      <c r="F846">
        <v>20</v>
      </c>
      <c r="G846">
        <v>670608</v>
      </c>
      <c r="H846">
        <v>130</v>
      </c>
      <c r="I846">
        <v>195.14999779999999</v>
      </c>
      <c r="J846">
        <v>11</v>
      </c>
      <c r="K846">
        <v>3</v>
      </c>
    </row>
    <row r="847" spans="1:11" x14ac:dyDescent="0.25">
      <c r="A847">
        <v>1121775</v>
      </c>
      <c r="B847">
        <v>1178</v>
      </c>
      <c r="C847">
        <v>144653</v>
      </c>
      <c r="D847" t="s">
        <v>11</v>
      </c>
      <c r="E847" t="s">
        <v>16</v>
      </c>
      <c r="F847">
        <v>21</v>
      </c>
      <c r="G847">
        <v>159123</v>
      </c>
      <c r="H847">
        <v>25</v>
      </c>
      <c r="I847">
        <v>38.360000130000003</v>
      </c>
      <c r="J847">
        <v>5</v>
      </c>
      <c r="K847">
        <v>3</v>
      </c>
    </row>
    <row r="848" spans="1:11" x14ac:dyDescent="0.25">
      <c r="A848">
        <v>1121776</v>
      </c>
      <c r="B848">
        <v>1178</v>
      </c>
      <c r="C848">
        <v>144653</v>
      </c>
      <c r="D848" t="s">
        <v>11</v>
      </c>
      <c r="E848" t="s">
        <v>16</v>
      </c>
      <c r="F848">
        <v>21</v>
      </c>
      <c r="G848">
        <v>103709</v>
      </c>
      <c r="H848">
        <v>15</v>
      </c>
      <c r="I848">
        <v>24.56999969</v>
      </c>
      <c r="J848">
        <v>3</v>
      </c>
      <c r="K848">
        <v>1</v>
      </c>
    </row>
    <row r="849" spans="1:11" x14ac:dyDescent="0.25">
      <c r="A849">
        <v>1121779</v>
      </c>
      <c r="B849">
        <v>1178</v>
      </c>
      <c r="C849">
        <v>144653</v>
      </c>
      <c r="D849" t="s">
        <v>11</v>
      </c>
      <c r="E849" t="s">
        <v>16</v>
      </c>
      <c r="F849">
        <v>21</v>
      </c>
      <c r="G849">
        <v>271589</v>
      </c>
      <c r="H849">
        <v>45</v>
      </c>
      <c r="I849">
        <v>74.410000319999995</v>
      </c>
      <c r="J849">
        <v>9</v>
      </c>
      <c r="K849">
        <v>3</v>
      </c>
    </row>
    <row r="850" spans="1:11" x14ac:dyDescent="0.25">
      <c r="A850">
        <v>1121780</v>
      </c>
      <c r="B850">
        <v>1178</v>
      </c>
      <c r="C850">
        <v>144653</v>
      </c>
      <c r="D850" t="s">
        <v>11</v>
      </c>
      <c r="E850" t="s">
        <v>16</v>
      </c>
      <c r="F850">
        <v>21</v>
      </c>
      <c r="G850">
        <v>119772</v>
      </c>
      <c r="H850">
        <v>20</v>
      </c>
      <c r="I850">
        <v>33.46999907</v>
      </c>
      <c r="J850">
        <v>5</v>
      </c>
      <c r="K850">
        <v>2</v>
      </c>
    </row>
    <row r="851" spans="1:11" x14ac:dyDescent="0.25">
      <c r="A851">
        <v>1121782</v>
      </c>
      <c r="B851">
        <v>1178</v>
      </c>
      <c r="C851">
        <v>144654</v>
      </c>
      <c r="D851" t="s">
        <v>11</v>
      </c>
      <c r="E851" t="s">
        <v>16</v>
      </c>
      <c r="F851">
        <v>22</v>
      </c>
      <c r="G851">
        <v>26340</v>
      </c>
      <c r="H851">
        <v>3</v>
      </c>
      <c r="I851">
        <v>4.2200000290000004</v>
      </c>
      <c r="J851">
        <v>1</v>
      </c>
      <c r="K851">
        <v>1</v>
      </c>
    </row>
    <row r="852" spans="1:11" x14ac:dyDescent="0.25">
      <c r="A852">
        <v>1121783</v>
      </c>
      <c r="B852">
        <v>1178</v>
      </c>
      <c r="C852">
        <v>144654</v>
      </c>
      <c r="D852" t="s">
        <v>11</v>
      </c>
      <c r="E852" t="s">
        <v>16</v>
      </c>
      <c r="F852">
        <v>22</v>
      </c>
      <c r="G852">
        <v>594968</v>
      </c>
      <c r="H852">
        <v>111</v>
      </c>
      <c r="I852">
        <v>147.67000060000001</v>
      </c>
      <c r="J852">
        <v>4</v>
      </c>
      <c r="K852">
        <v>0</v>
      </c>
    </row>
    <row r="853" spans="1:11" x14ac:dyDescent="0.25">
      <c r="A853">
        <v>1121791</v>
      </c>
      <c r="B853">
        <v>1178</v>
      </c>
      <c r="C853">
        <v>144655</v>
      </c>
      <c r="D853" t="s">
        <v>11</v>
      </c>
      <c r="E853" t="s">
        <v>16</v>
      </c>
      <c r="F853">
        <v>23</v>
      </c>
      <c r="G853">
        <v>6838</v>
      </c>
      <c r="H853">
        <v>0</v>
      </c>
      <c r="I853">
        <v>0</v>
      </c>
      <c r="J853">
        <v>1</v>
      </c>
      <c r="K853">
        <v>0</v>
      </c>
    </row>
    <row r="854" spans="1:11" x14ac:dyDescent="0.25">
      <c r="A854">
        <v>1121793</v>
      </c>
      <c r="B854">
        <v>1178</v>
      </c>
      <c r="C854">
        <v>144656</v>
      </c>
      <c r="D854" t="s">
        <v>11</v>
      </c>
      <c r="E854" t="s">
        <v>16</v>
      </c>
      <c r="F854">
        <v>24</v>
      </c>
      <c r="G854">
        <v>185665</v>
      </c>
      <c r="H854">
        <v>39</v>
      </c>
      <c r="I854">
        <v>62.140000579999999</v>
      </c>
      <c r="J854">
        <v>1</v>
      </c>
      <c r="K854">
        <v>0</v>
      </c>
    </row>
    <row r="855" spans="1:11" x14ac:dyDescent="0.25">
      <c r="A855">
        <v>1121795</v>
      </c>
      <c r="B855">
        <v>1178</v>
      </c>
      <c r="C855">
        <v>144656</v>
      </c>
      <c r="D855" t="s">
        <v>11</v>
      </c>
      <c r="E855" t="s">
        <v>16</v>
      </c>
      <c r="F855">
        <v>24</v>
      </c>
      <c r="G855">
        <v>24959</v>
      </c>
      <c r="H855">
        <v>3</v>
      </c>
      <c r="I855">
        <v>4.5600000620000003</v>
      </c>
      <c r="J855">
        <v>1</v>
      </c>
      <c r="K855">
        <v>1</v>
      </c>
    </row>
    <row r="856" spans="1:11" x14ac:dyDescent="0.25">
      <c r="A856">
        <v>1121796</v>
      </c>
      <c r="B856">
        <v>1178</v>
      </c>
      <c r="C856">
        <v>144656</v>
      </c>
      <c r="D856" t="s">
        <v>11</v>
      </c>
      <c r="E856" t="s">
        <v>16</v>
      </c>
      <c r="F856">
        <v>24</v>
      </c>
      <c r="G856">
        <v>136967</v>
      </c>
      <c r="H856">
        <v>23</v>
      </c>
      <c r="I856">
        <v>35.059999820000002</v>
      </c>
      <c r="J856">
        <v>3</v>
      </c>
      <c r="K856">
        <v>1</v>
      </c>
    </row>
    <row r="857" spans="1:11" x14ac:dyDescent="0.25">
      <c r="A857">
        <v>1121798</v>
      </c>
      <c r="B857">
        <v>1178</v>
      </c>
      <c r="C857">
        <v>144656</v>
      </c>
      <c r="D857" t="s">
        <v>11</v>
      </c>
      <c r="E857" t="s">
        <v>16</v>
      </c>
      <c r="F857">
        <v>24</v>
      </c>
      <c r="G857">
        <v>107548</v>
      </c>
      <c r="H857">
        <v>19</v>
      </c>
      <c r="I857">
        <v>29.310000179999999</v>
      </c>
      <c r="J857">
        <v>1</v>
      </c>
      <c r="K857">
        <v>0</v>
      </c>
    </row>
    <row r="858" spans="1:11" x14ac:dyDescent="0.25">
      <c r="A858">
        <v>1121803</v>
      </c>
      <c r="B858">
        <v>1178</v>
      </c>
      <c r="C858">
        <v>144657</v>
      </c>
      <c r="D858" t="s">
        <v>11</v>
      </c>
      <c r="E858" t="s">
        <v>16</v>
      </c>
      <c r="F858">
        <v>25</v>
      </c>
      <c r="G858">
        <v>588617</v>
      </c>
      <c r="H858">
        <v>119</v>
      </c>
      <c r="I858">
        <v>169.91999730000001</v>
      </c>
      <c r="J858">
        <v>2</v>
      </c>
      <c r="K858">
        <v>0</v>
      </c>
    </row>
    <row r="859" spans="1:11" x14ac:dyDescent="0.25">
      <c r="A859">
        <v>1121806</v>
      </c>
      <c r="B859">
        <v>1178</v>
      </c>
      <c r="C859">
        <v>144658</v>
      </c>
      <c r="D859" t="s">
        <v>11</v>
      </c>
      <c r="E859" t="s">
        <v>16</v>
      </c>
      <c r="F859">
        <v>26</v>
      </c>
      <c r="G859">
        <v>190560</v>
      </c>
      <c r="H859">
        <v>26</v>
      </c>
      <c r="I859">
        <v>41.63</v>
      </c>
      <c r="J859">
        <v>3</v>
      </c>
      <c r="K859">
        <v>1</v>
      </c>
    </row>
    <row r="860" spans="1:11" x14ac:dyDescent="0.25">
      <c r="A860">
        <v>1121807</v>
      </c>
      <c r="B860">
        <v>1178</v>
      </c>
      <c r="C860">
        <v>144658</v>
      </c>
      <c r="D860" t="s">
        <v>11</v>
      </c>
      <c r="E860" t="s">
        <v>16</v>
      </c>
      <c r="F860">
        <v>26</v>
      </c>
      <c r="G860">
        <v>373110</v>
      </c>
      <c r="H860">
        <v>49</v>
      </c>
      <c r="I860">
        <v>75.700000759999995</v>
      </c>
      <c r="J860">
        <v>4</v>
      </c>
      <c r="K860">
        <v>2</v>
      </c>
    </row>
    <row r="861" spans="1:11" x14ac:dyDescent="0.25">
      <c r="A861">
        <v>1121812</v>
      </c>
      <c r="B861">
        <v>1178</v>
      </c>
      <c r="C861">
        <v>144659</v>
      </c>
      <c r="D861" t="s">
        <v>11</v>
      </c>
      <c r="E861" t="s">
        <v>16</v>
      </c>
      <c r="F861">
        <v>27</v>
      </c>
      <c r="G861">
        <v>935646</v>
      </c>
      <c r="H861">
        <v>170</v>
      </c>
      <c r="I861">
        <v>256.46999820000002</v>
      </c>
      <c r="J861">
        <v>19</v>
      </c>
      <c r="K861">
        <v>6</v>
      </c>
    </row>
    <row r="862" spans="1:11" x14ac:dyDescent="0.25">
      <c r="A862">
        <v>1121814</v>
      </c>
      <c r="B862">
        <v>1178</v>
      </c>
      <c r="C862">
        <v>144659</v>
      </c>
      <c r="D862" t="s">
        <v>11</v>
      </c>
      <c r="E862" t="s">
        <v>16</v>
      </c>
      <c r="F862">
        <v>27</v>
      </c>
      <c r="G862">
        <v>2223278</v>
      </c>
      <c r="H862">
        <v>421</v>
      </c>
      <c r="I862">
        <v>612.30000319999999</v>
      </c>
      <c r="J862">
        <v>38</v>
      </c>
      <c r="K862">
        <v>13</v>
      </c>
    </row>
    <row r="863" spans="1:11" x14ac:dyDescent="0.25">
      <c r="A863">
        <v>1121815</v>
      </c>
      <c r="B863">
        <v>1178</v>
      </c>
      <c r="C863">
        <v>144659</v>
      </c>
      <c r="D863" t="s">
        <v>11</v>
      </c>
      <c r="E863" t="s">
        <v>16</v>
      </c>
      <c r="F863">
        <v>27</v>
      </c>
      <c r="G863">
        <v>240497</v>
      </c>
      <c r="H863">
        <v>36</v>
      </c>
      <c r="I863">
        <v>51.840000869999997</v>
      </c>
      <c r="J863">
        <v>1</v>
      </c>
      <c r="K863">
        <v>0</v>
      </c>
    </row>
    <row r="864" spans="1:11" x14ac:dyDescent="0.25">
      <c r="A864">
        <v>1121816</v>
      </c>
      <c r="B864">
        <v>1178</v>
      </c>
      <c r="C864">
        <v>144659</v>
      </c>
      <c r="D864" t="s">
        <v>11</v>
      </c>
      <c r="E864" t="s">
        <v>16</v>
      </c>
      <c r="F864">
        <v>27</v>
      </c>
      <c r="G864">
        <v>259984</v>
      </c>
      <c r="H864">
        <v>37</v>
      </c>
      <c r="I864">
        <v>54.790000200000001</v>
      </c>
      <c r="J864">
        <v>5</v>
      </c>
      <c r="K864">
        <v>0</v>
      </c>
    </row>
    <row r="865" spans="1:11" x14ac:dyDescent="0.25">
      <c r="A865">
        <v>1121817</v>
      </c>
      <c r="B865">
        <v>1178</v>
      </c>
      <c r="C865">
        <v>144660</v>
      </c>
      <c r="D865" t="s">
        <v>11</v>
      </c>
      <c r="E865" t="s">
        <v>16</v>
      </c>
      <c r="F865">
        <v>28</v>
      </c>
      <c r="G865">
        <v>606786</v>
      </c>
      <c r="H865">
        <v>127</v>
      </c>
      <c r="I865">
        <v>179.05000100000001</v>
      </c>
      <c r="J865">
        <v>11</v>
      </c>
      <c r="K865">
        <v>3</v>
      </c>
    </row>
    <row r="866" spans="1:11" x14ac:dyDescent="0.25">
      <c r="A866">
        <v>1121818</v>
      </c>
      <c r="B866">
        <v>1178</v>
      </c>
      <c r="C866">
        <v>144660</v>
      </c>
      <c r="D866" t="s">
        <v>11</v>
      </c>
      <c r="E866" t="s">
        <v>16</v>
      </c>
      <c r="F866">
        <v>28</v>
      </c>
      <c r="G866">
        <v>83270</v>
      </c>
      <c r="H866">
        <v>13</v>
      </c>
      <c r="I866">
        <v>17.740000009999999</v>
      </c>
      <c r="J866">
        <v>1</v>
      </c>
      <c r="K866">
        <v>0</v>
      </c>
    </row>
    <row r="867" spans="1:11" x14ac:dyDescent="0.25">
      <c r="A867">
        <v>1121819</v>
      </c>
      <c r="B867">
        <v>1178</v>
      </c>
      <c r="C867">
        <v>144660</v>
      </c>
      <c r="D867" t="s">
        <v>11</v>
      </c>
      <c r="E867" t="s">
        <v>16</v>
      </c>
      <c r="F867">
        <v>28</v>
      </c>
      <c r="G867">
        <v>1189509</v>
      </c>
      <c r="H867">
        <v>268</v>
      </c>
      <c r="I867">
        <v>375.71999629999999</v>
      </c>
      <c r="J867">
        <v>7</v>
      </c>
      <c r="K867">
        <v>3</v>
      </c>
    </row>
    <row r="868" spans="1:11" x14ac:dyDescent="0.25">
      <c r="A868">
        <v>1121820</v>
      </c>
      <c r="B868">
        <v>1178</v>
      </c>
      <c r="C868">
        <v>144660</v>
      </c>
      <c r="D868" t="s">
        <v>11</v>
      </c>
      <c r="E868" t="s">
        <v>16</v>
      </c>
      <c r="F868">
        <v>28</v>
      </c>
      <c r="G868">
        <v>11471</v>
      </c>
      <c r="H868">
        <v>1</v>
      </c>
      <c r="I868">
        <v>1.5700000519999999</v>
      </c>
      <c r="J868">
        <v>0</v>
      </c>
      <c r="K868">
        <v>0</v>
      </c>
    </row>
    <row r="869" spans="1:11" x14ac:dyDescent="0.25">
      <c r="A869">
        <v>1121824</v>
      </c>
      <c r="B869">
        <v>1178</v>
      </c>
      <c r="C869">
        <v>144661</v>
      </c>
      <c r="D869" t="s">
        <v>11</v>
      </c>
      <c r="E869" t="s">
        <v>16</v>
      </c>
      <c r="F869">
        <v>29</v>
      </c>
      <c r="G869">
        <v>1705246</v>
      </c>
      <c r="H869">
        <v>295</v>
      </c>
      <c r="I869">
        <v>429.47999809999999</v>
      </c>
      <c r="J869">
        <v>23</v>
      </c>
      <c r="K869">
        <v>10</v>
      </c>
    </row>
    <row r="870" spans="1:11" x14ac:dyDescent="0.25">
      <c r="A870">
        <v>1121826</v>
      </c>
      <c r="B870">
        <v>1178</v>
      </c>
      <c r="C870">
        <v>144661</v>
      </c>
      <c r="D870" t="s">
        <v>11</v>
      </c>
      <c r="E870" t="s">
        <v>16</v>
      </c>
      <c r="F870">
        <v>29</v>
      </c>
      <c r="G870">
        <v>418016</v>
      </c>
      <c r="H870">
        <v>63</v>
      </c>
      <c r="I870">
        <v>95.850000499999993</v>
      </c>
      <c r="J870">
        <v>3</v>
      </c>
      <c r="K870">
        <v>1</v>
      </c>
    </row>
    <row r="871" spans="1:11" x14ac:dyDescent="0.25">
      <c r="A871">
        <v>1121827</v>
      </c>
      <c r="B871">
        <v>1178</v>
      </c>
      <c r="C871">
        <v>144661</v>
      </c>
      <c r="D871" t="s">
        <v>11</v>
      </c>
      <c r="E871" t="s">
        <v>16</v>
      </c>
      <c r="F871">
        <v>29</v>
      </c>
      <c r="G871">
        <v>30155</v>
      </c>
      <c r="H871">
        <v>3</v>
      </c>
      <c r="I871">
        <v>3.8199999330000001</v>
      </c>
      <c r="J871">
        <v>1</v>
      </c>
      <c r="K871">
        <v>0</v>
      </c>
    </row>
    <row r="872" spans="1:11" x14ac:dyDescent="0.25">
      <c r="A872">
        <v>1121828</v>
      </c>
      <c r="B872">
        <v>1178</v>
      </c>
      <c r="C872">
        <v>144661</v>
      </c>
      <c r="D872" t="s">
        <v>11</v>
      </c>
      <c r="E872" t="s">
        <v>16</v>
      </c>
      <c r="F872">
        <v>29</v>
      </c>
      <c r="G872">
        <v>990404</v>
      </c>
      <c r="H872">
        <v>153</v>
      </c>
      <c r="I872">
        <v>226.53999920000001</v>
      </c>
      <c r="J872">
        <v>12</v>
      </c>
      <c r="K872">
        <v>6</v>
      </c>
    </row>
    <row r="873" spans="1:11" x14ac:dyDescent="0.25">
      <c r="A873">
        <v>1121829</v>
      </c>
      <c r="B873">
        <v>1178</v>
      </c>
      <c r="C873">
        <v>144662</v>
      </c>
      <c r="D873" t="s">
        <v>11</v>
      </c>
      <c r="E873" t="s">
        <v>16</v>
      </c>
      <c r="F873">
        <v>30</v>
      </c>
      <c r="G873">
        <v>187468</v>
      </c>
      <c r="H873">
        <v>34</v>
      </c>
      <c r="I873">
        <v>50.72000062</v>
      </c>
      <c r="J873">
        <v>2</v>
      </c>
      <c r="K873">
        <v>1</v>
      </c>
    </row>
    <row r="874" spans="1:11" x14ac:dyDescent="0.25">
      <c r="A874">
        <v>1121832</v>
      </c>
      <c r="B874">
        <v>1178</v>
      </c>
      <c r="C874">
        <v>144662</v>
      </c>
      <c r="D874" t="s">
        <v>11</v>
      </c>
      <c r="E874" t="s">
        <v>16</v>
      </c>
      <c r="F874">
        <v>30</v>
      </c>
      <c r="G874">
        <v>208301</v>
      </c>
      <c r="H874">
        <v>33</v>
      </c>
      <c r="I874">
        <v>54.570000890000003</v>
      </c>
      <c r="J874">
        <v>1</v>
      </c>
      <c r="K874">
        <v>0</v>
      </c>
    </row>
    <row r="875" spans="1:11" x14ac:dyDescent="0.25">
      <c r="A875">
        <v>1121833</v>
      </c>
      <c r="B875">
        <v>1178</v>
      </c>
      <c r="C875">
        <v>144662</v>
      </c>
      <c r="D875" t="s">
        <v>11</v>
      </c>
      <c r="E875" t="s">
        <v>16</v>
      </c>
      <c r="F875">
        <v>30</v>
      </c>
      <c r="G875">
        <v>101856</v>
      </c>
      <c r="H875">
        <v>16</v>
      </c>
      <c r="I875">
        <v>25.220000389999999</v>
      </c>
      <c r="J875">
        <v>4</v>
      </c>
      <c r="K875">
        <v>1</v>
      </c>
    </row>
    <row r="876" spans="1:11" x14ac:dyDescent="0.25">
      <c r="A876">
        <v>1121835</v>
      </c>
      <c r="B876">
        <v>1178</v>
      </c>
      <c r="C876">
        <v>144663</v>
      </c>
      <c r="D876" t="s">
        <v>11</v>
      </c>
      <c r="E876" t="s">
        <v>16</v>
      </c>
      <c r="F876">
        <v>31</v>
      </c>
      <c r="G876">
        <v>48935</v>
      </c>
      <c r="H876">
        <v>7</v>
      </c>
      <c r="I876">
        <v>9.9700002669999996</v>
      </c>
      <c r="J876">
        <v>1</v>
      </c>
      <c r="K876">
        <v>1</v>
      </c>
    </row>
    <row r="877" spans="1:11" x14ac:dyDescent="0.25">
      <c r="A877">
        <v>1121839</v>
      </c>
      <c r="B877">
        <v>1178</v>
      </c>
      <c r="C877">
        <v>144663</v>
      </c>
      <c r="D877" t="s">
        <v>11</v>
      </c>
      <c r="E877" t="s">
        <v>16</v>
      </c>
      <c r="F877">
        <v>31</v>
      </c>
      <c r="G877">
        <v>13911</v>
      </c>
      <c r="H877">
        <v>1</v>
      </c>
      <c r="I877">
        <v>1.730000019</v>
      </c>
      <c r="J877">
        <v>1</v>
      </c>
      <c r="K877">
        <v>1</v>
      </c>
    </row>
    <row r="878" spans="1:11" x14ac:dyDescent="0.25">
      <c r="A878">
        <v>1121841</v>
      </c>
      <c r="B878">
        <v>1178</v>
      </c>
      <c r="C878">
        <v>144664</v>
      </c>
      <c r="D878" t="s">
        <v>11</v>
      </c>
      <c r="E878" t="s">
        <v>16</v>
      </c>
      <c r="F878">
        <v>32</v>
      </c>
      <c r="G878">
        <v>511726</v>
      </c>
      <c r="H878">
        <v>77</v>
      </c>
      <c r="I878">
        <v>123.0900019</v>
      </c>
      <c r="J878">
        <v>8</v>
      </c>
      <c r="K878">
        <v>4</v>
      </c>
    </row>
    <row r="879" spans="1:11" x14ac:dyDescent="0.25">
      <c r="A879">
        <v>1121843</v>
      </c>
      <c r="B879">
        <v>1178</v>
      </c>
      <c r="C879">
        <v>144664</v>
      </c>
      <c r="D879" t="s">
        <v>11</v>
      </c>
      <c r="E879" t="s">
        <v>16</v>
      </c>
      <c r="F879">
        <v>32</v>
      </c>
      <c r="G879">
        <v>177452</v>
      </c>
      <c r="H879">
        <v>24</v>
      </c>
      <c r="I879">
        <v>37.830000159999997</v>
      </c>
      <c r="J879">
        <v>2</v>
      </c>
      <c r="K879">
        <v>0</v>
      </c>
    </row>
    <row r="880" spans="1:11" x14ac:dyDescent="0.25">
      <c r="A880">
        <v>1121844</v>
      </c>
      <c r="B880">
        <v>1178</v>
      </c>
      <c r="C880">
        <v>144664</v>
      </c>
      <c r="D880" t="s">
        <v>11</v>
      </c>
      <c r="E880" t="s">
        <v>16</v>
      </c>
      <c r="F880">
        <v>32</v>
      </c>
      <c r="G880">
        <v>149808</v>
      </c>
      <c r="H880">
        <v>20</v>
      </c>
      <c r="I880">
        <v>33.039999369999997</v>
      </c>
      <c r="J880">
        <v>1</v>
      </c>
      <c r="K880">
        <v>1</v>
      </c>
    </row>
    <row r="881" spans="1:11" x14ac:dyDescent="0.25">
      <c r="A881">
        <v>1121845</v>
      </c>
      <c r="B881">
        <v>1178</v>
      </c>
      <c r="C881">
        <v>144664</v>
      </c>
      <c r="D881" t="s">
        <v>11</v>
      </c>
      <c r="E881" t="s">
        <v>16</v>
      </c>
      <c r="F881">
        <v>32</v>
      </c>
      <c r="G881">
        <v>390339</v>
      </c>
      <c r="H881">
        <v>60</v>
      </c>
      <c r="I881">
        <v>105.0199997</v>
      </c>
      <c r="J881">
        <v>9</v>
      </c>
      <c r="K881">
        <v>6</v>
      </c>
    </row>
    <row r="882" spans="1:11" x14ac:dyDescent="0.25">
      <c r="A882">
        <v>1121846</v>
      </c>
      <c r="B882">
        <v>1178</v>
      </c>
      <c r="C882">
        <v>144664</v>
      </c>
      <c r="D882" t="s">
        <v>11</v>
      </c>
      <c r="E882" t="s">
        <v>16</v>
      </c>
      <c r="F882">
        <v>32</v>
      </c>
      <c r="G882">
        <v>8350</v>
      </c>
      <c r="H882">
        <v>0</v>
      </c>
      <c r="I882">
        <v>0</v>
      </c>
      <c r="J882">
        <v>1</v>
      </c>
      <c r="K882">
        <v>0</v>
      </c>
    </row>
    <row r="883" spans="1:11" x14ac:dyDescent="0.25">
      <c r="A883">
        <v>1121847</v>
      </c>
      <c r="B883">
        <v>1178</v>
      </c>
      <c r="C883">
        <v>144665</v>
      </c>
      <c r="D883" t="s">
        <v>11</v>
      </c>
      <c r="E883" t="s">
        <v>16</v>
      </c>
      <c r="F883">
        <v>36</v>
      </c>
      <c r="G883">
        <v>39339</v>
      </c>
      <c r="H883">
        <v>4</v>
      </c>
      <c r="I883">
        <v>5.9299999479999999</v>
      </c>
      <c r="J883">
        <v>1</v>
      </c>
      <c r="K883">
        <v>0</v>
      </c>
    </row>
    <row r="884" spans="1:11" x14ac:dyDescent="0.25">
      <c r="A884">
        <v>1121854</v>
      </c>
      <c r="B884">
        <v>1178</v>
      </c>
      <c r="C884">
        <v>144666</v>
      </c>
      <c r="D884" t="s">
        <v>11</v>
      </c>
      <c r="E884" t="s">
        <v>16</v>
      </c>
      <c r="F884">
        <v>63</v>
      </c>
      <c r="G884">
        <v>8587</v>
      </c>
      <c r="H884">
        <v>0</v>
      </c>
      <c r="I884">
        <v>0</v>
      </c>
      <c r="J884">
        <v>1</v>
      </c>
      <c r="K884">
        <v>0</v>
      </c>
    </row>
    <row r="885" spans="1:11" x14ac:dyDescent="0.25">
      <c r="A885">
        <v>1121855</v>
      </c>
      <c r="B885">
        <v>1178</v>
      </c>
      <c r="C885">
        <v>144666</v>
      </c>
      <c r="D885" t="s">
        <v>11</v>
      </c>
      <c r="E885" t="s">
        <v>16</v>
      </c>
      <c r="F885">
        <v>63</v>
      </c>
      <c r="G885">
        <v>24893</v>
      </c>
      <c r="H885">
        <v>2</v>
      </c>
      <c r="I885">
        <v>3.75</v>
      </c>
      <c r="J885">
        <v>1</v>
      </c>
      <c r="K885">
        <v>0</v>
      </c>
    </row>
    <row r="886" spans="1:11" x14ac:dyDescent="0.25">
      <c r="A886">
        <v>1121856</v>
      </c>
      <c r="B886">
        <v>1178</v>
      </c>
      <c r="C886">
        <v>144666</v>
      </c>
      <c r="D886" t="s">
        <v>11</v>
      </c>
      <c r="E886" t="s">
        <v>16</v>
      </c>
      <c r="F886">
        <v>63</v>
      </c>
      <c r="G886">
        <v>1296189</v>
      </c>
      <c r="H886">
        <v>212</v>
      </c>
      <c r="I886">
        <v>343.25999439999998</v>
      </c>
      <c r="J886">
        <v>14</v>
      </c>
      <c r="K886">
        <v>4</v>
      </c>
    </row>
    <row r="887" spans="1:11" x14ac:dyDescent="0.25">
      <c r="A887">
        <v>1121857</v>
      </c>
      <c r="B887">
        <v>1178</v>
      </c>
      <c r="C887">
        <v>144666</v>
      </c>
      <c r="D887" t="s">
        <v>11</v>
      </c>
      <c r="E887" t="s">
        <v>16</v>
      </c>
      <c r="F887">
        <v>63</v>
      </c>
      <c r="G887">
        <v>91607</v>
      </c>
      <c r="H887">
        <v>12</v>
      </c>
      <c r="I887">
        <v>19.189999700000001</v>
      </c>
      <c r="J887">
        <v>2</v>
      </c>
      <c r="K887">
        <v>1</v>
      </c>
    </row>
    <row r="888" spans="1:11" x14ac:dyDescent="0.25">
      <c r="A888">
        <v>1121859</v>
      </c>
      <c r="B888">
        <v>1178</v>
      </c>
      <c r="C888">
        <v>144667</v>
      </c>
      <c r="D888" t="s">
        <v>11</v>
      </c>
      <c r="E888" t="s">
        <v>16</v>
      </c>
      <c r="F888">
        <v>64</v>
      </c>
      <c r="G888">
        <v>238036</v>
      </c>
      <c r="H888">
        <v>38</v>
      </c>
      <c r="I888">
        <v>61.029997710000004</v>
      </c>
      <c r="J888">
        <v>6</v>
      </c>
      <c r="K888">
        <v>3</v>
      </c>
    </row>
    <row r="889" spans="1:11" x14ac:dyDescent="0.25">
      <c r="A889">
        <v>1121860</v>
      </c>
      <c r="B889">
        <v>1178</v>
      </c>
      <c r="C889">
        <v>144667</v>
      </c>
      <c r="D889" t="s">
        <v>11</v>
      </c>
      <c r="E889" t="s">
        <v>16</v>
      </c>
      <c r="F889">
        <v>64</v>
      </c>
      <c r="G889">
        <v>254344</v>
      </c>
      <c r="H889">
        <v>35</v>
      </c>
      <c r="I889">
        <v>56.169999959999998</v>
      </c>
      <c r="J889">
        <v>2</v>
      </c>
      <c r="K889">
        <v>1</v>
      </c>
    </row>
    <row r="890" spans="1:11" x14ac:dyDescent="0.25">
      <c r="A890">
        <v>1121861</v>
      </c>
      <c r="B890">
        <v>1178</v>
      </c>
      <c r="C890">
        <v>144667</v>
      </c>
      <c r="D890" t="s">
        <v>11</v>
      </c>
      <c r="E890" t="s">
        <v>16</v>
      </c>
      <c r="F890">
        <v>64</v>
      </c>
      <c r="G890">
        <v>157705</v>
      </c>
      <c r="H890">
        <v>23</v>
      </c>
      <c r="I890">
        <v>39.230000259999997</v>
      </c>
      <c r="J890">
        <v>2</v>
      </c>
      <c r="K890">
        <v>0</v>
      </c>
    </row>
    <row r="891" spans="1:11" x14ac:dyDescent="0.25">
      <c r="A891">
        <v>1121862</v>
      </c>
      <c r="B891">
        <v>1178</v>
      </c>
      <c r="C891">
        <v>144667</v>
      </c>
      <c r="D891" t="s">
        <v>11</v>
      </c>
      <c r="E891" t="s">
        <v>16</v>
      </c>
      <c r="F891">
        <v>64</v>
      </c>
      <c r="G891">
        <v>411571</v>
      </c>
      <c r="H891">
        <v>60</v>
      </c>
      <c r="I891">
        <v>99.179998400000002</v>
      </c>
      <c r="J891">
        <v>6</v>
      </c>
      <c r="K891">
        <v>1</v>
      </c>
    </row>
    <row r="892" spans="1:11" x14ac:dyDescent="0.25">
      <c r="A892">
        <v>1121863</v>
      </c>
      <c r="B892">
        <v>1178</v>
      </c>
      <c r="C892">
        <v>144667</v>
      </c>
      <c r="D892" t="s">
        <v>11</v>
      </c>
      <c r="E892" t="s">
        <v>16</v>
      </c>
      <c r="F892">
        <v>64</v>
      </c>
      <c r="G892">
        <v>94136</v>
      </c>
      <c r="H892">
        <v>11</v>
      </c>
      <c r="I892">
        <v>16.179999710000001</v>
      </c>
      <c r="J892">
        <v>1</v>
      </c>
      <c r="K892">
        <v>0</v>
      </c>
    </row>
    <row r="893" spans="1:11" x14ac:dyDescent="0.25">
      <c r="A893">
        <v>1121867</v>
      </c>
      <c r="B893">
        <v>1178</v>
      </c>
      <c r="C893">
        <v>144668</v>
      </c>
      <c r="D893" t="s">
        <v>11</v>
      </c>
      <c r="E893" t="s">
        <v>16</v>
      </c>
      <c r="F893">
        <v>65</v>
      </c>
      <c r="G893">
        <v>82640</v>
      </c>
      <c r="H893">
        <v>16</v>
      </c>
      <c r="I893">
        <v>23.970000389999999</v>
      </c>
      <c r="J893">
        <v>1</v>
      </c>
      <c r="K893">
        <v>1</v>
      </c>
    </row>
    <row r="894" spans="1:11" x14ac:dyDescent="0.25">
      <c r="A894">
        <v>1121869</v>
      </c>
      <c r="B894">
        <v>1178</v>
      </c>
      <c r="C894">
        <v>144668</v>
      </c>
      <c r="D894" t="s">
        <v>11</v>
      </c>
      <c r="E894" t="s">
        <v>16</v>
      </c>
      <c r="F894">
        <v>65</v>
      </c>
      <c r="G894">
        <v>17870</v>
      </c>
      <c r="H894">
        <v>2</v>
      </c>
      <c r="I894">
        <v>2.6200000050000001</v>
      </c>
      <c r="J894">
        <v>1</v>
      </c>
      <c r="K894">
        <v>1</v>
      </c>
    </row>
    <row r="895" spans="1:11" x14ac:dyDescent="0.25">
      <c r="A895">
        <v>1121871</v>
      </c>
      <c r="B895">
        <v>1178</v>
      </c>
      <c r="C895">
        <v>144669</v>
      </c>
      <c r="D895" t="s">
        <v>11</v>
      </c>
      <c r="E895" t="s">
        <v>16</v>
      </c>
      <c r="F895">
        <v>2</v>
      </c>
      <c r="G895">
        <v>19178</v>
      </c>
      <c r="H895">
        <v>2</v>
      </c>
      <c r="I895">
        <v>2.7799999710000001</v>
      </c>
      <c r="J895">
        <v>1</v>
      </c>
      <c r="K895">
        <v>1</v>
      </c>
    </row>
    <row r="896" spans="1:11" x14ac:dyDescent="0.25">
      <c r="A896">
        <v>1121873</v>
      </c>
      <c r="B896">
        <v>1178</v>
      </c>
      <c r="C896">
        <v>144669</v>
      </c>
      <c r="D896" t="s">
        <v>11</v>
      </c>
      <c r="E896" t="s">
        <v>16</v>
      </c>
      <c r="F896">
        <v>2</v>
      </c>
      <c r="G896">
        <v>5264</v>
      </c>
      <c r="H896">
        <v>0</v>
      </c>
      <c r="I896">
        <v>0</v>
      </c>
      <c r="J896">
        <v>1</v>
      </c>
      <c r="K896">
        <v>0</v>
      </c>
    </row>
    <row r="897" spans="1:11" x14ac:dyDescent="0.25">
      <c r="A897">
        <v>1121874</v>
      </c>
      <c r="B897">
        <v>1178</v>
      </c>
      <c r="C897">
        <v>144669</v>
      </c>
      <c r="D897" t="s">
        <v>11</v>
      </c>
      <c r="E897" t="s">
        <v>16</v>
      </c>
      <c r="F897">
        <v>2</v>
      </c>
      <c r="G897">
        <v>145548</v>
      </c>
      <c r="H897">
        <v>28</v>
      </c>
      <c r="I897">
        <v>42.370000359999999</v>
      </c>
      <c r="J897">
        <v>2</v>
      </c>
      <c r="K897">
        <v>1</v>
      </c>
    </row>
    <row r="898" spans="1:11" x14ac:dyDescent="0.25">
      <c r="A898">
        <v>1121876</v>
      </c>
      <c r="B898">
        <v>1178</v>
      </c>
      <c r="C898">
        <v>144669</v>
      </c>
      <c r="D898" t="s">
        <v>11</v>
      </c>
      <c r="E898" t="s">
        <v>16</v>
      </c>
      <c r="F898">
        <v>2</v>
      </c>
      <c r="G898">
        <v>82455</v>
      </c>
      <c r="H898">
        <v>15</v>
      </c>
      <c r="I898">
        <v>22.049999710000002</v>
      </c>
      <c r="J898">
        <v>1</v>
      </c>
      <c r="K898">
        <v>0</v>
      </c>
    </row>
    <row r="899" spans="1:11" x14ac:dyDescent="0.25">
      <c r="A899">
        <v>1121877</v>
      </c>
      <c r="B899">
        <v>1178</v>
      </c>
      <c r="C899">
        <v>144670</v>
      </c>
      <c r="D899" t="s">
        <v>11</v>
      </c>
      <c r="E899" t="s">
        <v>16</v>
      </c>
      <c r="F899">
        <v>7</v>
      </c>
      <c r="G899">
        <v>44189</v>
      </c>
      <c r="H899">
        <v>7</v>
      </c>
      <c r="I899">
        <v>10.319999810000001</v>
      </c>
      <c r="J899">
        <v>2</v>
      </c>
      <c r="K899">
        <v>0</v>
      </c>
    </row>
    <row r="900" spans="1:11" x14ac:dyDescent="0.25">
      <c r="A900">
        <v>1121878</v>
      </c>
      <c r="B900">
        <v>1178</v>
      </c>
      <c r="C900">
        <v>144670</v>
      </c>
      <c r="D900" t="s">
        <v>11</v>
      </c>
      <c r="E900" t="s">
        <v>16</v>
      </c>
      <c r="F900">
        <v>7</v>
      </c>
      <c r="G900">
        <v>45199</v>
      </c>
      <c r="H900">
        <v>7</v>
      </c>
      <c r="I900">
        <v>9.8099999429999993</v>
      </c>
      <c r="J900">
        <v>1</v>
      </c>
      <c r="K900">
        <v>0</v>
      </c>
    </row>
    <row r="901" spans="1:11" x14ac:dyDescent="0.25">
      <c r="A901">
        <v>1121881</v>
      </c>
      <c r="B901">
        <v>1178</v>
      </c>
      <c r="C901">
        <v>144670</v>
      </c>
      <c r="D901" t="s">
        <v>11</v>
      </c>
      <c r="E901" t="s">
        <v>16</v>
      </c>
      <c r="F901">
        <v>7</v>
      </c>
      <c r="G901">
        <v>221843</v>
      </c>
      <c r="H901">
        <v>43</v>
      </c>
      <c r="I901">
        <v>63.450000760000002</v>
      </c>
      <c r="J901">
        <v>5</v>
      </c>
      <c r="K901">
        <v>0</v>
      </c>
    </row>
    <row r="902" spans="1:11" x14ac:dyDescent="0.25">
      <c r="A902">
        <v>1121888</v>
      </c>
      <c r="B902">
        <v>1178</v>
      </c>
      <c r="C902">
        <v>144671</v>
      </c>
      <c r="D902" t="s">
        <v>11</v>
      </c>
      <c r="E902" t="s">
        <v>16</v>
      </c>
      <c r="F902">
        <v>66</v>
      </c>
      <c r="G902">
        <v>41672</v>
      </c>
      <c r="H902">
        <v>6</v>
      </c>
      <c r="I902">
        <v>10.54999995</v>
      </c>
      <c r="J902">
        <v>2</v>
      </c>
      <c r="K902">
        <v>1</v>
      </c>
    </row>
    <row r="903" spans="1:11" x14ac:dyDescent="0.25">
      <c r="A903">
        <v>1121889</v>
      </c>
      <c r="B903">
        <v>1178</v>
      </c>
      <c r="C903">
        <v>144672</v>
      </c>
      <c r="D903" t="s">
        <v>13</v>
      </c>
      <c r="E903" t="s">
        <v>16</v>
      </c>
      <c r="F903">
        <v>10</v>
      </c>
      <c r="G903">
        <v>127546</v>
      </c>
      <c r="H903">
        <v>25</v>
      </c>
      <c r="I903">
        <v>38.940000410000003</v>
      </c>
      <c r="J903">
        <v>2</v>
      </c>
      <c r="K903">
        <v>0</v>
      </c>
    </row>
    <row r="904" spans="1:11" x14ac:dyDescent="0.25">
      <c r="A904">
        <v>1121890</v>
      </c>
      <c r="B904">
        <v>1178</v>
      </c>
      <c r="C904">
        <v>144672</v>
      </c>
      <c r="D904" t="s">
        <v>13</v>
      </c>
      <c r="E904" t="s">
        <v>16</v>
      </c>
      <c r="F904">
        <v>10</v>
      </c>
      <c r="G904">
        <v>127865</v>
      </c>
      <c r="H904">
        <v>28</v>
      </c>
      <c r="I904">
        <v>38.029999609999997</v>
      </c>
      <c r="J904">
        <v>3</v>
      </c>
      <c r="K904">
        <v>1</v>
      </c>
    </row>
    <row r="905" spans="1:11" x14ac:dyDescent="0.25">
      <c r="A905">
        <v>1121891</v>
      </c>
      <c r="B905">
        <v>1178</v>
      </c>
      <c r="C905">
        <v>144672</v>
      </c>
      <c r="D905" t="s">
        <v>13</v>
      </c>
      <c r="E905" t="s">
        <v>16</v>
      </c>
      <c r="F905">
        <v>10</v>
      </c>
      <c r="G905">
        <v>1025327</v>
      </c>
      <c r="H905">
        <v>229</v>
      </c>
      <c r="I905">
        <v>314.29999830000003</v>
      </c>
      <c r="J905">
        <v>16</v>
      </c>
      <c r="K905">
        <v>2</v>
      </c>
    </row>
    <row r="906" spans="1:11" x14ac:dyDescent="0.25">
      <c r="A906">
        <v>1121894</v>
      </c>
      <c r="B906">
        <v>1178</v>
      </c>
      <c r="C906">
        <v>144672</v>
      </c>
      <c r="D906" t="s">
        <v>13</v>
      </c>
      <c r="E906" t="s">
        <v>16</v>
      </c>
      <c r="F906">
        <v>10</v>
      </c>
      <c r="G906">
        <v>561415</v>
      </c>
      <c r="H906">
        <v>124</v>
      </c>
      <c r="I906">
        <v>173.76</v>
      </c>
      <c r="J906">
        <v>3</v>
      </c>
      <c r="K906">
        <v>0</v>
      </c>
    </row>
    <row r="907" spans="1:11" x14ac:dyDescent="0.25">
      <c r="A907">
        <v>1121895</v>
      </c>
      <c r="B907">
        <v>1178</v>
      </c>
      <c r="C907">
        <v>144673</v>
      </c>
      <c r="D907" t="s">
        <v>13</v>
      </c>
      <c r="E907" t="s">
        <v>16</v>
      </c>
      <c r="F907">
        <v>15</v>
      </c>
      <c r="G907">
        <v>132803</v>
      </c>
      <c r="H907">
        <v>25</v>
      </c>
      <c r="I907">
        <v>37.320001240000003</v>
      </c>
      <c r="J907">
        <v>2</v>
      </c>
      <c r="K907">
        <v>1</v>
      </c>
    </row>
    <row r="908" spans="1:11" x14ac:dyDescent="0.25">
      <c r="A908">
        <v>1121897</v>
      </c>
      <c r="B908">
        <v>1178</v>
      </c>
      <c r="C908">
        <v>144673</v>
      </c>
      <c r="D908" t="s">
        <v>13</v>
      </c>
      <c r="E908" t="s">
        <v>16</v>
      </c>
      <c r="F908">
        <v>15</v>
      </c>
      <c r="G908">
        <v>24664</v>
      </c>
      <c r="H908">
        <v>2</v>
      </c>
      <c r="I908">
        <v>2.6299999949999999</v>
      </c>
      <c r="J908">
        <v>1</v>
      </c>
      <c r="K908">
        <v>1</v>
      </c>
    </row>
    <row r="909" spans="1:11" x14ac:dyDescent="0.25">
      <c r="A909">
        <v>1121901</v>
      </c>
      <c r="B909">
        <v>1178</v>
      </c>
      <c r="C909">
        <v>144674</v>
      </c>
      <c r="D909" t="s">
        <v>13</v>
      </c>
      <c r="E909" t="s">
        <v>16</v>
      </c>
      <c r="F909">
        <v>16</v>
      </c>
      <c r="G909">
        <v>1020561</v>
      </c>
      <c r="H909">
        <v>172</v>
      </c>
      <c r="I909">
        <v>263.81000069999999</v>
      </c>
      <c r="J909">
        <v>7</v>
      </c>
      <c r="K909">
        <v>3</v>
      </c>
    </row>
    <row r="910" spans="1:11" x14ac:dyDescent="0.25">
      <c r="A910">
        <v>1121902</v>
      </c>
      <c r="B910">
        <v>1178</v>
      </c>
      <c r="C910">
        <v>144674</v>
      </c>
      <c r="D910" t="s">
        <v>13</v>
      </c>
      <c r="E910" t="s">
        <v>16</v>
      </c>
      <c r="F910">
        <v>16</v>
      </c>
      <c r="G910">
        <v>682143</v>
      </c>
      <c r="H910">
        <v>114</v>
      </c>
      <c r="I910">
        <v>177.1099993</v>
      </c>
      <c r="J910">
        <v>6</v>
      </c>
      <c r="K910">
        <v>2</v>
      </c>
    </row>
    <row r="911" spans="1:11" x14ac:dyDescent="0.25">
      <c r="A911">
        <v>1121903</v>
      </c>
      <c r="B911">
        <v>1178</v>
      </c>
      <c r="C911">
        <v>144674</v>
      </c>
      <c r="D911" t="s">
        <v>13</v>
      </c>
      <c r="E911" t="s">
        <v>16</v>
      </c>
      <c r="F911">
        <v>16</v>
      </c>
      <c r="G911">
        <v>1247717</v>
      </c>
      <c r="H911">
        <v>222</v>
      </c>
      <c r="I911">
        <v>343.41999939999999</v>
      </c>
      <c r="J911">
        <v>11</v>
      </c>
      <c r="K911">
        <v>4</v>
      </c>
    </row>
    <row r="912" spans="1:11" x14ac:dyDescent="0.25">
      <c r="A912">
        <v>1121904</v>
      </c>
      <c r="B912">
        <v>1178</v>
      </c>
      <c r="C912">
        <v>144674</v>
      </c>
      <c r="D912" t="s">
        <v>13</v>
      </c>
      <c r="E912" t="s">
        <v>16</v>
      </c>
      <c r="F912">
        <v>16</v>
      </c>
      <c r="G912">
        <v>146406</v>
      </c>
      <c r="H912">
        <v>23</v>
      </c>
      <c r="I912">
        <v>33.229999419999999</v>
      </c>
      <c r="J912">
        <v>1</v>
      </c>
      <c r="K912">
        <v>1</v>
      </c>
    </row>
    <row r="913" spans="1:11" x14ac:dyDescent="0.25">
      <c r="A913">
        <v>1121905</v>
      </c>
      <c r="B913">
        <v>1178</v>
      </c>
      <c r="C913">
        <v>144674</v>
      </c>
      <c r="D913" t="s">
        <v>13</v>
      </c>
      <c r="E913" t="s">
        <v>16</v>
      </c>
      <c r="F913">
        <v>16</v>
      </c>
      <c r="G913">
        <v>905699</v>
      </c>
      <c r="H913">
        <v>161</v>
      </c>
      <c r="I913">
        <v>234.65999819999999</v>
      </c>
      <c r="J913">
        <v>4</v>
      </c>
      <c r="K913">
        <v>1</v>
      </c>
    </row>
    <row r="914" spans="1:11" x14ac:dyDescent="0.25">
      <c r="A914">
        <v>1121906</v>
      </c>
      <c r="B914">
        <v>1178</v>
      </c>
      <c r="C914">
        <v>144674</v>
      </c>
      <c r="D914" t="s">
        <v>13</v>
      </c>
      <c r="E914" t="s">
        <v>16</v>
      </c>
      <c r="F914">
        <v>16</v>
      </c>
      <c r="G914">
        <v>1184580</v>
      </c>
      <c r="H914">
        <v>194</v>
      </c>
      <c r="I914">
        <v>297.82999810000001</v>
      </c>
      <c r="J914">
        <v>14</v>
      </c>
      <c r="K914">
        <v>3</v>
      </c>
    </row>
    <row r="915" spans="1:11" x14ac:dyDescent="0.25">
      <c r="A915">
        <v>1121907</v>
      </c>
      <c r="B915">
        <v>1178</v>
      </c>
      <c r="C915">
        <v>144675</v>
      </c>
      <c r="D915" t="s">
        <v>13</v>
      </c>
      <c r="E915" t="s">
        <v>16</v>
      </c>
      <c r="F915">
        <v>18</v>
      </c>
      <c r="G915">
        <v>98057</v>
      </c>
      <c r="H915">
        <v>20</v>
      </c>
      <c r="I915">
        <v>31.009999629999999</v>
      </c>
      <c r="J915">
        <v>1</v>
      </c>
      <c r="K915">
        <v>1</v>
      </c>
    </row>
    <row r="916" spans="1:11" x14ac:dyDescent="0.25">
      <c r="A916">
        <v>1121917</v>
      </c>
      <c r="B916">
        <v>1178</v>
      </c>
      <c r="C916">
        <v>144676</v>
      </c>
      <c r="D916" t="s">
        <v>13</v>
      </c>
      <c r="E916" t="s">
        <v>16</v>
      </c>
      <c r="F916">
        <v>19</v>
      </c>
      <c r="G916">
        <v>238735</v>
      </c>
      <c r="H916">
        <v>56</v>
      </c>
      <c r="I916">
        <v>84.659998889999997</v>
      </c>
      <c r="J916">
        <v>4</v>
      </c>
      <c r="K916">
        <v>1</v>
      </c>
    </row>
    <row r="917" spans="1:11" x14ac:dyDescent="0.25">
      <c r="A917">
        <v>1121918</v>
      </c>
      <c r="B917">
        <v>1178</v>
      </c>
      <c r="C917">
        <v>144676</v>
      </c>
      <c r="D917" t="s">
        <v>13</v>
      </c>
      <c r="E917" t="s">
        <v>16</v>
      </c>
      <c r="F917">
        <v>19</v>
      </c>
      <c r="G917">
        <v>320657</v>
      </c>
      <c r="H917">
        <v>77</v>
      </c>
      <c r="I917">
        <v>115.8800026</v>
      </c>
      <c r="J917">
        <v>2</v>
      </c>
      <c r="K917">
        <v>0</v>
      </c>
    </row>
    <row r="918" spans="1:11" x14ac:dyDescent="0.25">
      <c r="A918">
        <v>1121925</v>
      </c>
      <c r="B918">
        <v>1178</v>
      </c>
      <c r="C918">
        <v>144678</v>
      </c>
      <c r="D918" t="s">
        <v>13</v>
      </c>
      <c r="E918" t="s">
        <v>16</v>
      </c>
      <c r="F918">
        <v>21</v>
      </c>
      <c r="G918">
        <v>244074</v>
      </c>
      <c r="H918">
        <v>57</v>
      </c>
      <c r="I918">
        <v>84.510000230000003</v>
      </c>
      <c r="J918">
        <v>4</v>
      </c>
      <c r="K918">
        <v>2</v>
      </c>
    </row>
    <row r="919" spans="1:11" x14ac:dyDescent="0.25">
      <c r="A919">
        <v>1121928</v>
      </c>
      <c r="B919">
        <v>1178</v>
      </c>
      <c r="C919">
        <v>144678</v>
      </c>
      <c r="D919" t="s">
        <v>13</v>
      </c>
      <c r="E919" t="s">
        <v>16</v>
      </c>
      <c r="F919">
        <v>21</v>
      </c>
      <c r="G919">
        <v>39146</v>
      </c>
      <c r="H919">
        <v>8</v>
      </c>
      <c r="I919">
        <v>13.05999959</v>
      </c>
      <c r="J919">
        <v>1</v>
      </c>
      <c r="K919">
        <v>0</v>
      </c>
    </row>
    <row r="920" spans="1:11" x14ac:dyDescent="0.25">
      <c r="A920">
        <v>1121931</v>
      </c>
      <c r="B920">
        <v>1178</v>
      </c>
      <c r="C920">
        <v>144679</v>
      </c>
      <c r="D920" t="s">
        <v>13</v>
      </c>
      <c r="E920" t="s">
        <v>16</v>
      </c>
      <c r="F920">
        <v>22</v>
      </c>
      <c r="G920">
        <v>78468</v>
      </c>
      <c r="H920">
        <v>15</v>
      </c>
      <c r="I920">
        <v>23.649999619999999</v>
      </c>
      <c r="J920">
        <v>1</v>
      </c>
      <c r="K920">
        <v>0</v>
      </c>
    </row>
    <row r="921" spans="1:11" x14ac:dyDescent="0.25">
      <c r="A921">
        <v>1121933</v>
      </c>
      <c r="B921">
        <v>1178</v>
      </c>
      <c r="C921">
        <v>144679</v>
      </c>
      <c r="D921" t="s">
        <v>13</v>
      </c>
      <c r="E921" t="s">
        <v>16</v>
      </c>
      <c r="F921">
        <v>22</v>
      </c>
      <c r="G921">
        <v>325653</v>
      </c>
      <c r="H921">
        <v>63</v>
      </c>
      <c r="I921">
        <v>89.350000260000002</v>
      </c>
      <c r="J921">
        <v>2</v>
      </c>
      <c r="K921">
        <v>0</v>
      </c>
    </row>
    <row r="922" spans="1:11" x14ac:dyDescent="0.25">
      <c r="A922">
        <v>1121935</v>
      </c>
      <c r="B922">
        <v>1178</v>
      </c>
      <c r="C922">
        <v>144679</v>
      </c>
      <c r="D922" t="s">
        <v>13</v>
      </c>
      <c r="E922" t="s">
        <v>16</v>
      </c>
      <c r="F922">
        <v>22</v>
      </c>
      <c r="G922">
        <v>66277</v>
      </c>
      <c r="H922">
        <v>12</v>
      </c>
      <c r="I922">
        <v>17.300000189999999</v>
      </c>
      <c r="J922">
        <v>1</v>
      </c>
      <c r="K922">
        <v>0</v>
      </c>
    </row>
    <row r="923" spans="1:11" x14ac:dyDescent="0.25">
      <c r="A923">
        <v>1121936</v>
      </c>
      <c r="B923">
        <v>1178</v>
      </c>
      <c r="C923">
        <v>144679</v>
      </c>
      <c r="D923" t="s">
        <v>13</v>
      </c>
      <c r="E923" t="s">
        <v>16</v>
      </c>
      <c r="F923">
        <v>22</v>
      </c>
      <c r="G923">
        <v>93002</v>
      </c>
      <c r="H923">
        <v>16</v>
      </c>
      <c r="I923">
        <v>23.339999679999998</v>
      </c>
      <c r="J923">
        <v>1</v>
      </c>
      <c r="K923">
        <v>0</v>
      </c>
    </row>
    <row r="924" spans="1:11" x14ac:dyDescent="0.25">
      <c r="A924">
        <v>1121944</v>
      </c>
      <c r="B924">
        <v>1178</v>
      </c>
      <c r="C924">
        <v>144681</v>
      </c>
      <c r="D924" t="s">
        <v>13</v>
      </c>
      <c r="E924" t="s">
        <v>16</v>
      </c>
      <c r="F924">
        <v>24</v>
      </c>
      <c r="G924">
        <v>109723</v>
      </c>
      <c r="H924">
        <v>27</v>
      </c>
      <c r="I924">
        <v>40.960000399999998</v>
      </c>
      <c r="J924">
        <v>1</v>
      </c>
      <c r="K924">
        <v>0</v>
      </c>
    </row>
    <row r="925" spans="1:11" x14ac:dyDescent="0.25">
      <c r="A925">
        <v>1121948</v>
      </c>
      <c r="B925">
        <v>1178</v>
      </c>
      <c r="C925">
        <v>144681</v>
      </c>
      <c r="D925" t="s">
        <v>13</v>
      </c>
      <c r="E925" t="s">
        <v>16</v>
      </c>
      <c r="F925">
        <v>24</v>
      </c>
      <c r="G925">
        <v>118941</v>
      </c>
      <c r="H925">
        <v>35</v>
      </c>
      <c r="I925">
        <v>50.11000001</v>
      </c>
      <c r="J925">
        <v>4</v>
      </c>
      <c r="K925">
        <v>1</v>
      </c>
    </row>
    <row r="926" spans="1:11" x14ac:dyDescent="0.25">
      <c r="A926">
        <v>1121949</v>
      </c>
      <c r="B926">
        <v>1178</v>
      </c>
      <c r="C926">
        <v>144682</v>
      </c>
      <c r="D926" t="s">
        <v>13</v>
      </c>
      <c r="E926" t="s">
        <v>16</v>
      </c>
      <c r="F926">
        <v>25</v>
      </c>
      <c r="G926">
        <v>221576</v>
      </c>
      <c r="H926">
        <v>47</v>
      </c>
      <c r="I926">
        <v>66.790000680000006</v>
      </c>
      <c r="J926">
        <v>6</v>
      </c>
      <c r="K926">
        <v>1</v>
      </c>
    </row>
    <row r="927" spans="1:11" x14ac:dyDescent="0.25">
      <c r="A927">
        <v>1121953</v>
      </c>
      <c r="B927">
        <v>1178</v>
      </c>
      <c r="C927">
        <v>144682</v>
      </c>
      <c r="D927" t="s">
        <v>13</v>
      </c>
      <c r="E927" t="s">
        <v>16</v>
      </c>
      <c r="F927">
        <v>25</v>
      </c>
      <c r="G927">
        <v>8341</v>
      </c>
      <c r="H927">
        <v>1</v>
      </c>
      <c r="I927">
        <v>1.6399999860000001</v>
      </c>
      <c r="J927">
        <v>1</v>
      </c>
      <c r="K927">
        <v>0</v>
      </c>
    </row>
    <row r="928" spans="1:11" x14ac:dyDescent="0.25">
      <c r="A928">
        <v>1121954</v>
      </c>
      <c r="B928">
        <v>1178</v>
      </c>
      <c r="C928">
        <v>144682</v>
      </c>
      <c r="D928" t="s">
        <v>13</v>
      </c>
      <c r="E928" t="s">
        <v>16</v>
      </c>
      <c r="F928">
        <v>25</v>
      </c>
      <c r="G928">
        <v>120335</v>
      </c>
      <c r="H928">
        <v>26</v>
      </c>
      <c r="I928">
        <v>36.229999300000003</v>
      </c>
      <c r="J928">
        <v>2</v>
      </c>
      <c r="K928">
        <v>0</v>
      </c>
    </row>
    <row r="929" spans="1:11" x14ac:dyDescent="0.25">
      <c r="A929">
        <v>1121955</v>
      </c>
      <c r="B929">
        <v>1178</v>
      </c>
      <c r="C929">
        <v>144683</v>
      </c>
      <c r="D929" t="s">
        <v>13</v>
      </c>
      <c r="E929" t="s">
        <v>16</v>
      </c>
      <c r="F929">
        <v>26</v>
      </c>
      <c r="G929">
        <v>182098</v>
      </c>
      <c r="H929">
        <v>40</v>
      </c>
      <c r="I929">
        <v>62.869999890000003</v>
      </c>
      <c r="J929">
        <v>1</v>
      </c>
      <c r="K929">
        <v>1</v>
      </c>
    </row>
    <row r="930" spans="1:11" x14ac:dyDescent="0.25">
      <c r="A930">
        <v>1121956</v>
      </c>
      <c r="B930">
        <v>1178</v>
      </c>
      <c r="C930">
        <v>144683</v>
      </c>
      <c r="D930" t="s">
        <v>13</v>
      </c>
      <c r="E930" t="s">
        <v>16</v>
      </c>
      <c r="F930">
        <v>26</v>
      </c>
      <c r="G930">
        <v>227473</v>
      </c>
      <c r="H930">
        <v>52</v>
      </c>
      <c r="I930">
        <v>71.580000519999999</v>
      </c>
      <c r="J930">
        <v>1</v>
      </c>
      <c r="K930">
        <v>1</v>
      </c>
    </row>
    <row r="931" spans="1:11" x14ac:dyDescent="0.25">
      <c r="A931">
        <v>1121962</v>
      </c>
      <c r="B931">
        <v>1178</v>
      </c>
      <c r="C931">
        <v>144684</v>
      </c>
      <c r="D931" t="s">
        <v>13</v>
      </c>
      <c r="E931" t="s">
        <v>16</v>
      </c>
      <c r="F931">
        <v>27</v>
      </c>
      <c r="G931">
        <v>1050947</v>
      </c>
      <c r="H931">
        <v>230</v>
      </c>
      <c r="I931">
        <v>350.50999569999999</v>
      </c>
      <c r="J931">
        <v>6</v>
      </c>
      <c r="K931">
        <v>1</v>
      </c>
    </row>
    <row r="932" spans="1:11" x14ac:dyDescent="0.25">
      <c r="A932">
        <v>1121963</v>
      </c>
      <c r="B932">
        <v>1178</v>
      </c>
      <c r="C932">
        <v>144684</v>
      </c>
      <c r="D932" t="s">
        <v>13</v>
      </c>
      <c r="E932" t="s">
        <v>16</v>
      </c>
      <c r="F932">
        <v>27</v>
      </c>
      <c r="G932">
        <v>720859</v>
      </c>
      <c r="H932">
        <v>162</v>
      </c>
      <c r="I932">
        <v>213.6899986</v>
      </c>
      <c r="J932">
        <v>13</v>
      </c>
      <c r="K932">
        <v>5</v>
      </c>
    </row>
    <row r="933" spans="1:11" x14ac:dyDescent="0.25">
      <c r="A933">
        <v>1121971</v>
      </c>
      <c r="B933">
        <v>1178</v>
      </c>
      <c r="C933">
        <v>144685</v>
      </c>
      <c r="D933" t="s">
        <v>13</v>
      </c>
      <c r="E933" t="s">
        <v>16</v>
      </c>
      <c r="F933">
        <v>28</v>
      </c>
      <c r="G933">
        <v>41111</v>
      </c>
      <c r="H933">
        <v>8</v>
      </c>
      <c r="I933">
        <v>10.96000016</v>
      </c>
      <c r="J933">
        <v>1</v>
      </c>
      <c r="K933">
        <v>0</v>
      </c>
    </row>
    <row r="934" spans="1:11" x14ac:dyDescent="0.25">
      <c r="A934">
        <v>1121973</v>
      </c>
      <c r="B934">
        <v>1178</v>
      </c>
      <c r="C934">
        <v>144686</v>
      </c>
      <c r="D934" t="s">
        <v>13</v>
      </c>
      <c r="E934" t="s">
        <v>16</v>
      </c>
      <c r="F934">
        <v>29</v>
      </c>
      <c r="G934">
        <v>148616</v>
      </c>
      <c r="H934">
        <v>25</v>
      </c>
      <c r="I934">
        <v>37.399999620000003</v>
      </c>
      <c r="J934">
        <v>6</v>
      </c>
      <c r="K934">
        <v>4</v>
      </c>
    </row>
    <row r="935" spans="1:11" x14ac:dyDescent="0.25">
      <c r="A935">
        <v>1121976</v>
      </c>
      <c r="B935">
        <v>1178</v>
      </c>
      <c r="C935">
        <v>144686</v>
      </c>
      <c r="D935" t="s">
        <v>13</v>
      </c>
      <c r="E935" t="s">
        <v>16</v>
      </c>
      <c r="F935">
        <v>29</v>
      </c>
      <c r="G935">
        <v>707260</v>
      </c>
      <c r="H935">
        <v>135</v>
      </c>
      <c r="I935">
        <v>210.8200028</v>
      </c>
      <c r="J935">
        <v>13</v>
      </c>
      <c r="K935">
        <v>6</v>
      </c>
    </row>
    <row r="936" spans="1:11" x14ac:dyDescent="0.25">
      <c r="A936">
        <v>1121977</v>
      </c>
      <c r="B936">
        <v>1178</v>
      </c>
      <c r="C936">
        <v>144686</v>
      </c>
      <c r="D936" t="s">
        <v>13</v>
      </c>
      <c r="E936" t="s">
        <v>16</v>
      </c>
      <c r="F936">
        <v>29</v>
      </c>
      <c r="G936">
        <v>139596</v>
      </c>
      <c r="H936">
        <v>26</v>
      </c>
      <c r="I936">
        <v>42.410000320000002</v>
      </c>
      <c r="J936">
        <v>1</v>
      </c>
      <c r="K936">
        <v>1</v>
      </c>
    </row>
    <row r="937" spans="1:11" x14ac:dyDescent="0.25">
      <c r="A937">
        <v>1121983</v>
      </c>
      <c r="B937">
        <v>1178</v>
      </c>
      <c r="C937">
        <v>144687</v>
      </c>
      <c r="D937" t="s">
        <v>13</v>
      </c>
      <c r="E937" t="s">
        <v>16</v>
      </c>
      <c r="F937">
        <v>30</v>
      </c>
      <c r="G937">
        <v>105399</v>
      </c>
      <c r="H937">
        <v>22</v>
      </c>
      <c r="I937">
        <v>33.199999329999997</v>
      </c>
      <c r="J937">
        <v>2</v>
      </c>
      <c r="K937">
        <v>0</v>
      </c>
    </row>
    <row r="938" spans="1:11" x14ac:dyDescent="0.25">
      <c r="A938">
        <v>1121994</v>
      </c>
      <c r="B938">
        <v>1178</v>
      </c>
      <c r="C938">
        <v>144689</v>
      </c>
      <c r="D938" t="s">
        <v>13</v>
      </c>
      <c r="E938" t="s">
        <v>16</v>
      </c>
      <c r="F938">
        <v>32</v>
      </c>
      <c r="G938">
        <v>222378</v>
      </c>
      <c r="H938">
        <v>50</v>
      </c>
      <c r="I938">
        <v>72.910001039999997</v>
      </c>
      <c r="J938">
        <v>1</v>
      </c>
      <c r="K938">
        <v>0</v>
      </c>
    </row>
    <row r="939" spans="1:11" x14ac:dyDescent="0.25">
      <c r="A939">
        <v>1122003</v>
      </c>
      <c r="B939">
        <v>1178</v>
      </c>
      <c r="C939">
        <v>144691</v>
      </c>
      <c r="D939" t="s">
        <v>13</v>
      </c>
      <c r="E939" t="s">
        <v>16</v>
      </c>
      <c r="F939">
        <v>63</v>
      </c>
      <c r="G939">
        <v>975792</v>
      </c>
      <c r="H939">
        <v>210</v>
      </c>
      <c r="I939">
        <v>293.88000110000002</v>
      </c>
      <c r="J939">
        <v>10</v>
      </c>
      <c r="K939">
        <v>4</v>
      </c>
    </row>
    <row r="940" spans="1:11" x14ac:dyDescent="0.25">
      <c r="A940">
        <v>1122004</v>
      </c>
      <c r="B940">
        <v>1178</v>
      </c>
      <c r="C940">
        <v>144691</v>
      </c>
      <c r="D940" t="s">
        <v>13</v>
      </c>
      <c r="E940" t="s">
        <v>16</v>
      </c>
      <c r="F940">
        <v>63</v>
      </c>
      <c r="G940">
        <v>579150</v>
      </c>
      <c r="H940">
        <v>125</v>
      </c>
      <c r="I940">
        <v>167.0499997</v>
      </c>
      <c r="J940">
        <v>5</v>
      </c>
      <c r="K940">
        <v>1</v>
      </c>
    </row>
    <row r="941" spans="1:11" x14ac:dyDescent="0.25">
      <c r="A941">
        <v>1122005</v>
      </c>
      <c r="B941">
        <v>1178</v>
      </c>
      <c r="C941">
        <v>144691</v>
      </c>
      <c r="D941" t="s">
        <v>13</v>
      </c>
      <c r="E941" t="s">
        <v>16</v>
      </c>
      <c r="F941">
        <v>63</v>
      </c>
      <c r="G941">
        <v>449588</v>
      </c>
      <c r="H941">
        <v>81</v>
      </c>
      <c r="I941">
        <v>123.80000099999999</v>
      </c>
      <c r="J941">
        <v>5</v>
      </c>
      <c r="K941">
        <v>2</v>
      </c>
    </row>
    <row r="942" spans="1:11" x14ac:dyDescent="0.25">
      <c r="A942">
        <v>1122006</v>
      </c>
      <c r="B942">
        <v>1178</v>
      </c>
      <c r="C942">
        <v>144691</v>
      </c>
      <c r="D942" t="s">
        <v>13</v>
      </c>
      <c r="E942" t="s">
        <v>16</v>
      </c>
      <c r="F942">
        <v>63</v>
      </c>
      <c r="G942">
        <v>318157</v>
      </c>
      <c r="H942">
        <v>56</v>
      </c>
      <c r="I942">
        <v>85.700001959999994</v>
      </c>
      <c r="J942">
        <v>3</v>
      </c>
      <c r="K942">
        <v>0</v>
      </c>
    </row>
    <row r="943" spans="1:11" x14ac:dyDescent="0.25">
      <c r="A943">
        <v>1122007</v>
      </c>
      <c r="B943">
        <v>1178</v>
      </c>
      <c r="C943">
        <v>144691</v>
      </c>
      <c r="D943" t="s">
        <v>13</v>
      </c>
      <c r="E943" t="s">
        <v>16</v>
      </c>
      <c r="F943">
        <v>63</v>
      </c>
      <c r="G943">
        <v>196967</v>
      </c>
      <c r="H943">
        <v>43</v>
      </c>
      <c r="I943">
        <v>65.179999710000004</v>
      </c>
      <c r="J943">
        <v>2</v>
      </c>
      <c r="K943">
        <v>1</v>
      </c>
    </row>
    <row r="944" spans="1:11" x14ac:dyDescent="0.25">
      <c r="A944">
        <v>1122011</v>
      </c>
      <c r="B944">
        <v>1178</v>
      </c>
      <c r="C944">
        <v>144692</v>
      </c>
      <c r="D944" t="s">
        <v>13</v>
      </c>
      <c r="E944" t="s">
        <v>16</v>
      </c>
      <c r="F944">
        <v>64</v>
      </c>
      <c r="G944">
        <v>158298</v>
      </c>
      <c r="H944">
        <v>37</v>
      </c>
      <c r="I944">
        <v>46.430000069999998</v>
      </c>
      <c r="J944">
        <v>4</v>
      </c>
      <c r="K944">
        <v>1</v>
      </c>
    </row>
    <row r="945" spans="1:11" x14ac:dyDescent="0.25">
      <c r="A945">
        <v>1122012</v>
      </c>
      <c r="B945">
        <v>1178</v>
      </c>
      <c r="C945">
        <v>144692</v>
      </c>
      <c r="D945" t="s">
        <v>13</v>
      </c>
      <c r="E945" t="s">
        <v>16</v>
      </c>
      <c r="F945">
        <v>64</v>
      </c>
      <c r="G945">
        <v>222739</v>
      </c>
      <c r="H945">
        <v>55</v>
      </c>
      <c r="I945">
        <v>68.559999590000004</v>
      </c>
      <c r="J945">
        <v>5</v>
      </c>
      <c r="K945">
        <v>2</v>
      </c>
    </row>
    <row r="946" spans="1:11" x14ac:dyDescent="0.25">
      <c r="A946">
        <v>1122022</v>
      </c>
      <c r="B946">
        <v>1178</v>
      </c>
      <c r="C946">
        <v>144694</v>
      </c>
      <c r="D946" t="s">
        <v>13</v>
      </c>
      <c r="E946" t="s">
        <v>16</v>
      </c>
      <c r="F946">
        <v>2</v>
      </c>
      <c r="G946">
        <v>20780</v>
      </c>
      <c r="H946">
        <v>5</v>
      </c>
      <c r="I946">
        <v>8.1899999379999997</v>
      </c>
      <c r="J946">
        <v>1</v>
      </c>
      <c r="K946">
        <v>0</v>
      </c>
    </row>
    <row r="947" spans="1:11" x14ac:dyDescent="0.25">
      <c r="A947">
        <v>1122027</v>
      </c>
      <c r="B947">
        <v>1178</v>
      </c>
      <c r="C947">
        <v>144695</v>
      </c>
      <c r="D947" t="s">
        <v>13</v>
      </c>
      <c r="E947" t="s">
        <v>16</v>
      </c>
      <c r="F947">
        <v>7</v>
      </c>
      <c r="G947">
        <v>128616</v>
      </c>
      <c r="H947">
        <v>33</v>
      </c>
      <c r="I947">
        <v>48.549999479999997</v>
      </c>
      <c r="J947">
        <v>2</v>
      </c>
      <c r="K947">
        <v>0</v>
      </c>
    </row>
    <row r="948" spans="1:11" x14ac:dyDescent="0.25">
      <c r="A948">
        <v>1122039</v>
      </c>
      <c r="B948">
        <v>1178</v>
      </c>
      <c r="C948">
        <v>144697</v>
      </c>
      <c r="D948" t="s">
        <v>14</v>
      </c>
      <c r="E948" t="s">
        <v>16</v>
      </c>
      <c r="F948">
        <v>10</v>
      </c>
      <c r="G948">
        <v>258954</v>
      </c>
      <c r="H948">
        <v>61</v>
      </c>
      <c r="I948">
        <v>82.279999020000005</v>
      </c>
      <c r="J948">
        <v>1</v>
      </c>
      <c r="K948">
        <v>0</v>
      </c>
    </row>
    <row r="949" spans="1:11" x14ac:dyDescent="0.25">
      <c r="A949">
        <v>1122040</v>
      </c>
      <c r="B949">
        <v>1178</v>
      </c>
      <c r="C949">
        <v>144697</v>
      </c>
      <c r="D949" t="s">
        <v>14</v>
      </c>
      <c r="E949" t="s">
        <v>16</v>
      </c>
      <c r="F949">
        <v>10</v>
      </c>
      <c r="G949">
        <v>205289</v>
      </c>
      <c r="H949">
        <v>48</v>
      </c>
      <c r="I949">
        <v>71.530001040000002</v>
      </c>
      <c r="J949">
        <v>3</v>
      </c>
      <c r="K949">
        <v>0</v>
      </c>
    </row>
    <row r="950" spans="1:11" x14ac:dyDescent="0.25">
      <c r="A950">
        <v>1122041</v>
      </c>
      <c r="B950">
        <v>1178</v>
      </c>
      <c r="C950">
        <v>144697</v>
      </c>
      <c r="D950" t="s">
        <v>14</v>
      </c>
      <c r="E950" t="s">
        <v>16</v>
      </c>
      <c r="F950">
        <v>10</v>
      </c>
      <c r="G950">
        <v>611601</v>
      </c>
      <c r="H950">
        <v>138</v>
      </c>
      <c r="I950">
        <v>191.419996</v>
      </c>
      <c r="J950">
        <v>8</v>
      </c>
      <c r="K950">
        <v>3</v>
      </c>
    </row>
    <row r="951" spans="1:11" x14ac:dyDescent="0.25">
      <c r="A951">
        <v>1122043</v>
      </c>
      <c r="B951">
        <v>1178</v>
      </c>
      <c r="C951">
        <v>144697</v>
      </c>
      <c r="D951" t="s">
        <v>14</v>
      </c>
      <c r="E951" t="s">
        <v>16</v>
      </c>
      <c r="F951">
        <v>10</v>
      </c>
      <c r="G951">
        <v>947657</v>
      </c>
      <c r="H951">
        <v>233</v>
      </c>
      <c r="I951">
        <v>321.87000039999998</v>
      </c>
      <c r="J951">
        <v>8</v>
      </c>
      <c r="K951">
        <v>4</v>
      </c>
    </row>
    <row r="952" spans="1:11" x14ac:dyDescent="0.25">
      <c r="A952">
        <v>1122044</v>
      </c>
      <c r="B952">
        <v>1178</v>
      </c>
      <c r="C952">
        <v>144697</v>
      </c>
      <c r="D952" t="s">
        <v>14</v>
      </c>
      <c r="E952" t="s">
        <v>16</v>
      </c>
      <c r="F952">
        <v>10</v>
      </c>
      <c r="G952">
        <v>233043</v>
      </c>
      <c r="H952">
        <v>49</v>
      </c>
      <c r="I952">
        <v>65.030000329999993</v>
      </c>
      <c r="J952">
        <v>2</v>
      </c>
      <c r="K952">
        <v>0</v>
      </c>
    </row>
    <row r="953" spans="1:11" x14ac:dyDescent="0.25">
      <c r="A953">
        <v>1122047</v>
      </c>
      <c r="B953">
        <v>1178</v>
      </c>
      <c r="C953">
        <v>144698</v>
      </c>
      <c r="D953" t="s">
        <v>14</v>
      </c>
      <c r="E953" t="s">
        <v>16</v>
      </c>
      <c r="F953">
        <v>15</v>
      </c>
      <c r="G953">
        <v>582725</v>
      </c>
      <c r="H953">
        <v>142</v>
      </c>
      <c r="I953">
        <v>194.80999879999999</v>
      </c>
      <c r="J953">
        <v>9</v>
      </c>
      <c r="K953">
        <v>2</v>
      </c>
    </row>
    <row r="954" spans="1:11" x14ac:dyDescent="0.25">
      <c r="A954">
        <v>1122052</v>
      </c>
      <c r="B954">
        <v>1178</v>
      </c>
      <c r="C954">
        <v>144699</v>
      </c>
      <c r="D954" t="s">
        <v>14</v>
      </c>
      <c r="E954" t="s">
        <v>16</v>
      </c>
      <c r="F954">
        <v>16</v>
      </c>
      <c r="G954">
        <v>265038</v>
      </c>
      <c r="H954">
        <v>51</v>
      </c>
      <c r="I954">
        <v>78.459999319999994</v>
      </c>
      <c r="J954">
        <v>2</v>
      </c>
      <c r="K954">
        <v>1</v>
      </c>
    </row>
    <row r="955" spans="1:11" x14ac:dyDescent="0.25">
      <c r="A955">
        <v>1122054</v>
      </c>
      <c r="B955">
        <v>1178</v>
      </c>
      <c r="C955">
        <v>144699</v>
      </c>
      <c r="D955" t="s">
        <v>14</v>
      </c>
      <c r="E955" t="s">
        <v>16</v>
      </c>
      <c r="F955">
        <v>16</v>
      </c>
      <c r="G955">
        <v>222273</v>
      </c>
      <c r="H955">
        <v>39</v>
      </c>
      <c r="I955">
        <v>53.62999868</v>
      </c>
      <c r="J955">
        <v>6</v>
      </c>
      <c r="K955">
        <v>1</v>
      </c>
    </row>
    <row r="956" spans="1:11" x14ac:dyDescent="0.25">
      <c r="A956">
        <v>1122055</v>
      </c>
      <c r="B956">
        <v>1178</v>
      </c>
      <c r="C956">
        <v>144699</v>
      </c>
      <c r="D956" t="s">
        <v>14</v>
      </c>
      <c r="E956" t="s">
        <v>16</v>
      </c>
      <c r="F956">
        <v>16</v>
      </c>
      <c r="G956">
        <v>797234</v>
      </c>
      <c r="H956">
        <v>170</v>
      </c>
      <c r="I956">
        <v>243.7699978</v>
      </c>
      <c r="J956">
        <v>4</v>
      </c>
      <c r="K956">
        <v>1</v>
      </c>
    </row>
    <row r="957" spans="1:11" x14ac:dyDescent="0.25">
      <c r="A957">
        <v>1122056</v>
      </c>
      <c r="B957">
        <v>1178</v>
      </c>
      <c r="C957">
        <v>144699</v>
      </c>
      <c r="D957" t="s">
        <v>14</v>
      </c>
      <c r="E957" t="s">
        <v>16</v>
      </c>
      <c r="F957">
        <v>16</v>
      </c>
      <c r="G957">
        <v>925555</v>
      </c>
      <c r="H957">
        <v>182</v>
      </c>
      <c r="I957">
        <v>262.88999810000001</v>
      </c>
      <c r="J957">
        <v>4</v>
      </c>
      <c r="K957">
        <v>2</v>
      </c>
    </row>
    <row r="958" spans="1:11" x14ac:dyDescent="0.25">
      <c r="A958">
        <v>1122058</v>
      </c>
      <c r="B958">
        <v>1178</v>
      </c>
      <c r="C958">
        <v>144700</v>
      </c>
      <c r="D958" t="s">
        <v>14</v>
      </c>
      <c r="E958" t="s">
        <v>16</v>
      </c>
      <c r="F958">
        <v>18</v>
      </c>
      <c r="G958">
        <v>22210</v>
      </c>
      <c r="H958">
        <v>3</v>
      </c>
      <c r="I958">
        <v>4.0500001909999996</v>
      </c>
      <c r="J958">
        <v>1</v>
      </c>
      <c r="K958">
        <v>1</v>
      </c>
    </row>
    <row r="959" spans="1:11" x14ac:dyDescent="0.25">
      <c r="A959">
        <v>1122075</v>
      </c>
      <c r="B959">
        <v>1178</v>
      </c>
      <c r="C959">
        <v>144703</v>
      </c>
      <c r="D959" t="s">
        <v>14</v>
      </c>
      <c r="E959" t="s">
        <v>16</v>
      </c>
      <c r="F959">
        <v>21</v>
      </c>
      <c r="G959">
        <v>46391</v>
      </c>
      <c r="H959">
        <v>11</v>
      </c>
      <c r="I959">
        <v>16.409999849999998</v>
      </c>
      <c r="J959">
        <v>3</v>
      </c>
      <c r="K959">
        <v>1</v>
      </c>
    </row>
    <row r="960" spans="1:11" x14ac:dyDescent="0.25">
      <c r="A960">
        <v>1122078</v>
      </c>
      <c r="B960">
        <v>1178</v>
      </c>
      <c r="C960">
        <v>144703</v>
      </c>
      <c r="D960" t="s">
        <v>14</v>
      </c>
      <c r="E960" t="s">
        <v>16</v>
      </c>
      <c r="F960">
        <v>21</v>
      </c>
      <c r="G960">
        <v>190477</v>
      </c>
      <c r="H960">
        <v>42</v>
      </c>
      <c r="I960">
        <v>66.389999869999997</v>
      </c>
      <c r="J960">
        <v>1</v>
      </c>
      <c r="K960">
        <v>0</v>
      </c>
    </row>
    <row r="961" spans="1:11" x14ac:dyDescent="0.25">
      <c r="A961">
        <v>1122079</v>
      </c>
      <c r="B961">
        <v>1178</v>
      </c>
      <c r="C961">
        <v>144703</v>
      </c>
      <c r="D961" t="s">
        <v>14</v>
      </c>
      <c r="E961" t="s">
        <v>16</v>
      </c>
      <c r="F961">
        <v>21</v>
      </c>
      <c r="G961">
        <v>25382</v>
      </c>
      <c r="H961">
        <v>7</v>
      </c>
      <c r="I961">
        <v>9.6099998949999996</v>
      </c>
      <c r="J961">
        <v>1</v>
      </c>
      <c r="K961">
        <v>0</v>
      </c>
    </row>
    <row r="962" spans="1:11" x14ac:dyDescent="0.25">
      <c r="A962">
        <v>1122085</v>
      </c>
      <c r="B962">
        <v>1178</v>
      </c>
      <c r="C962">
        <v>144704</v>
      </c>
      <c r="D962" t="s">
        <v>14</v>
      </c>
      <c r="E962" t="s">
        <v>16</v>
      </c>
      <c r="F962">
        <v>22</v>
      </c>
      <c r="G962">
        <v>65726</v>
      </c>
      <c r="H962">
        <v>17</v>
      </c>
      <c r="I962">
        <v>22.12000012</v>
      </c>
      <c r="J962">
        <v>2</v>
      </c>
      <c r="K962">
        <v>0</v>
      </c>
    </row>
    <row r="963" spans="1:11" x14ac:dyDescent="0.25">
      <c r="A963">
        <v>1122089</v>
      </c>
      <c r="B963">
        <v>1178</v>
      </c>
      <c r="C963">
        <v>144705</v>
      </c>
      <c r="D963" t="s">
        <v>14</v>
      </c>
      <c r="E963" t="s">
        <v>16</v>
      </c>
      <c r="F963">
        <v>23</v>
      </c>
      <c r="G963">
        <v>195220</v>
      </c>
      <c r="H963">
        <v>51</v>
      </c>
      <c r="I963">
        <v>78.060000419999994</v>
      </c>
      <c r="J963">
        <v>1</v>
      </c>
      <c r="K963">
        <v>0</v>
      </c>
    </row>
    <row r="964" spans="1:11" x14ac:dyDescent="0.25">
      <c r="A964">
        <v>1122092</v>
      </c>
      <c r="B964">
        <v>1178</v>
      </c>
      <c r="C964">
        <v>144705</v>
      </c>
      <c r="D964" t="s">
        <v>14</v>
      </c>
      <c r="E964" t="s">
        <v>16</v>
      </c>
      <c r="F964">
        <v>23</v>
      </c>
      <c r="G964">
        <v>107501</v>
      </c>
      <c r="H964">
        <v>27</v>
      </c>
      <c r="I964">
        <v>40.87999928</v>
      </c>
      <c r="J964">
        <v>2</v>
      </c>
      <c r="K964">
        <v>2</v>
      </c>
    </row>
    <row r="965" spans="1:11" x14ac:dyDescent="0.25">
      <c r="A965">
        <v>1122101</v>
      </c>
      <c r="B965">
        <v>1178</v>
      </c>
      <c r="C965">
        <v>144707</v>
      </c>
      <c r="D965" t="s">
        <v>14</v>
      </c>
      <c r="E965" t="s">
        <v>16</v>
      </c>
      <c r="F965">
        <v>25</v>
      </c>
      <c r="G965">
        <v>197772</v>
      </c>
      <c r="H965">
        <v>63</v>
      </c>
      <c r="I965">
        <v>88.210000160000007</v>
      </c>
      <c r="J965">
        <v>7</v>
      </c>
      <c r="K965">
        <v>2</v>
      </c>
    </row>
    <row r="966" spans="1:11" x14ac:dyDescent="0.25">
      <c r="A966">
        <v>1122102</v>
      </c>
      <c r="B966">
        <v>1178</v>
      </c>
      <c r="C966">
        <v>144707</v>
      </c>
      <c r="D966" t="s">
        <v>14</v>
      </c>
      <c r="E966" t="s">
        <v>16</v>
      </c>
      <c r="F966">
        <v>25</v>
      </c>
      <c r="G966">
        <v>138154</v>
      </c>
      <c r="H966">
        <v>35</v>
      </c>
      <c r="I966">
        <v>48.939998629999998</v>
      </c>
      <c r="J966">
        <v>1</v>
      </c>
      <c r="K966">
        <v>0</v>
      </c>
    </row>
    <row r="967" spans="1:11" x14ac:dyDescent="0.25">
      <c r="A967">
        <v>1122103</v>
      </c>
      <c r="B967">
        <v>1178</v>
      </c>
      <c r="C967">
        <v>144707</v>
      </c>
      <c r="D967" t="s">
        <v>14</v>
      </c>
      <c r="E967" t="s">
        <v>16</v>
      </c>
      <c r="F967">
        <v>25</v>
      </c>
      <c r="G967">
        <v>270124</v>
      </c>
      <c r="H967">
        <v>69</v>
      </c>
      <c r="I967">
        <v>95.84999895</v>
      </c>
      <c r="J967">
        <v>2</v>
      </c>
      <c r="K967">
        <v>0</v>
      </c>
    </row>
    <row r="968" spans="1:11" x14ac:dyDescent="0.25">
      <c r="A968">
        <v>1122105</v>
      </c>
      <c r="B968">
        <v>1178</v>
      </c>
      <c r="C968">
        <v>144708</v>
      </c>
      <c r="D968" t="s">
        <v>14</v>
      </c>
      <c r="E968" t="s">
        <v>16</v>
      </c>
      <c r="F968">
        <v>26</v>
      </c>
      <c r="G968">
        <v>303971</v>
      </c>
      <c r="H968">
        <v>77</v>
      </c>
      <c r="I968">
        <v>106.9299998</v>
      </c>
      <c r="J968">
        <v>11</v>
      </c>
      <c r="K968">
        <v>6</v>
      </c>
    </row>
    <row r="969" spans="1:11" x14ac:dyDescent="0.25">
      <c r="A969">
        <v>1122107</v>
      </c>
      <c r="B969">
        <v>1178</v>
      </c>
      <c r="C969">
        <v>144708</v>
      </c>
      <c r="D969" t="s">
        <v>14</v>
      </c>
      <c r="E969" t="s">
        <v>16</v>
      </c>
      <c r="F969">
        <v>26</v>
      </c>
      <c r="G969">
        <v>682046</v>
      </c>
      <c r="H969">
        <v>183</v>
      </c>
      <c r="I969">
        <v>254.419997</v>
      </c>
      <c r="J969">
        <v>4</v>
      </c>
      <c r="K969">
        <v>2</v>
      </c>
    </row>
    <row r="970" spans="1:11" x14ac:dyDescent="0.25">
      <c r="A970">
        <v>1122109</v>
      </c>
      <c r="B970">
        <v>1178</v>
      </c>
      <c r="C970">
        <v>144708</v>
      </c>
      <c r="D970" t="s">
        <v>14</v>
      </c>
      <c r="E970" t="s">
        <v>16</v>
      </c>
      <c r="F970">
        <v>26</v>
      </c>
      <c r="G970">
        <v>328365</v>
      </c>
      <c r="H970">
        <v>83</v>
      </c>
      <c r="I970">
        <v>117.3400005</v>
      </c>
      <c r="J970">
        <v>2</v>
      </c>
      <c r="K970">
        <v>1</v>
      </c>
    </row>
    <row r="971" spans="1:11" x14ac:dyDescent="0.25">
      <c r="A971">
        <v>1122112</v>
      </c>
      <c r="B971">
        <v>1178</v>
      </c>
      <c r="C971">
        <v>144709</v>
      </c>
      <c r="D971" t="s">
        <v>14</v>
      </c>
      <c r="E971" t="s">
        <v>16</v>
      </c>
      <c r="F971">
        <v>27</v>
      </c>
      <c r="G971">
        <v>1083259</v>
      </c>
      <c r="H971">
        <v>276</v>
      </c>
      <c r="I971">
        <v>390.25999919999998</v>
      </c>
      <c r="J971">
        <v>11</v>
      </c>
      <c r="K971">
        <v>0</v>
      </c>
    </row>
    <row r="972" spans="1:11" x14ac:dyDescent="0.25">
      <c r="A972">
        <v>1122113</v>
      </c>
      <c r="B972">
        <v>1178</v>
      </c>
      <c r="C972">
        <v>144709</v>
      </c>
      <c r="D972" t="s">
        <v>14</v>
      </c>
      <c r="E972" t="s">
        <v>16</v>
      </c>
      <c r="F972">
        <v>27</v>
      </c>
      <c r="G972">
        <v>913929</v>
      </c>
      <c r="H972">
        <v>245</v>
      </c>
      <c r="I972">
        <v>340.40999929999998</v>
      </c>
      <c r="J972">
        <v>7</v>
      </c>
      <c r="K972">
        <v>2</v>
      </c>
    </row>
    <row r="973" spans="1:11" x14ac:dyDescent="0.25">
      <c r="A973">
        <v>1122118</v>
      </c>
      <c r="B973">
        <v>1178</v>
      </c>
      <c r="C973">
        <v>144710</v>
      </c>
      <c r="D973" t="s">
        <v>14</v>
      </c>
      <c r="E973" t="s">
        <v>16</v>
      </c>
      <c r="F973">
        <v>28</v>
      </c>
      <c r="G973">
        <v>101586</v>
      </c>
      <c r="H973">
        <v>24</v>
      </c>
      <c r="I973">
        <v>33.470000390000003</v>
      </c>
      <c r="J973">
        <v>2</v>
      </c>
      <c r="K973">
        <v>1</v>
      </c>
    </row>
    <row r="974" spans="1:11" x14ac:dyDescent="0.25">
      <c r="A974">
        <v>1122120</v>
      </c>
      <c r="B974">
        <v>1178</v>
      </c>
      <c r="C974">
        <v>144710</v>
      </c>
      <c r="D974" t="s">
        <v>14</v>
      </c>
      <c r="E974" t="s">
        <v>16</v>
      </c>
      <c r="F974">
        <v>28</v>
      </c>
      <c r="G974">
        <v>181053</v>
      </c>
      <c r="H974">
        <v>46</v>
      </c>
      <c r="I974">
        <v>66.279999849999996</v>
      </c>
      <c r="J974">
        <v>3</v>
      </c>
      <c r="K974">
        <v>1</v>
      </c>
    </row>
    <row r="975" spans="1:11" x14ac:dyDescent="0.25">
      <c r="A975">
        <v>1122121</v>
      </c>
      <c r="B975">
        <v>1178</v>
      </c>
      <c r="C975">
        <v>144710</v>
      </c>
      <c r="D975" t="s">
        <v>14</v>
      </c>
      <c r="E975" t="s">
        <v>16</v>
      </c>
      <c r="F975">
        <v>28</v>
      </c>
      <c r="G975">
        <v>133419</v>
      </c>
      <c r="H975">
        <v>35</v>
      </c>
      <c r="I975">
        <v>48.180000069999998</v>
      </c>
      <c r="J975">
        <v>2</v>
      </c>
      <c r="K975">
        <v>1</v>
      </c>
    </row>
    <row r="976" spans="1:11" x14ac:dyDescent="0.25">
      <c r="A976">
        <v>1122125</v>
      </c>
      <c r="B976">
        <v>1178</v>
      </c>
      <c r="C976">
        <v>144711</v>
      </c>
      <c r="D976" t="s">
        <v>14</v>
      </c>
      <c r="E976" t="s">
        <v>16</v>
      </c>
      <c r="F976">
        <v>29</v>
      </c>
      <c r="G976">
        <v>489573</v>
      </c>
      <c r="H976">
        <v>113</v>
      </c>
      <c r="I976">
        <v>156.11999929999999</v>
      </c>
      <c r="J976">
        <v>3</v>
      </c>
      <c r="K976">
        <v>2</v>
      </c>
    </row>
    <row r="977" spans="1:11" x14ac:dyDescent="0.25">
      <c r="A977">
        <v>1122127</v>
      </c>
      <c r="B977">
        <v>1178</v>
      </c>
      <c r="C977">
        <v>144711</v>
      </c>
      <c r="D977" t="s">
        <v>14</v>
      </c>
      <c r="E977" t="s">
        <v>16</v>
      </c>
      <c r="F977">
        <v>29</v>
      </c>
      <c r="G977">
        <v>822023</v>
      </c>
      <c r="H977">
        <v>194</v>
      </c>
      <c r="I977">
        <v>288.33000349999998</v>
      </c>
      <c r="J977">
        <v>6</v>
      </c>
      <c r="K977">
        <v>0</v>
      </c>
    </row>
    <row r="978" spans="1:11" x14ac:dyDescent="0.25">
      <c r="A978">
        <v>1122131</v>
      </c>
      <c r="B978">
        <v>1178</v>
      </c>
      <c r="C978">
        <v>144712</v>
      </c>
      <c r="D978" t="s">
        <v>14</v>
      </c>
      <c r="E978" t="s">
        <v>16</v>
      </c>
      <c r="F978">
        <v>30</v>
      </c>
      <c r="G978">
        <v>93176</v>
      </c>
      <c r="H978">
        <v>29</v>
      </c>
      <c r="I978">
        <v>40.370000240000003</v>
      </c>
      <c r="J978">
        <v>1</v>
      </c>
      <c r="K978">
        <v>1</v>
      </c>
    </row>
    <row r="979" spans="1:11" x14ac:dyDescent="0.25">
      <c r="A979">
        <v>1122138</v>
      </c>
      <c r="B979">
        <v>1178</v>
      </c>
      <c r="C979">
        <v>144713</v>
      </c>
      <c r="D979" t="s">
        <v>14</v>
      </c>
      <c r="E979" t="s">
        <v>16</v>
      </c>
      <c r="F979">
        <v>31</v>
      </c>
      <c r="G979">
        <v>47229</v>
      </c>
      <c r="H979">
        <v>13</v>
      </c>
      <c r="I979">
        <v>19.279999849999999</v>
      </c>
      <c r="J979">
        <v>1</v>
      </c>
      <c r="K979">
        <v>0</v>
      </c>
    </row>
    <row r="980" spans="1:11" x14ac:dyDescent="0.25">
      <c r="A980">
        <v>1122139</v>
      </c>
      <c r="B980">
        <v>1178</v>
      </c>
      <c r="C980">
        <v>144713</v>
      </c>
      <c r="D980" t="s">
        <v>14</v>
      </c>
      <c r="E980" t="s">
        <v>16</v>
      </c>
      <c r="F980">
        <v>31</v>
      </c>
      <c r="G980">
        <v>92263</v>
      </c>
      <c r="H980">
        <v>24</v>
      </c>
      <c r="I980">
        <v>34.030000149999999</v>
      </c>
      <c r="J980">
        <v>1</v>
      </c>
      <c r="K980">
        <v>0</v>
      </c>
    </row>
    <row r="981" spans="1:11" x14ac:dyDescent="0.25">
      <c r="A981">
        <v>1122140</v>
      </c>
      <c r="B981">
        <v>1178</v>
      </c>
      <c r="C981">
        <v>144713</v>
      </c>
      <c r="D981" t="s">
        <v>14</v>
      </c>
      <c r="E981" t="s">
        <v>16</v>
      </c>
      <c r="F981">
        <v>31</v>
      </c>
      <c r="G981">
        <v>81551</v>
      </c>
      <c r="H981">
        <v>21</v>
      </c>
      <c r="I981">
        <v>29.670000080000001</v>
      </c>
      <c r="J981">
        <v>1</v>
      </c>
      <c r="K981">
        <v>0</v>
      </c>
    </row>
    <row r="982" spans="1:11" x14ac:dyDescent="0.25">
      <c r="A982">
        <v>1122145</v>
      </c>
      <c r="B982">
        <v>1178</v>
      </c>
      <c r="C982">
        <v>144714</v>
      </c>
      <c r="D982" t="s">
        <v>14</v>
      </c>
      <c r="E982" t="s">
        <v>16</v>
      </c>
      <c r="F982">
        <v>32</v>
      </c>
      <c r="G982">
        <v>141037</v>
      </c>
      <c r="H982">
        <v>32</v>
      </c>
      <c r="I982">
        <v>47.789999129999998</v>
      </c>
      <c r="J982">
        <v>3</v>
      </c>
      <c r="K982">
        <v>0</v>
      </c>
    </row>
    <row r="983" spans="1:11" x14ac:dyDescent="0.25">
      <c r="A983">
        <v>1122146</v>
      </c>
      <c r="B983">
        <v>1178</v>
      </c>
      <c r="C983">
        <v>144714</v>
      </c>
      <c r="D983" t="s">
        <v>14</v>
      </c>
      <c r="E983" t="s">
        <v>16</v>
      </c>
      <c r="F983">
        <v>32</v>
      </c>
      <c r="G983">
        <v>319501</v>
      </c>
      <c r="H983">
        <v>79</v>
      </c>
      <c r="I983">
        <v>111.6500003</v>
      </c>
      <c r="J983">
        <v>0</v>
      </c>
      <c r="K983">
        <v>0</v>
      </c>
    </row>
    <row r="984" spans="1:11" x14ac:dyDescent="0.25">
      <c r="A984">
        <v>1122149</v>
      </c>
      <c r="B984">
        <v>1178</v>
      </c>
      <c r="C984">
        <v>144715</v>
      </c>
      <c r="D984" t="s">
        <v>14</v>
      </c>
      <c r="E984" t="s">
        <v>16</v>
      </c>
      <c r="F984">
        <v>36</v>
      </c>
      <c r="G984">
        <v>72741</v>
      </c>
      <c r="H984">
        <v>19</v>
      </c>
      <c r="I984">
        <v>24.330000160000001</v>
      </c>
      <c r="J984">
        <v>2</v>
      </c>
      <c r="K984">
        <v>0</v>
      </c>
    </row>
    <row r="985" spans="1:11" x14ac:dyDescent="0.25">
      <c r="A985">
        <v>1122154</v>
      </c>
      <c r="B985">
        <v>1178</v>
      </c>
      <c r="C985">
        <v>144716</v>
      </c>
      <c r="D985" t="s">
        <v>14</v>
      </c>
      <c r="E985" t="s">
        <v>16</v>
      </c>
      <c r="F985">
        <v>63</v>
      </c>
      <c r="G985">
        <v>597419</v>
      </c>
      <c r="H985">
        <v>135</v>
      </c>
      <c r="I985">
        <v>188.51000020000001</v>
      </c>
      <c r="J985">
        <v>2</v>
      </c>
      <c r="K985">
        <v>1</v>
      </c>
    </row>
    <row r="986" spans="1:11" x14ac:dyDescent="0.25">
      <c r="A986">
        <v>1122157</v>
      </c>
      <c r="B986">
        <v>1178</v>
      </c>
      <c r="C986">
        <v>144716</v>
      </c>
      <c r="D986" t="s">
        <v>14</v>
      </c>
      <c r="E986" t="s">
        <v>16</v>
      </c>
      <c r="F986">
        <v>63</v>
      </c>
      <c r="G986">
        <v>98768</v>
      </c>
      <c r="H986">
        <v>21</v>
      </c>
      <c r="I986">
        <v>33.14000034</v>
      </c>
      <c r="J986">
        <v>1</v>
      </c>
      <c r="K986">
        <v>1</v>
      </c>
    </row>
    <row r="987" spans="1:11" x14ac:dyDescent="0.25">
      <c r="A987">
        <v>1122160</v>
      </c>
      <c r="B987">
        <v>1178</v>
      </c>
      <c r="C987">
        <v>144717</v>
      </c>
      <c r="D987" t="s">
        <v>14</v>
      </c>
      <c r="E987" t="s">
        <v>16</v>
      </c>
      <c r="F987">
        <v>64</v>
      </c>
      <c r="G987">
        <v>173165</v>
      </c>
      <c r="H987">
        <v>41</v>
      </c>
      <c r="I987">
        <v>59.850000260000002</v>
      </c>
      <c r="J987">
        <v>1</v>
      </c>
      <c r="K987">
        <v>0</v>
      </c>
    </row>
    <row r="988" spans="1:11" x14ac:dyDescent="0.25">
      <c r="A988">
        <v>1122165</v>
      </c>
      <c r="B988">
        <v>1178</v>
      </c>
      <c r="C988">
        <v>144718</v>
      </c>
      <c r="D988" t="s">
        <v>14</v>
      </c>
      <c r="E988" t="s">
        <v>16</v>
      </c>
      <c r="F988">
        <v>65</v>
      </c>
      <c r="G988">
        <v>55823</v>
      </c>
      <c r="H988">
        <v>13</v>
      </c>
      <c r="I988">
        <v>21.10999966</v>
      </c>
      <c r="J988">
        <v>1</v>
      </c>
      <c r="K988">
        <v>1</v>
      </c>
    </row>
    <row r="989" spans="1:11" x14ac:dyDescent="0.25">
      <c r="A989">
        <v>1122166</v>
      </c>
      <c r="B989">
        <v>1178</v>
      </c>
      <c r="C989">
        <v>144718</v>
      </c>
      <c r="D989" t="s">
        <v>14</v>
      </c>
      <c r="E989" t="s">
        <v>16</v>
      </c>
      <c r="F989">
        <v>65</v>
      </c>
      <c r="G989">
        <v>118451</v>
      </c>
      <c r="H989">
        <v>28</v>
      </c>
      <c r="I989">
        <v>38.350000620000003</v>
      </c>
      <c r="J989">
        <v>4</v>
      </c>
      <c r="K989">
        <v>1</v>
      </c>
    </row>
    <row r="990" spans="1:11" x14ac:dyDescent="0.25">
      <c r="A990">
        <v>1122176</v>
      </c>
      <c r="B990">
        <v>1178</v>
      </c>
      <c r="C990">
        <v>144719</v>
      </c>
      <c r="D990" t="s">
        <v>14</v>
      </c>
      <c r="E990" t="s">
        <v>16</v>
      </c>
      <c r="F990">
        <v>2</v>
      </c>
      <c r="G990">
        <v>74424</v>
      </c>
      <c r="H990">
        <v>22</v>
      </c>
      <c r="I990">
        <v>30.840000270000001</v>
      </c>
      <c r="J990">
        <v>1</v>
      </c>
      <c r="K990">
        <v>1</v>
      </c>
    </row>
    <row r="991" spans="1:11" x14ac:dyDescent="0.25">
      <c r="A991">
        <v>1122177</v>
      </c>
      <c r="B991">
        <v>1178</v>
      </c>
      <c r="C991">
        <v>144720</v>
      </c>
      <c r="D991" t="s">
        <v>14</v>
      </c>
      <c r="E991" t="s">
        <v>16</v>
      </c>
      <c r="F991">
        <v>7</v>
      </c>
      <c r="G991">
        <v>47929</v>
      </c>
      <c r="H991">
        <v>12</v>
      </c>
      <c r="I991">
        <v>14.58999991</v>
      </c>
      <c r="J991">
        <v>1</v>
      </c>
      <c r="K991">
        <v>1</v>
      </c>
    </row>
    <row r="992" spans="1:11" x14ac:dyDescent="0.25">
      <c r="A992">
        <v>1122182</v>
      </c>
      <c r="B992">
        <v>1178</v>
      </c>
      <c r="C992">
        <v>144720</v>
      </c>
      <c r="D992" t="s">
        <v>14</v>
      </c>
      <c r="E992" t="s">
        <v>16</v>
      </c>
      <c r="F992">
        <v>7</v>
      </c>
      <c r="G992">
        <v>40801</v>
      </c>
      <c r="H992">
        <v>12</v>
      </c>
      <c r="I992">
        <v>15.91999972</v>
      </c>
      <c r="J992">
        <v>0</v>
      </c>
      <c r="K992">
        <v>0</v>
      </c>
    </row>
    <row r="993" spans="1:11" x14ac:dyDescent="0.25">
      <c r="A993">
        <v>1122183</v>
      </c>
      <c r="B993">
        <v>1178</v>
      </c>
      <c r="C993">
        <v>144721</v>
      </c>
      <c r="D993" t="s">
        <v>14</v>
      </c>
      <c r="E993" t="s">
        <v>16</v>
      </c>
      <c r="F993">
        <v>66</v>
      </c>
      <c r="G993">
        <v>66017</v>
      </c>
      <c r="H993">
        <v>17</v>
      </c>
      <c r="I993">
        <v>24.220000150000001</v>
      </c>
      <c r="J993">
        <v>1</v>
      </c>
      <c r="K993">
        <v>0</v>
      </c>
    </row>
    <row r="994" spans="1:11" x14ac:dyDescent="0.25">
      <c r="A994">
        <v>1122189</v>
      </c>
      <c r="B994">
        <v>1178</v>
      </c>
      <c r="C994">
        <v>144722</v>
      </c>
      <c r="D994" t="s">
        <v>15</v>
      </c>
      <c r="E994" t="s">
        <v>16</v>
      </c>
      <c r="F994">
        <v>10</v>
      </c>
      <c r="G994">
        <v>725043</v>
      </c>
      <c r="H994">
        <v>179</v>
      </c>
      <c r="I994">
        <v>238.40000069999999</v>
      </c>
      <c r="J994">
        <v>5</v>
      </c>
      <c r="K994">
        <v>3</v>
      </c>
    </row>
    <row r="995" spans="1:11" x14ac:dyDescent="0.25">
      <c r="A995">
        <v>1122191</v>
      </c>
      <c r="B995">
        <v>1178</v>
      </c>
      <c r="C995">
        <v>144722</v>
      </c>
      <c r="D995" t="s">
        <v>15</v>
      </c>
      <c r="E995" t="s">
        <v>16</v>
      </c>
      <c r="F995">
        <v>10</v>
      </c>
      <c r="G995">
        <v>382776</v>
      </c>
      <c r="H995">
        <v>97</v>
      </c>
      <c r="I995">
        <v>132.73000070000001</v>
      </c>
      <c r="J995">
        <v>5</v>
      </c>
      <c r="K995">
        <v>1</v>
      </c>
    </row>
    <row r="996" spans="1:11" x14ac:dyDescent="0.25">
      <c r="A996">
        <v>1122192</v>
      </c>
      <c r="B996">
        <v>1178</v>
      </c>
      <c r="C996">
        <v>144722</v>
      </c>
      <c r="D996" t="s">
        <v>15</v>
      </c>
      <c r="E996" t="s">
        <v>16</v>
      </c>
      <c r="F996">
        <v>10</v>
      </c>
      <c r="G996">
        <v>548250</v>
      </c>
      <c r="H996">
        <v>137</v>
      </c>
      <c r="I996">
        <v>201.6000042</v>
      </c>
      <c r="J996">
        <v>5</v>
      </c>
      <c r="K996">
        <v>1</v>
      </c>
    </row>
    <row r="997" spans="1:11" x14ac:dyDescent="0.25">
      <c r="A997">
        <v>1122193</v>
      </c>
      <c r="B997">
        <v>1178</v>
      </c>
      <c r="C997">
        <v>144722</v>
      </c>
      <c r="D997" t="s">
        <v>15</v>
      </c>
      <c r="E997" t="s">
        <v>16</v>
      </c>
      <c r="F997">
        <v>10</v>
      </c>
      <c r="G997">
        <v>1358324</v>
      </c>
      <c r="H997">
        <v>346</v>
      </c>
      <c r="I997">
        <v>465.07999810000001</v>
      </c>
      <c r="J997">
        <v>8</v>
      </c>
      <c r="K997">
        <v>2</v>
      </c>
    </row>
    <row r="998" spans="1:11" x14ac:dyDescent="0.25">
      <c r="A998">
        <v>1122197</v>
      </c>
      <c r="B998">
        <v>1178</v>
      </c>
      <c r="C998">
        <v>144723</v>
      </c>
      <c r="D998" t="s">
        <v>15</v>
      </c>
      <c r="E998" t="s">
        <v>16</v>
      </c>
      <c r="F998">
        <v>15</v>
      </c>
      <c r="G998">
        <v>662249</v>
      </c>
      <c r="H998">
        <v>163</v>
      </c>
      <c r="I998">
        <v>234.93999919999999</v>
      </c>
      <c r="J998">
        <v>2</v>
      </c>
      <c r="K998">
        <v>0</v>
      </c>
    </row>
    <row r="999" spans="1:11" x14ac:dyDescent="0.25">
      <c r="A999">
        <v>1122200</v>
      </c>
      <c r="B999">
        <v>1178</v>
      </c>
      <c r="C999">
        <v>144723</v>
      </c>
      <c r="D999" t="s">
        <v>15</v>
      </c>
      <c r="E999" t="s">
        <v>16</v>
      </c>
      <c r="F999">
        <v>15</v>
      </c>
      <c r="G999">
        <v>559554</v>
      </c>
      <c r="H999">
        <v>139</v>
      </c>
      <c r="I999">
        <v>195.07999939999999</v>
      </c>
      <c r="J999">
        <v>2</v>
      </c>
      <c r="K999">
        <v>0</v>
      </c>
    </row>
    <row r="1000" spans="1:11" x14ac:dyDescent="0.25">
      <c r="A1000">
        <v>1122201</v>
      </c>
      <c r="B1000">
        <v>1178</v>
      </c>
      <c r="C1000">
        <v>144724</v>
      </c>
      <c r="D1000" t="s">
        <v>15</v>
      </c>
      <c r="E1000" t="s">
        <v>16</v>
      </c>
      <c r="F1000">
        <v>16</v>
      </c>
      <c r="G1000">
        <v>320757</v>
      </c>
      <c r="H1000">
        <v>68</v>
      </c>
      <c r="I1000">
        <v>104.68999890000001</v>
      </c>
      <c r="J1000">
        <v>2</v>
      </c>
      <c r="K1000">
        <v>0</v>
      </c>
    </row>
    <row r="1001" spans="1:11" x14ac:dyDescent="0.25">
      <c r="A1001">
        <v>1122202</v>
      </c>
      <c r="B1001">
        <v>1178</v>
      </c>
      <c r="C1001">
        <v>144724</v>
      </c>
      <c r="D1001" t="s">
        <v>15</v>
      </c>
      <c r="E1001" t="s">
        <v>16</v>
      </c>
      <c r="F1001">
        <v>16</v>
      </c>
      <c r="G1001">
        <v>906151</v>
      </c>
      <c r="H1001">
        <v>202</v>
      </c>
      <c r="I1001">
        <v>295.54999570000001</v>
      </c>
      <c r="J1001">
        <v>1</v>
      </c>
      <c r="K1001">
        <v>0</v>
      </c>
    </row>
    <row r="1002" spans="1:11" x14ac:dyDescent="0.25">
      <c r="A1002">
        <v>1122203</v>
      </c>
      <c r="B1002">
        <v>1178</v>
      </c>
      <c r="C1002">
        <v>144724</v>
      </c>
      <c r="D1002" t="s">
        <v>15</v>
      </c>
      <c r="E1002" t="s">
        <v>16</v>
      </c>
      <c r="F1002">
        <v>16</v>
      </c>
      <c r="G1002">
        <v>699314</v>
      </c>
      <c r="H1002">
        <v>164</v>
      </c>
      <c r="I1002">
        <v>226.0300014</v>
      </c>
      <c r="J1002">
        <v>3</v>
      </c>
      <c r="K1002">
        <v>0</v>
      </c>
    </row>
    <row r="1003" spans="1:11" x14ac:dyDescent="0.25">
      <c r="A1003">
        <v>1122204</v>
      </c>
      <c r="B1003">
        <v>1178</v>
      </c>
      <c r="C1003">
        <v>144724</v>
      </c>
      <c r="D1003" t="s">
        <v>15</v>
      </c>
      <c r="E1003" t="s">
        <v>16</v>
      </c>
      <c r="F1003">
        <v>16</v>
      </c>
      <c r="G1003">
        <v>850337</v>
      </c>
      <c r="H1003">
        <v>198</v>
      </c>
      <c r="I1003">
        <v>287.69000299999999</v>
      </c>
      <c r="J1003">
        <v>3</v>
      </c>
      <c r="K1003">
        <v>1</v>
      </c>
    </row>
    <row r="1004" spans="1:11" x14ac:dyDescent="0.25">
      <c r="A1004">
        <v>1122205</v>
      </c>
      <c r="B1004">
        <v>1178</v>
      </c>
      <c r="C1004">
        <v>144724</v>
      </c>
      <c r="D1004" t="s">
        <v>15</v>
      </c>
      <c r="E1004" t="s">
        <v>16</v>
      </c>
      <c r="F1004">
        <v>16</v>
      </c>
      <c r="G1004">
        <v>1015460</v>
      </c>
      <c r="H1004">
        <v>247</v>
      </c>
      <c r="I1004">
        <v>315.90000509999999</v>
      </c>
      <c r="J1004">
        <v>9</v>
      </c>
      <c r="K1004">
        <v>2</v>
      </c>
    </row>
    <row r="1005" spans="1:11" x14ac:dyDescent="0.25">
      <c r="A1005">
        <v>1122209</v>
      </c>
      <c r="B1005">
        <v>1178</v>
      </c>
      <c r="C1005">
        <v>144725</v>
      </c>
      <c r="D1005" t="s">
        <v>15</v>
      </c>
      <c r="E1005" t="s">
        <v>16</v>
      </c>
      <c r="F1005">
        <v>18</v>
      </c>
      <c r="G1005">
        <v>890295</v>
      </c>
      <c r="H1005">
        <v>227</v>
      </c>
      <c r="I1005">
        <v>332.98999889999999</v>
      </c>
      <c r="J1005">
        <v>1</v>
      </c>
      <c r="K1005">
        <v>0</v>
      </c>
    </row>
    <row r="1006" spans="1:11" x14ac:dyDescent="0.25">
      <c r="A1006">
        <v>1122210</v>
      </c>
      <c r="B1006">
        <v>1178</v>
      </c>
      <c r="C1006">
        <v>144725</v>
      </c>
      <c r="D1006" t="s">
        <v>15</v>
      </c>
      <c r="E1006" t="s">
        <v>16</v>
      </c>
      <c r="F1006">
        <v>18</v>
      </c>
      <c r="G1006">
        <v>791817</v>
      </c>
      <c r="H1006">
        <v>194</v>
      </c>
      <c r="I1006">
        <v>282.49000100000001</v>
      </c>
      <c r="J1006">
        <v>4</v>
      </c>
      <c r="K1006">
        <v>2</v>
      </c>
    </row>
    <row r="1007" spans="1:11" x14ac:dyDescent="0.25">
      <c r="A1007">
        <v>1122211</v>
      </c>
      <c r="B1007">
        <v>1178</v>
      </c>
      <c r="C1007">
        <v>144725</v>
      </c>
      <c r="D1007" t="s">
        <v>15</v>
      </c>
      <c r="E1007" t="s">
        <v>16</v>
      </c>
      <c r="F1007">
        <v>18</v>
      </c>
      <c r="G1007">
        <v>317601</v>
      </c>
      <c r="H1007">
        <v>76</v>
      </c>
      <c r="I1007">
        <v>115.66000080000001</v>
      </c>
      <c r="J1007">
        <v>1</v>
      </c>
      <c r="K1007">
        <v>0</v>
      </c>
    </row>
    <row r="1008" spans="1:11" x14ac:dyDescent="0.25">
      <c r="A1008">
        <v>1122212</v>
      </c>
      <c r="B1008">
        <v>1178</v>
      </c>
      <c r="C1008">
        <v>144725</v>
      </c>
      <c r="D1008" t="s">
        <v>15</v>
      </c>
      <c r="E1008" t="s">
        <v>16</v>
      </c>
      <c r="F1008">
        <v>18</v>
      </c>
      <c r="G1008">
        <v>685211</v>
      </c>
      <c r="H1008">
        <v>164</v>
      </c>
      <c r="I1008">
        <v>247.32000260000001</v>
      </c>
      <c r="J1008">
        <v>4</v>
      </c>
      <c r="K1008">
        <v>3</v>
      </c>
    </row>
    <row r="1009" spans="1:11" x14ac:dyDescent="0.25">
      <c r="A1009">
        <v>1122213</v>
      </c>
      <c r="B1009">
        <v>1178</v>
      </c>
      <c r="C1009">
        <v>144726</v>
      </c>
      <c r="D1009" t="s">
        <v>15</v>
      </c>
      <c r="E1009" t="s">
        <v>16</v>
      </c>
      <c r="F1009">
        <v>19</v>
      </c>
      <c r="G1009">
        <v>32781</v>
      </c>
      <c r="H1009">
        <v>7</v>
      </c>
      <c r="I1009">
        <v>11.200000169999999</v>
      </c>
      <c r="J1009">
        <v>2</v>
      </c>
      <c r="K1009">
        <v>2</v>
      </c>
    </row>
    <row r="1010" spans="1:11" x14ac:dyDescent="0.25">
      <c r="A1010">
        <v>1122216</v>
      </c>
      <c r="B1010">
        <v>1178</v>
      </c>
      <c r="C1010">
        <v>144726</v>
      </c>
      <c r="D1010" t="s">
        <v>15</v>
      </c>
      <c r="E1010" t="s">
        <v>16</v>
      </c>
      <c r="F1010">
        <v>19</v>
      </c>
      <c r="G1010">
        <v>76785</v>
      </c>
      <c r="H1010">
        <v>19</v>
      </c>
      <c r="I1010">
        <v>25.459999979999999</v>
      </c>
      <c r="J1010">
        <v>3</v>
      </c>
      <c r="K1010">
        <v>0</v>
      </c>
    </row>
    <row r="1011" spans="1:11" x14ac:dyDescent="0.25">
      <c r="A1011">
        <v>1122217</v>
      </c>
      <c r="B1011">
        <v>1178</v>
      </c>
      <c r="C1011">
        <v>144726</v>
      </c>
      <c r="D1011" t="s">
        <v>15</v>
      </c>
      <c r="E1011" t="s">
        <v>16</v>
      </c>
      <c r="F1011">
        <v>19</v>
      </c>
      <c r="G1011">
        <v>719083</v>
      </c>
      <c r="H1011">
        <v>206</v>
      </c>
      <c r="I1011">
        <v>299.52999829999999</v>
      </c>
      <c r="J1011">
        <v>12</v>
      </c>
      <c r="K1011">
        <v>5</v>
      </c>
    </row>
    <row r="1012" spans="1:11" x14ac:dyDescent="0.25">
      <c r="A1012">
        <v>1122223</v>
      </c>
      <c r="B1012">
        <v>1178</v>
      </c>
      <c r="C1012">
        <v>144727</v>
      </c>
      <c r="D1012" t="s">
        <v>15</v>
      </c>
      <c r="E1012" t="s">
        <v>16</v>
      </c>
      <c r="F1012">
        <v>20</v>
      </c>
      <c r="G1012">
        <v>368480</v>
      </c>
      <c r="H1012">
        <v>107</v>
      </c>
      <c r="I1012">
        <v>140.42000110000001</v>
      </c>
      <c r="J1012">
        <v>5</v>
      </c>
      <c r="K1012">
        <v>4</v>
      </c>
    </row>
    <row r="1013" spans="1:11" x14ac:dyDescent="0.25">
      <c r="A1013">
        <v>1122224</v>
      </c>
      <c r="B1013">
        <v>1178</v>
      </c>
      <c r="C1013">
        <v>144727</v>
      </c>
      <c r="D1013" t="s">
        <v>15</v>
      </c>
      <c r="E1013" t="s">
        <v>16</v>
      </c>
      <c r="F1013">
        <v>20</v>
      </c>
      <c r="G1013">
        <v>260945</v>
      </c>
      <c r="H1013">
        <v>73</v>
      </c>
      <c r="I1013">
        <v>100.8800011</v>
      </c>
      <c r="J1013">
        <v>2</v>
      </c>
      <c r="K1013">
        <v>2</v>
      </c>
    </row>
    <row r="1014" spans="1:11" x14ac:dyDescent="0.25">
      <c r="A1014">
        <v>1122225</v>
      </c>
      <c r="B1014">
        <v>1178</v>
      </c>
      <c r="C1014">
        <v>144728</v>
      </c>
      <c r="D1014" t="s">
        <v>15</v>
      </c>
      <c r="E1014" t="s">
        <v>16</v>
      </c>
      <c r="F1014">
        <v>21</v>
      </c>
      <c r="G1014">
        <v>40998</v>
      </c>
      <c r="H1014">
        <v>10</v>
      </c>
      <c r="I1014">
        <v>13.350000380000001</v>
      </c>
      <c r="J1014">
        <v>1</v>
      </c>
      <c r="K1014">
        <v>0</v>
      </c>
    </row>
    <row r="1015" spans="1:11" x14ac:dyDescent="0.25">
      <c r="A1015">
        <v>1122227</v>
      </c>
      <c r="B1015">
        <v>1178</v>
      </c>
      <c r="C1015">
        <v>144728</v>
      </c>
      <c r="D1015" t="s">
        <v>15</v>
      </c>
      <c r="E1015" t="s">
        <v>16</v>
      </c>
      <c r="F1015">
        <v>21</v>
      </c>
      <c r="G1015">
        <v>183293</v>
      </c>
      <c r="H1015">
        <v>53</v>
      </c>
      <c r="I1015">
        <v>73.749999639999999</v>
      </c>
      <c r="J1015">
        <v>2</v>
      </c>
      <c r="K1015">
        <v>1</v>
      </c>
    </row>
    <row r="1016" spans="1:11" x14ac:dyDescent="0.25">
      <c r="A1016">
        <v>1122232</v>
      </c>
      <c r="B1016">
        <v>1178</v>
      </c>
      <c r="C1016">
        <v>144729</v>
      </c>
      <c r="D1016" t="s">
        <v>15</v>
      </c>
      <c r="E1016" t="s">
        <v>16</v>
      </c>
      <c r="F1016">
        <v>22</v>
      </c>
      <c r="G1016">
        <v>221561</v>
      </c>
      <c r="H1016">
        <v>55</v>
      </c>
      <c r="I1016">
        <v>76.759999160000007</v>
      </c>
      <c r="J1016">
        <v>1</v>
      </c>
      <c r="K1016">
        <v>0</v>
      </c>
    </row>
    <row r="1017" spans="1:11" x14ac:dyDescent="0.25">
      <c r="A1017">
        <v>1122233</v>
      </c>
      <c r="B1017">
        <v>1178</v>
      </c>
      <c r="C1017">
        <v>144729</v>
      </c>
      <c r="D1017" t="s">
        <v>15</v>
      </c>
      <c r="E1017" t="s">
        <v>16</v>
      </c>
      <c r="F1017">
        <v>22</v>
      </c>
      <c r="G1017">
        <v>436943</v>
      </c>
      <c r="H1017">
        <v>109</v>
      </c>
      <c r="I1017">
        <v>145.81999740000001</v>
      </c>
      <c r="J1017">
        <v>1</v>
      </c>
      <c r="K1017">
        <v>1</v>
      </c>
    </row>
    <row r="1018" spans="1:11" x14ac:dyDescent="0.25">
      <c r="A1018">
        <v>1122240</v>
      </c>
      <c r="B1018">
        <v>1178</v>
      </c>
      <c r="C1018">
        <v>144730</v>
      </c>
      <c r="D1018" t="s">
        <v>15</v>
      </c>
      <c r="E1018" t="s">
        <v>16</v>
      </c>
      <c r="F1018">
        <v>23</v>
      </c>
      <c r="G1018">
        <v>284488</v>
      </c>
      <c r="H1018">
        <v>90</v>
      </c>
      <c r="I1018">
        <v>125.2700011</v>
      </c>
      <c r="J1018">
        <v>1</v>
      </c>
      <c r="K1018">
        <v>1</v>
      </c>
    </row>
    <row r="1019" spans="1:11" x14ac:dyDescent="0.25">
      <c r="A1019">
        <v>1122244</v>
      </c>
      <c r="B1019">
        <v>1178</v>
      </c>
      <c r="C1019">
        <v>144731</v>
      </c>
      <c r="D1019" t="s">
        <v>15</v>
      </c>
      <c r="E1019" t="s">
        <v>16</v>
      </c>
      <c r="F1019">
        <v>24</v>
      </c>
      <c r="G1019">
        <v>85083</v>
      </c>
      <c r="H1019">
        <v>32</v>
      </c>
      <c r="I1019">
        <v>38.629999759999997</v>
      </c>
      <c r="J1019">
        <v>1</v>
      </c>
      <c r="K1019">
        <v>1</v>
      </c>
    </row>
    <row r="1020" spans="1:11" x14ac:dyDescent="0.25">
      <c r="A1020">
        <v>1122246</v>
      </c>
      <c r="B1020">
        <v>1178</v>
      </c>
      <c r="C1020">
        <v>144731</v>
      </c>
      <c r="D1020" t="s">
        <v>15</v>
      </c>
      <c r="E1020" t="s">
        <v>16</v>
      </c>
      <c r="F1020">
        <v>24</v>
      </c>
      <c r="G1020">
        <v>14167</v>
      </c>
      <c r="H1020">
        <v>5</v>
      </c>
      <c r="I1020">
        <v>7.1399999860000003</v>
      </c>
      <c r="J1020">
        <v>1</v>
      </c>
      <c r="K1020">
        <v>0</v>
      </c>
    </row>
    <row r="1021" spans="1:11" x14ac:dyDescent="0.25">
      <c r="A1021">
        <v>1122249</v>
      </c>
      <c r="B1021">
        <v>1178</v>
      </c>
      <c r="C1021">
        <v>144732</v>
      </c>
      <c r="D1021" t="s">
        <v>15</v>
      </c>
      <c r="E1021" t="s">
        <v>16</v>
      </c>
      <c r="F1021">
        <v>25</v>
      </c>
      <c r="G1021">
        <v>300637</v>
      </c>
      <c r="H1021">
        <v>84</v>
      </c>
      <c r="I1021">
        <v>116.98999809999999</v>
      </c>
      <c r="J1021">
        <v>2</v>
      </c>
      <c r="K1021">
        <v>0</v>
      </c>
    </row>
    <row r="1022" spans="1:11" x14ac:dyDescent="0.25">
      <c r="A1022">
        <v>1122253</v>
      </c>
      <c r="B1022">
        <v>1178</v>
      </c>
      <c r="C1022">
        <v>144732</v>
      </c>
      <c r="D1022" t="s">
        <v>15</v>
      </c>
      <c r="E1022" t="s">
        <v>16</v>
      </c>
      <c r="F1022">
        <v>25</v>
      </c>
      <c r="G1022">
        <v>449921</v>
      </c>
      <c r="H1022">
        <v>129</v>
      </c>
      <c r="I1022">
        <v>175.9700005</v>
      </c>
      <c r="J1022">
        <v>5</v>
      </c>
      <c r="K1022">
        <v>1</v>
      </c>
    </row>
    <row r="1023" spans="1:11" x14ac:dyDescent="0.25">
      <c r="A1023">
        <v>1122254</v>
      </c>
      <c r="B1023">
        <v>1178</v>
      </c>
      <c r="C1023">
        <v>144732</v>
      </c>
      <c r="D1023" t="s">
        <v>15</v>
      </c>
      <c r="E1023" t="s">
        <v>16</v>
      </c>
      <c r="F1023">
        <v>25</v>
      </c>
      <c r="G1023">
        <v>282899</v>
      </c>
      <c r="H1023">
        <v>71</v>
      </c>
      <c r="I1023">
        <v>105.6600007</v>
      </c>
      <c r="J1023">
        <v>1</v>
      </c>
      <c r="K1023">
        <v>0</v>
      </c>
    </row>
    <row r="1024" spans="1:11" x14ac:dyDescent="0.25">
      <c r="A1024">
        <v>1122257</v>
      </c>
      <c r="B1024">
        <v>1178</v>
      </c>
      <c r="C1024">
        <v>144733</v>
      </c>
      <c r="D1024" t="s">
        <v>15</v>
      </c>
      <c r="E1024" t="s">
        <v>16</v>
      </c>
      <c r="F1024">
        <v>26</v>
      </c>
      <c r="G1024">
        <v>669671</v>
      </c>
      <c r="H1024">
        <v>186</v>
      </c>
      <c r="I1024">
        <v>259.17999880000002</v>
      </c>
      <c r="J1024">
        <v>4</v>
      </c>
      <c r="K1024">
        <v>1</v>
      </c>
    </row>
    <row r="1025" spans="1:11" x14ac:dyDescent="0.25">
      <c r="A1025">
        <v>1122258</v>
      </c>
      <c r="B1025">
        <v>1178</v>
      </c>
      <c r="C1025">
        <v>144733</v>
      </c>
      <c r="D1025" t="s">
        <v>15</v>
      </c>
      <c r="E1025" t="s">
        <v>16</v>
      </c>
      <c r="F1025">
        <v>26</v>
      </c>
      <c r="G1025">
        <v>108655</v>
      </c>
      <c r="H1025">
        <v>28</v>
      </c>
      <c r="I1025">
        <v>46.920001859999999</v>
      </c>
      <c r="J1025">
        <v>1</v>
      </c>
      <c r="K1025">
        <v>0</v>
      </c>
    </row>
    <row r="1026" spans="1:11" x14ac:dyDescent="0.25">
      <c r="A1026">
        <v>1122260</v>
      </c>
      <c r="B1026">
        <v>1178</v>
      </c>
      <c r="C1026">
        <v>144733</v>
      </c>
      <c r="D1026" t="s">
        <v>15</v>
      </c>
      <c r="E1026" t="s">
        <v>16</v>
      </c>
      <c r="F1026">
        <v>26</v>
      </c>
      <c r="G1026">
        <v>536248</v>
      </c>
      <c r="H1026">
        <v>146</v>
      </c>
      <c r="I1026">
        <v>187.7399978</v>
      </c>
      <c r="J1026">
        <v>3</v>
      </c>
      <c r="K1026">
        <v>0</v>
      </c>
    </row>
    <row r="1027" spans="1:11" x14ac:dyDescent="0.25">
      <c r="A1027">
        <v>1122262</v>
      </c>
      <c r="B1027">
        <v>1178</v>
      </c>
      <c r="C1027">
        <v>144734</v>
      </c>
      <c r="D1027" t="s">
        <v>15</v>
      </c>
      <c r="E1027" t="s">
        <v>16</v>
      </c>
      <c r="F1027">
        <v>27</v>
      </c>
      <c r="G1027">
        <v>1055017</v>
      </c>
      <c r="H1027">
        <v>265</v>
      </c>
      <c r="I1027">
        <v>380.65999520000003</v>
      </c>
      <c r="J1027">
        <v>16</v>
      </c>
      <c r="K1027">
        <v>2</v>
      </c>
    </row>
    <row r="1028" spans="1:11" x14ac:dyDescent="0.25">
      <c r="A1028">
        <v>1122265</v>
      </c>
      <c r="B1028">
        <v>1178</v>
      </c>
      <c r="C1028">
        <v>144734</v>
      </c>
      <c r="D1028" t="s">
        <v>15</v>
      </c>
      <c r="E1028" t="s">
        <v>16</v>
      </c>
      <c r="F1028">
        <v>27</v>
      </c>
      <c r="G1028">
        <v>1428421</v>
      </c>
      <c r="H1028">
        <v>367</v>
      </c>
      <c r="I1028">
        <v>541.70000230000005</v>
      </c>
      <c r="J1028">
        <v>10</v>
      </c>
      <c r="K1028">
        <v>0</v>
      </c>
    </row>
    <row r="1029" spans="1:11" x14ac:dyDescent="0.25">
      <c r="A1029">
        <v>1122266</v>
      </c>
      <c r="B1029">
        <v>1178</v>
      </c>
      <c r="C1029">
        <v>144734</v>
      </c>
      <c r="D1029" t="s">
        <v>15</v>
      </c>
      <c r="E1029" t="s">
        <v>16</v>
      </c>
      <c r="F1029">
        <v>27</v>
      </c>
      <c r="G1029">
        <v>1088027</v>
      </c>
      <c r="H1029">
        <v>272</v>
      </c>
      <c r="I1029">
        <v>409.56000260000002</v>
      </c>
      <c r="J1029">
        <v>9</v>
      </c>
      <c r="K1029">
        <v>4</v>
      </c>
    </row>
    <row r="1030" spans="1:11" x14ac:dyDescent="0.25">
      <c r="A1030">
        <v>1122267</v>
      </c>
      <c r="B1030">
        <v>1178</v>
      </c>
      <c r="C1030">
        <v>144735</v>
      </c>
      <c r="D1030" t="s">
        <v>15</v>
      </c>
      <c r="E1030" t="s">
        <v>16</v>
      </c>
      <c r="F1030">
        <v>28</v>
      </c>
      <c r="G1030">
        <v>288517</v>
      </c>
      <c r="H1030">
        <v>78</v>
      </c>
      <c r="I1030">
        <v>102.3900002</v>
      </c>
      <c r="J1030">
        <v>3</v>
      </c>
      <c r="K1030">
        <v>0</v>
      </c>
    </row>
    <row r="1031" spans="1:11" x14ac:dyDescent="0.25">
      <c r="A1031">
        <v>1122268</v>
      </c>
      <c r="B1031">
        <v>1178</v>
      </c>
      <c r="C1031">
        <v>144735</v>
      </c>
      <c r="D1031" t="s">
        <v>15</v>
      </c>
      <c r="E1031" t="s">
        <v>16</v>
      </c>
      <c r="F1031">
        <v>28</v>
      </c>
      <c r="G1031">
        <v>202231</v>
      </c>
      <c r="H1031">
        <v>53</v>
      </c>
      <c r="I1031">
        <v>67.130001070000006</v>
      </c>
      <c r="J1031">
        <v>3</v>
      </c>
      <c r="K1031">
        <v>1</v>
      </c>
    </row>
    <row r="1032" spans="1:11" x14ac:dyDescent="0.25">
      <c r="A1032">
        <v>1122270</v>
      </c>
      <c r="B1032">
        <v>1178</v>
      </c>
      <c r="C1032">
        <v>144735</v>
      </c>
      <c r="D1032" t="s">
        <v>15</v>
      </c>
      <c r="E1032" t="s">
        <v>16</v>
      </c>
      <c r="F1032">
        <v>28</v>
      </c>
      <c r="G1032">
        <v>73222</v>
      </c>
      <c r="H1032">
        <v>16</v>
      </c>
      <c r="I1032">
        <v>22.860000249999999</v>
      </c>
      <c r="J1032">
        <v>1</v>
      </c>
      <c r="K1032">
        <v>0</v>
      </c>
    </row>
    <row r="1033" spans="1:11" x14ac:dyDescent="0.25">
      <c r="A1033">
        <v>1122271</v>
      </c>
      <c r="B1033">
        <v>1178</v>
      </c>
      <c r="C1033">
        <v>144735</v>
      </c>
      <c r="D1033" t="s">
        <v>15</v>
      </c>
      <c r="E1033" t="s">
        <v>16</v>
      </c>
      <c r="F1033">
        <v>28</v>
      </c>
      <c r="G1033">
        <v>348542</v>
      </c>
      <c r="H1033">
        <v>96</v>
      </c>
      <c r="I1033">
        <v>134.88999899999999</v>
      </c>
      <c r="J1033">
        <v>2</v>
      </c>
      <c r="K1033">
        <v>0</v>
      </c>
    </row>
    <row r="1034" spans="1:11" x14ac:dyDescent="0.25">
      <c r="A1034">
        <v>1122273</v>
      </c>
      <c r="B1034">
        <v>1178</v>
      </c>
      <c r="C1034">
        <v>144736</v>
      </c>
      <c r="D1034" t="s">
        <v>15</v>
      </c>
      <c r="E1034" t="s">
        <v>16</v>
      </c>
      <c r="F1034">
        <v>29</v>
      </c>
      <c r="G1034">
        <v>1097966</v>
      </c>
      <c r="H1034">
        <v>266</v>
      </c>
      <c r="I1034">
        <v>369.069997</v>
      </c>
      <c r="J1034">
        <v>16</v>
      </c>
      <c r="K1034">
        <v>8</v>
      </c>
    </row>
    <row r="1035" spans="1:11" x14ac:dyDescent="0.25">
      <c r="A1035">
        <v>1122274</v>
      </c>
      <c r="B1035">
        <v>1178</v>
      </c>
      <c r="C1035">
        <v>144736</v>
      </c>
      <c r="D1035" t="s">
        <v>15</v>
      </c>
      <c r="E1035" t="s">
        <v>16</v>
      </c>
      <c r="F1035">
        <v>29</v>
      </c>
      <c r="G1035">
        <v>526923</v>
      </c>
      <c r="H1035">
        <v>138</v>
      </c>
      <c r="I1035">
        <v>198.0899972</v>
      </c>
      <c r="J1035">
        <v>2</v>
      </c>
      <c r="K1035">
        <v>1</v>
      </c>
    </row>
    <row r="1036" spans="1:11" x14ac:dyDescent="0.25">
      <c r="A1036">
        <v>1122276</v>
      </c>
      <c r="B1036">
        <v>1178</v>
      </c>
      <c r="C1036">
        <v>144736</v>
      </c>
      <c r="D1036" t="s">
        <v>15</v>
      </c>
      <c r="E1036" t="s">
        <v>16</v>
      </c>
      <c r="F1036">
        <v>29</v>
      </c>
      <c r="G1036">
        <v>264386</v>
      </c>
      <c r="H1036">
        <v>66</v>
      </c>
      <c r="I1036">
        <v>91.000000540000002</v>
      </c>
      <c r="J1036">
        <v>4</v>
      </c>
      <c r="K1036">
        <v>1</v>
      </c>
    </row>
    <row r="1037" spans="1:11" x14ac:dyDescent="0.25">
      <c r="A1037">
        <v>1122277</v>
      </c>
      <c r="B1037">
        <v>1178</v>
      </c>
      <c r="C1037">
        <v>144736</v>
      </c>
      <c r="D1037" t="s">
        <v>15</v>
      </c>
      <c r="E1037" t="s">
        <v>16</v>
      </c>
      <c r="F1037">
        <v>29</v>
      </c>
      <c r="G1037">
        <v>854940</v>
      </c>
      <c r="H1037">
        <v>227</v>
      </c>
      <c r="I1037">
        <v>297.91000070000001</v>
      </c>
      <c r="J1037">
        <v>8</v>
      </c>
      <c r="K1037">
        <v>3</v>
      </c>
    </row>
    <row r="1038" spans="1:11" x14ac:dyDescent="0.25">
      <c r="A1038">
        <v>1122279</v>
      </c>
      <c r="B1038">
        <v>1178</v>
      </c>
      <c r="C1038">
        <v>144737</v>
      </c>
      <c r="D1038" t="s">
        <v>15</v>
      </c>
      <c r="E1038" t="s">
        <v>16</v>
      </c>
      <c r="F1038">
        <v>30</v>
      </c>
      <c r="G1038">
        <v>113567</v>
      </c>
      <c r="H1038">
        <v>34</v>
      </c>
      <c r="I1038">
        <v>50.29000044</v>
      </c>
      <c r="J1038">
        <v>3</v>
      </c>
      <c r="K1038">
        <v>0</v>
      </c>
    </row>
    <row r="1039" spans="1:11" x14ac:dyDescent="0.25">
      <c r="A1039">
        <v>1122282</v>
      </c>
      <c r="B1039">
        <v>1178</v>
      </c>
      <c r="C1039">
        <v>144737</v>
      </c>
      <c r="D1039" t="s">
        <v>15</v>
      </c>
      <c r="E1039" t="s">
        <v>16</v>
      </c>
      <c r="F1039">
        <v>30</v>
      </c>
      <c r="G1039">
        <v>22859</v>
      </c>
      <c r="H1039">
        <v>6</v>
      </c>
      <c r="I1039">
        <v>9.4199998380000007</v>
      </c>
      <c r="J1039">
        <v>1</v>
      </c>
      <c r="K1039">
        <v>0</v>
      </c>
    </row>
    <row r="1040" spans="1:11" x14ac:dyDescent="0.25">
      <c r="A1040">
        <v>1122288</v>
      </c>
      <c r="B1040">
        <v>1178</v>
      </c>
      <c r="C1040">
        <v>144738</v>
      </c>
      <c r="D1040" t="s">
        <v>15</v>
      </c>
      <c r="E1040" t="s">
        <v>16</v>
      </c>
      <c r="F1040">
        <v>31</v>
      </c>
      <c r="G1040">
        <v>51754</v>
      </c>
      <c r="H1040">
        <v>13</v>
      </c>
      <c r="I1040">
        <v>20.519999980000001</v>
      </c>
      <c r="J1040">
        <v>1</v>
      </c>
      <c r="K1040">
        <v>0</v>
      </c>
    </row>
    <row r="1041" spans="1:11" x14ac:dyDescent="0.25">
      <c r="A1041">
        <v>1122290</v>
      </c>
      <c r="B1041">
        <v>1178</v>
      </c>
      <c r="C1041">
        <v>144738</v>
      </c>
      <c r="D1041" t="s">
        <v>15</v>
      </c>
      <c r="E1041" t="s">
        <v>16</v>
      </c>
      <c r="F1041">
        <v>31</v>
      </c>
      <c r="G1041">
        <v>104347</v>
      </c>
      <c r="H1041">
        <v>28</v>
      </c>
      <c r="I1041">
        <v>38.139999930000002</v>
      </c>
      <c r="J1041">
        <v>4</v>
      </c>
      <c r="K1041">
        <v>3</v>
      </c>
    </row>
    <row r="1042" spans="1:11" x14ac:dyDescent="0.25">
      <c r="A1042">
        <v>1122303</v>
      </c>
      <c r="B1042">
        <v>1178</v>
      </c>
      <c r="C1042">
        <v>144741</v>
      </c>
      <c r="D1042" t="s">
        <v>15</v>
      </c>
      <c r="E1042" t="s">
        <v>16</v>
      </c>
      <c r="F1042">
        <v>63</v>
      </c>
      <c r="G1042">
        <v>391998</v>
      </c>
      <c r="H1042">
        <v>97</v>
      </c>
      <c r="I1042">
        <v>142.05000250000001</v>
      </c>
      <c r="J1042">
        <v>3</v>
      </c>
      <c r="K1042">
        <v>1</v>
      </c>
    </row>
    <row r="1043" spans="1:11" x14ac:dyDescent="0.25">
      <c r="A1043">
        <v>1122304</v>
      </c>
      <c r="B1043">
        <v>1178</v>
      </c>
      <c r="C1043">
        <v>144741</v>
      </c>
      <c r="D1043" t="s">
        <v>15</v>
      </c>
      <c r="E1043" t="s">
        <v>16</v>
      </c>
      <c r="F1043">
        <v>63</v>
      </c>
      <c r="G1043">
        <v>1111156</v>
      </c>
      <c r="H1043">
        <v>282</v>
      </c>
      <c r="I1043">
        <v>402.30000260000003</v>
      </c>
      <c r="J1043">
        <v>5</v>
      </c>
      <c r="K1043">
        <v>0</v>
      </c>
    </row>
    <row r="1044" spans="1:11" x14ac:dyDescent="0.25">
      <c r="A1044">
        <v>1122308</v>
      </c>
      <c r="B1044">
        <v>1178</v>
      </c>
      <c r="C1044">
        <v>144741</v>
      </c>
      <c r="D1044" t="s">
        <v>15</v>
      </c>
      <c r="E1044" t="s">
        <v>16</v>
      </c>
      <c r="F1044">
        <v>63</v>
      </c>
      <c r="G1044">
        <v>427772</v>
      </c>
      <c r="H1044">
        <v>117</v>
      </c>
      <c r="I1044">
        <v>159.29999900000001</v>
      </c>
      <c r="J1044">
        <v>3</v>
      </c>
      <c r="K1044">
        <v>1</v>
      </c>
    </row>
    <row r="1045" spans="1:11" x14ac:dyDescent="0.25">
      <c r="A1045">
        <v>1122310</v>
      </c>
      <c r="B1045">
        <v>1178</v>
      </c>
      <c r="C1045">
        <v>144742</v>
      </c>
      <c r="D1045" t="s">
        <v>15</v>
      </c>
      <c r="E1045" t="s">
        <v>16</v>
      </c>
      <c r="F1045">
        <v>64</v>
      </c>
      <c r="G1045">
        <v>536457</v>
      </c>
      <c r="H1045">
        <v>136</v>
      </c>
      <c r="I1045">
        <v>193.65999909999999</v>
      </c>
      <c r="J1045">
        <v>2</v>
      </c>
      <c r="K1045">
        <v>1</v>
      </c>
    </row>
    <row r="1046" spans="1:11" x14ac:dyDescent="0.25">
      <c r="A1046">
        <v>1122311</v>
      </c>
      <c r="B1046">
        <v>1178</v>
      </c>
      <c r="C1046">
        <v>144742</v>
      </c>
      <c r="D1046" t="s">
        <v>15</v>
      </c>
      <c r="E1046" t="s">
        <v>16</v>
      </c>
      <c r="F1046">
        <v>64</v>
      </c>
      <c r="G1046">
        <v>179894</v>
      </c>
      <c r="H1046">
        <v>43</v>
      </c>
      <c r="I1046">
        <v>66.839998719999997</v>
      </c>
      <c r="J1046">
        <v>2</v>
      </c>
      <c r="K1046">
        <v>0</v>
      </c>
    </row>
    <row r="1047" spans="1:11" x14ac:dyDescent="0.25">
      <c r="A1047">
        <v>1122312</v>
      </c>
      <c r="B1047">
        <v>1178</v>
      </c>
      <c r="C1047">
        <v>144742</v>
      </c>
      <c r="D1047" t="s">
        <v>15</v>
      </c>
      <c r="E1047" t="s">
        <v>16</v>
      </c>
      <c r="F1047">
        <v>64</v>
      </c>
      <c r="G1047">
        <v>479882</v>
      </c>
      <c r="H1047">
        <v>131</v>
      </c>
      <c r="I1047">
        <v>178.6700007</v>
      </c>
      <c r="J1047">
        <v>6</v>
      </c>
      <c r="K1047">
        <v>0</v>
      </c>
    </row>
    <row r="1048" spans="1:11" x14ac:dyDescent="0.25">
      <c r="A1048">
        <v>1122313</v>
      </c>
      <c r="B1048">
        <v>1178</v>
      </c>
      <c r="C1048">
        <v>144742</v>
      </c>
      <c r="D1048" t="s">
        <v>15</v>
      </c>
      <c r="E1048" t="s">
        <v>16</v>
      </c>
      <c r="F1048">
        <v>64</v>
      </c>
      <c r="G1048">
        <v>358261</v>
      </c>
      <c r="H1048">
        <v>91</v>
      </c>
      <c r="I1048">
        <v>130.36000110000001</v>
      </c>
      <c r="J1048">
        <v>1</v>
      </c>
      <c r="K1048">
        <v>0</v>
      </c>
    </row>
    <row r="1049" spans="1:11" x14ac:dyDescent="0.25">
      <c r="A1049">
        <v>1122316</v>
      </c>
      <c r="B1049">
        <v>1178</v>
      </c>
      <c r="C1049">
        <v>144743</v>
      </c>
      <c r="D1049" t="s">
        <v>15</v>
      </c>
      <c r="E1049" t="s">
        <v>16</v>
      </c>
      <c r="F1049">
        <v>65</v>
      </c>
      <c r="G1049">
        <v>346688</v>
      </c>
      <c r="H1049">
        <v>88</v>
      </c>
      <c r="I1049">
        <v>114.8599998</v>
      </c>
      <c r="J1049">
        <v>2</v>
      </c>
      <c r="K1049">
        <v>0</v>
      </c>
    </row>
    <row r="1050" spans="1:11" x14ac:dyDescent="0.25">
      <c r="A1050">
        <v>1314296</v>
      </c>
      <c r="B1050">
        <v>1178</v>
      </c>
      <c r="C1050">
        <v>179863</v>
      </c>
      <c r="D1050" t="s">
        <v>11</v>
      </c>
      <c r="E1050" t="s">
        <v>12</v>
      </c>
      <c r="F1050">
        <v>100</v>
      </c>
      <c r="G1050">
        <v>33445</v>
      </c>
      <c r="H1050">
        <v>2</v>
      </c>
      <c r="I1050">
        <v>3.199999928</v>
      </c>
      <c r="J1050">
        <v>1</v>
      </c>
      <c r="K1050">
        <v>0</v>
      </c>
    </row>
    <row r="1051" spans="1:11" x14ac:dyDescent="0.25">
      <c r="A1051">
        <v>1314297</v>
      </c>
      <c r="B1051">
        <v>1178</v>
      </c>
      <c r="C1051">
        <v>179864</v>
      </c>
      <c r="D1051" t="s">
        <v>11</v>
      </c>
      <c r="E1051" t="s">
        <v>12</v>
      </c>
      <c r="F1051">
        <v>101</v>
      </c>
      <c r="G1051">
        <v>72228</v>
      </c>
      <c r="H1051">
        <v>5</v>
      </c>
      <c r="I1051">
        <v>7.5299998520000004</v>
      </c>
      <c r="J1051">
        <v>4</v>
      </c>
      <c r="K1051">
        <v>4</v>
      </c>
    </row>
    <row r="1052" spans="1:11" x14ac:dyDescent="0.25">
      <c r="A1052">
        <v>1314298</v>
      </c>
      <c r="B1052">
        <v>1178</v>
      </c>
      <c r="C1052">
        <v>179865</v>
      </c>
      <c r="D1052" t="s">
        <v>11</v>
      </c>
      <c r="E1052" t="s">
        <v>12</v>
      </c>
      <c r="F1052">
        <v>102</v>
      </c>
      <c r="G1052">
        <v>49699</v>
      </c>
      <c r="H1052">
        <v>2</v>
      </c>
      <c r="I1052">
        <v>2.6900000569999998</v>
      </c>
      <c r="J1052">
        <v>2</v>
      </c>
      <c r="K1052">
        <v>1</v>
      </c>
    </row>
    <row r="1053" spans="1:11" x14ac:dyDescent="0.25">
      <c r="A1053">
        <v>1314299</v>
      </c>
      <c r="B1053">
        <v>1178</v>
      </c>
      <c r="C1053">
        <v>179866</v>
      </c>
      <c r="D1053" t="s">
        <v>11</v>
      </c>
      <c r="E1053" t="s">
        <v>12</v>
      </c>
      <c r="F1053">
        <v>103</v>
      </c>
      <c r="G1053">
        <v>189761</v>
      </c>
      <c r="H1053">
        <v>18</v>
      </c>
      <c r="I1053">
        <v>27.329999690000001</v>
      </c>
      <c r="J1053">
        <v>4</v>
      </c>
      <c r="K1053">
        <v>1</v>
      </c>
    </row>
    <row r="1054" spans="1:11" x14ac:dyDescent="0.25">
      <c r="A1054">
        <v>1314301</v>
      </c>
      <c r="B1054">
        <v>1178</v>
      </c>
      <c r="C1054">
        <v>179868</v>
      </c>
      <c r="D1054" t="s">
        <v>11</v>
      </c>
      <c r="E1054" t="s">
        <v>12</v>
      </c>
      <c r="F1054">
        <v>105</v>
      </c>
      <c r="G1054">
        <v>312524</v>
      </c>
      <c r="H1054">
        <v>37</v>
      </c>
      <c r="I1054">
        <v>53.789999719999997</v>
      </c>
      <c r="J1054">
        <v>2</v>
      </c>
      <c r="K1054">
        <v>0</v>
      </c>
    </row>
    <row r="1055" spans="1:11" x14ac:dyDescent="0.25">
      <c r="A1055">
        <v>1314303</v>
      </c>
      <c r="B1055">
        <v>1178</v>
      </c>
      <c r="C1055">
        <v>179870</v>
      </c>
      <c r="D1055" t="s">
        <v>11</v>
      </c>
      <c r="E1055" t="s">
        <v>12</v>
      </c>
      <c r="F1055">
        <v>107</v>
      </c>
      <c r="G1055">
        <v>496760</v>
      </c>
      <c r="H1055">
        <v>42</v>
      </c>
      <c r="I1055">
        <v>61.009999039999997</v>
      </c>
      <c r="J1055">
        <v>10</v>
      </c>
      <c r="K1055">
        <v>3</v>
      </c>
    </row>
    <row r="1056" spans="1:11" x14ac:dyDescent="0.25">
      <c r="A1056">
        <v>1314306</v>
      </c>
      <c r="B1056">
        <v>1178</v>
      </c>
      <c r="C1056">
        <v>179873</v>
      </c>
      <c r="D1056" t="s">
        <v>11</v>
      </c>
      <c r="E1056" t="s">
        <v>12</v>
      </c>
      <c r="F1056">
        <v>110</v>
      </c>
      <c r="G1056">
        <v>310988</v>
      </c>
      <c r="H1056">
        <v>34</v>
      </c>
      <c r="I1056">
        <v>46.669999359999998</v>
      </c>
      <c r="J1056">
        <v>11</v>
      </c>
      <c r="K1056">
        <v>3</v>
      </c>
    </row>
    <row r="1057" spans="1:11" x14ac:dyDescent="0.25">
      <c r="A1057">
        <v>1314307</v>
      </c>
      <c r="B1057">
        <v>1178</v>
      </c>
      <c r="C1057">
        <v>179874</v>
      </c>
      <c r="D1057" t="s">
        <v>11</v>
      </c>
      <c r="E1057" t="s">
        <v>12</v>
      </c>
      <c r="F1057">
        <v>111</v>
      </c>
      <c r="G1057">
        <v>98606</v>
      </c>
      <c r="H1057">
        <v>9</v>
      </c>
      <c r="I1057">
        <v>12.10999984</v>
      </c>
      <c r="J1057">
        <v>1</v>
      </c>
      <c r="K1057">
        <v>0</v>
      </c>
    </row>
    <row r="1058" spans="1:11" x14ac:dyDescent="0.25">
      <c r="A1058">
        <v>1314308</v>
      </c>
      <c r="B1058">
        <v>1178</v>
      </c>
      <c r="C1058">
        <v>179875</v>
      </c>
      <c r="D1058" t="s">
        <v>11</v>
      </c>
      <c r="E1058" t="s">
        <v>12</v>
      </c>
      <c r="F1058">
        <v>112</v>
      </c>
      <c r="G1058">
        <v>51104</v>
      </c>
      <c r="H1058">
        <v>2</v>
      </c>
      <c r="I1058">
        <v>3.199999928</v>
      </c>
      <c r="J1058">
        <v>3</v>
      </c>
      <c r="K1058">
        <v>1</v>
      </c>
    </row>
    <row r="1059" spans="1:11" x14ac:dyDescent="0.25">
      <c r="A1059">
        <v>1314309</v>
      </c>
      <c r="B1059">
        <v>1178</v>
      </c>
      <c r="C1059">
        <v>179876</v>
      </c>
      <c r="D1059" t="s">
        <v>11</v>
      </c>
      <c r="E1059" t="s">
        <v>12</v>
      </c>
      <c r="F1059">
        <v>113</v>
      </c>
      <c r="G1059">
        <v>276762</v>
      </c>
      <c r="H1059">
        <v>22</v>
      </c>
      <c r="I1059">
        <v>32.090000150000002</v>
      </c>
      <c r="J1059">
        <v>5</v>
      </c>
      <c r="K1059">
        <v>1</v>
      </c>
    </row>
    <row r="1060" spans="1:11" x14ac:dyDescent="0.25">
      <c r="A1060">
        <v>1314312</v>
      </c>
      <c r="B1060">
        <v>1178</v>
      </c>
      <c r="C1060">
        <v>179879</v>
      </c>
      <c r="D1060" t="s">
        <v>13</v>
      </c>
      <c r="E1060" t="s">
        <v>12</v>
      </c>
      <c r="F1060">
        <v>101</v>
      </c>
      <c r="G1060">
        <v>33534</v>
      </c>
      <c r="H1060">
        <v>2</v>
      </c>
      <c r="I1060">
        <v>2.960000038</v>
      </c>
      <c r="J1060">
        <v>1</v>
      </c>
      <c r="K1060">
        <v>1</v>
      </c>
    </row>
    <row r="1061" spans="1:11" x14ac:dyDescent="0.25">
      <c r="A1061">
        <v>1314313</v>
      </c>
      <c r="B1061">
        <v>1178</v>
      </c>
      <c r="C1061">
        <v>179880</v>
      </c>
      <c r="D1061" t="s">
        <v>13</v>
      </c>
      <c r="E1061" t="s">
        <v>12</v>
      </c>
      <c r="F1061">
        <v>102</v>
      </c>
      <c r="G1061">
        <v>128859</v>
      </c>
      <c r="H1061">
        <v>16</v>
      </c>
      <c r="I1061">
        <v>23.699999569999999</v>
      </c>
      <c r="J1061">
        <v>1</v>
      </c>
      <c r="K1061">
        <v>0</v>
      </c>
    </row>
    <row r="1062" spans="1:11" x14ac:dyDescent="0.25">
      <c r="A1062">
        <v>1314314</v>
      </c>
      <c r="B1062">
        <v>1178</v>
      </c>
      <c r="C1062">
        <v>179881</v>
      </c>
      <c r="D1062" t="s">
        <v>13</v>
      </c>
      <c r="E1062" t="s">
        <v>12</v>
      </c>
      <c r="F1062">
        <v>103</v>
      </c>
      <c r="G1062">
        <v>92080</v>
      </c>
      <c r="H1062">
        <v>12</v>
      </c>
      <c r="I1062">
        <v>16.940000179999998</v>
      </c>
      <c r="J1062">
        <v>3</v>
      </c>
      <c r="K1062">
        <v>2</v>
      </c>
    </row>
    <row r="1063" spans="1:11" x14ac:dyDescent="0.25">
      <c r="A1063">
        <v>1314316</v>
      </c>
      <c r="B1063">
        <v>1178</v>
      </c>
      <c r="C1063">
        <v>179883</v>
      </c>
      <c r="D1063" t="s">
        <v>13</v>
      </c>
      <c r="E1063" t="s">
        <v>12</v>
      </c>
      <c r="F1063">
        <v>105</v>
      </c>
      <c r="G1063">
        <v>211882</v>
      </c>
      <c r="H1063">
        <v>33</v>
      </c>
      <c r="I1063">
        <v>46.649999260000001</v>
      </c>
      <c r="J1063">
        <v>3</v>
      </c>
      <c r="K1063">
        <v>1</v>
      </c>
    </row>
    <row r="1064" spans="1:11" x14ac:dyDescent="0.25">
      <c r="A1064">
        <v>1314318</v>
      </c>
      <c r="B1064">
        <v>1178</v>
      </c>
      <c r="C1064">
        <v>179885</v>
      </c>
      <c r="D1064" t="s">
        <v>13</v>
      </c>
      <c r="E1064" t="s">
        <v>12</v>
      </c>
      <c r="F1064">
        <v>107</v>
      </c>
      <c r="G1064">
        <v>112776</v>
      </c>
      <c r="H1064">
        <v>9</v>
      </c>
      <c r="I1064">
        <v>12.679999949999999</v>
      </c>
      <c r="J1064">
        <v>1</v>
      </c>
      <c r="K1064">
        <v>0</v>
      </c>
    </row>
    <row r="1065" spans="1:11" x14ac:dyDescent="0.25">
      <c r="A1065">
        <v>1314319</v>
      </c>
      <c r="B1065">
        <v>1178</v>
      </c>
      <c r="C1065">
        <v>179886</v>
      </c>
      <c r="D1065" t="s">
        <v>13</v>
      </c>
      <c r="E1065" t="s">
        <v>12</v>
      </c>
      <c r="F1065">
        <v>108</v>
      </c>
      <c r="G1065">
        <v>145324</v>
      </c>
      <c r="H1065">
        <v>14</v>
      </c>
      <c r="I1065">
        <v>19.820000050000001</v>
      </c>
      <c r="J1065">
        <v>2</v>
      </c>
      <c r="K1065">
        <v>1</v>
      </c>
    </row>
    <row r="1066" spans="1:11" x14ac:dyDescent="0.25">
      <c r="A1066">
        <v>1314320</v>
      </c>
      <c r="B1066">
        <v>1178</v>
      </c>
      <c r="C1066">
        <v>179887</v>
      </c>
      <c r="D1066" t="s">
        <v>13</v>
      </c>
      <c r="E1066" t="s">
        <v>12</v>
      </c>
      <c r="F1066">
        <v>109</v>
      </c>
      <c r="G1066">
        <v>106492</v>
      </c>
      <c r="H1066">
        <v>14</v>
      </c>
      <c r="I1066">
        <v>21.260000229999999</v>
      </c>
      <c r="J1066">
        <v>2</v>
      </c>
      <c r="K1066">
        <v>0</v>
      </c>
    </row>
    <row r="1067" spans="1:11" x14ac:dyDescent="0.25">
      <c r="A1067">
        <v>1314321</v>
      </c>
      <c r="B1067">
        <v>1178</v>
      </c>
      <c r="C1067">
        <v>179888</v>
      </c>
      <c r="D1067" t="s">
        <v>13</v>
      </c>
      <c r="E1067" t="s">
        <v>12</v>
      </c>
      <c r="F1067">
        <v>110</v>
      </c>
      <c r="G1067">
        <v>233845</v>
      </c>
      <c r="H1067">
        <v>30</v>
      </c>
      <c r="I1067">
        <v>40.730000619999998</v>
      </c>
      <c r="J1067">
        <v>3</v>
      </c>
      <c r="K1067">
        <v>0</v>
      </c>
    </row>
    <row r="1068" spans="1:11" x14ac:dyDescent="0.25">
      <c r="A1068">
        <v>1314323</v>
      </c>
      <c r="B1068">
        <v>1178</v>
      </c>
      <c r="C1068">
        <v>179890</v>
      </c>
      <c r="D1068" t="s">
        <v>13</v>
      </c>
      <c r="E1068" t="s">
        <v>12</v>
      </c>
      <c r="F1068">
        <v>112</v>
      </c>
      <c r="G1068">
        <v>155426</v>
      </c>
      <c r="H1068">
        <v>17</v>
      </c>
      <c r="I1068">
        <v>25.010000229999999</v>
      </c>
      <c r="J1068">
        <v>3</v>
      </c>
      <c r="K1068">
        <v>0</v>
      </c>
    </row>
    <row r="1069" spans="1:11" x14ac:dyDescent="0.25">
      <c r="A1069">
        <v>1314324</v>
      </c>
      <c r="B1069">
        <v>1178</v>
      </c>
      <c r="C1069">
        <v>179891</v>
      </c>
      <c r="D1069" t="s">
        <v>13</v>
      </c>
      <c r="E1069" t="s">
        <v>12</v>
      </c>
      <c r="F1069">
        <v>113</v>
      </c>
      <c r="G1069">
        <v>97540</v>
      </c>
      <c r="H1069">
        <v>8</v>
      </c>
      <c r="I1069">
        <v>11.519999500000001</v>
      </c>
      <c r="J1069">
        <v>2</v>
      </c>
      <c r="K1069">
        <v>1</v>
      </c>
    </row>
    <row r="1070" spans="1:11" x14ac:dyDescent="0.25">
      <c r="A1070">
        <v>1314325</v>
      </c>
      <c r="B1070">
        <v>1178</v>
      </c>
      <c r="C1070">
        <v>179892</v>
      </c>
      <c r="D1070" t="s">
        <v>13</v>
      </c>
      <c r="E1070" t="s">
        <v>12</v>
      </c>
      <c r="F1070">
        <v>114</v>
      </c>
      <c r="G1070">
        <v>61441</v>
      </c>
      <c r="H1070">
        <v>5</v>
      </c>
      <c r="I1070">
        <v>7.7000000479999997</v>
      </c>
      <c r="J1070">
        <v>1</v>
      </c>
      <c r="K1070">
        <v>0</v>
      </c>
    </row>
    <row r="1071" spans="1:11" x14ac:dyDescent="0.25">
      <c r="A1071">
        <v>1314326</v>
      </c>
      <c r="B1071">
        <v>1178</v>
      </c>
      <c r="C1071">
        <v>179893</v>
      </c>
      <c r="D1071" t="s">
        <v>14</v>
      </c>
      <c r="E1071" t="s">
        <v>12</v>
      </c>
      <c r="F1071">
        <v>100</v>
      </c>
      <c r="G1071">
        <v>76703</v>
      </c>
      <c r="H1071">
        <v>9</v>
      </c>
      <c r="I1071">
        <v>12.149999619999999</v>
      </c>
      <c r="J1071">
        <v>3</v>
      </c>
      <c r="K1071">
        <v>1</v>
      </c>
    </row>
    <row r="1072" spans="1:11" x14ac:dyDescent="0.25">
      <c r="A1072">
        <v>1314327</v>
      </c>
      <c r="B1072">
        <v>1178</v>
      </c>
      <c r="C1072">
        <v>179894</v>
      </c>
      <c r="D1072" t="s">
        <v>14</v>
      </c>
      <c r="E1072" t="s">
        <v>12</v>
      </c>
      <c r="F1072">
        <v>101</v>
      </c>
      <c r="G1072">
        <v>68619</v>
      </c>
      <c r="H1072">
        <v>10</v>
      </c>
      <c r="I1072">
        <v>14.960000340000001</v>
      </c>
      <c r="J1072">
        <v>1</v>
      </c>
      <c r="K1072">
        <v>0</v>
      </c>
    </row>
    <row r="1073" spans="1:11" x14ac:dyDescent="0.25">
      <c r="A1073">
        <v>1314330</v>
      </c>
      <c r="B1073">
        <v>1178</v>
      </c>
      <c r="C1073">
        <v>179897</v>
      </c>
      <c r="D1073" t="s">
        <v>14</v>
      </c>
      <c r="E1073" t="s">
        <v>12</v>
      </c>
      <c r="F1073">
        <v>104</v>
      </c>
      <c r="G1073">
        <v>17559</v>
      </c>
      <c r="H1073">
        <v>1</v>
      </c>
      <c r="I1073">
        <v>1.4900000099999999</v>
      </c>
      <c r="J1073">
        <v>1</v>
      </c>
      <c r="K1073">
        <v>1</v>
      </c>
    </row>
    <row r="1074" spans="1:11" x14ac:dyDescent="0.25">
      <c r="A1074">
        <v>1314331</v>
      </c>
      <c r="B1074">
        <v>1178</v>
      </c>
      <c r="C1074">
        <v>179898</v>
      </c>
      <c r="D1074" t="s">
        <v>14</v>
      </c>
      <c r="E1074" t="s">
        <v>12</v>
      </c>
      <c r="F1074">
        <v>105</v>
      </c>
      <c r="G1074">
        <v>137879</v>
      </c>
      <c r="H1074">
        <v>19</v>
      </c>
      <c r="I1074">
        <v>28.470000030000001</v>
      </c>
      <c r="J1074">
        <v>2</v>
      </c>
      <c r="K1074">
        <v>0</v>
      </c>
    </row>
    <row r="1075" spans="1:11" x14ac:dyDescent="0.25">
      <c r="A1075">
        <v>1314332</v>
      </c>
      <c r="B1075">
        <v>1178</v>
      </c>
      <c r="C1075">
        <v>179899</v>
      </c>
      <c r="D1075" t="s">
        <v>14</v>
      </c>
      <c r="E1075" t="s">
        <v>12</v>
      </c>
      <c r="F1075">
        <v>106</v>
      </c>
      <c r="G1075">
        <v>67710</v>
      </c>
      <c r="H1075">
        <v>10</v>
      </c>
      <c r="I1075">
        <v>15.14999998</v>
      </c>
      <c r="J1075">
        <v>1</v>
      </c>
      <c r="K1075">
        <v>0</v>
      </c>
    </row>
    <row r="1076" spans="1:11" x14ac:dyDescent="0.25">
      <c r="A1076">
        <v>1314333</v>
      </c>
      <c r="B1076">
        <v>1178</v>
      </c>
      <c r="C1076">
        <v>179900</v>
      </c>
      <c r="D1076" t="s">
        <v>14</v>
      </c>
      <c r="E1076" t="s">
        <v>12</v>
      </c>
      <c r="F1076">
        <v>107</v>
      </c>
      <c r="G1076">
        <v>348180</v>
      </c>
      <c r="H1076">
        <v>41</v>
      </c>
      <c r="I1076">
        <v>60.229999069999998</v>
      </c>
      <c r="J1076">
        <v>3</v>
      </c>
      <c r="K1076">
        <v>1</v>
      </c>
    </row>
    <row r="1077" spans="1:11" x14ac:dyDescent="0.25">
      <c r="A1077">
        <v>1314334</v>
      </c>
      <c r="B1077">
        <v>1178</v>
      </c>
      <c r="C1077">
        <v>179901</v>
      </c>
      <c r="D1077" t="s">
        <v>14</v>
      </c>
      <c r="E1077" t="s">
        <v>12</v>
      </c>
      <c r="F1077">
        <v>108</v>
      </c>
      <c r="G1077">
        <v>146246</v>
      </c>
      <c r="H1077">
        <v>18</v>
      </c>
      <c r="I1077">
        <v>28.719999550000001</v>
      </c>
      <c r="J1077">
        <v>3</v>
      </c>
      <c r="K1077">
        <v>1</v>
      </c>
    </row>
    <row r="1078" spans="1:11" x14ac:dyDescent="0.25">
      <c r="A1078">
        <v>1314336</v>
      </c>
      <c r="B1078">
        <v>1178</v>
      </c>
      <c r="C1078">
        <v>179903</v>
      </c>
      <c r="D1078" t="s">
        <v>14</v>
      </c>
      <c r="E1078" t="s">
        <v>12</v>
      </c>
      <c r="F1078">
        <v>110</v>
      </c>
      <c r="G1078">
        <v>187236</v>
      </c>
      <c r="H1078">
        <v>24</v>
      </c>
      <c r="I1078">
        <v>34.869999649999997</v>
      </c>
      <c r="J1078">
        <v>2</v>
      </c>
      <c r="K1078">
        <v>2</v>
      </c>
    </row>
    <row r="1079" spans="1:11" x14ac:dyDescent="0.25">
      <c r="A1079">
        <v>1314337</v>
      </c>
      <c r="B1079">
        <v>1178</v>
      </c>
      <c r="C1079">
        <v>179904</v>
      </c>
      <c r="D1079" t="s">
        <v>14</v>
      </c>
      <c r="E1079" t="s">
        <v>12</v>
      </c>
      <c r="F1079">
        <v>111</v>
      </c>
      <c r="G1079">
        <v>72157</v>
      </c>
      <c r="H1079">
        <v>9</v>
      </c>
      <c r="I1079">
        <v>13.50000036</v>
      </c>
      <c r="J1079">
        <v>1</v>
      </c>
      <c r="K1079">
        <v>1</v>
      </c>
    </row>
    <row r="1080" spans="1:11" x14ac:dyDescent="0.25">
      <c r="A1080">
        <v>1314338</v>
      </c>
      <c r="B1080">
        <v>1178</v>
      </c>
      <c r="C1080">
        <v>179905</v>
      </c>
      <c r="D1080" t="s">
        <v>14</v>
      </c>
      <c r="E1080" t="s">
        <v>12</v>
      </c>
      <c r="F1080">
        <v>112</v>
      </c>
      <c r="G1080">
        <v>91180</v>
      </c>
      <c r="H1080">
        <v>10</v>
      </c>
      <c r="I1080">
        <v>13.559999940000001</v>
      </c>
      <c r="J1080">
        <v>1</v>
      </c>
      <c r="K1080">
        <v>0</v>
      </c>
    </row>
    <row r="1081" spans="1:11" x14ac:dyDescent="0.25">
      <c r="A1081">
        <v>1314339</v>
      </c>
      <c r="B1081">
        <v>1178</v>
      </c>
      <c r="C1081">
        <v>179906</v>
      </c>
      <c r="D1081" t="s">
        <v>14</v>
      </c>
      <c r="E1081" t="s">
        <v>12</v>
      </c>
      <c r="F1081">
        <v>113</v>
      </c>
      <c r="G1081">
        <v>86293</v>
      </c>
      <c r="H1081">
        <v>6</v>
      </c>
      <c r="I1081">
        <v>9.2599998709999998</v>
      </c>
      <c r="J1081">
        <v>1</v>
      </c>
      <c r="K1081">
        <v>1</v>
      </c>
    </row>
    <row r="1082" spans="1:11" x14ac:dyDescent="0.25">
      <c r="A1082">
        <v>1314341</v>
      </c>
      <c r="B1082">
        <v>1178</v>
      </c>
      <c r="C1082">
        <v>179908</v>
      </c>
      <c r="D1082" t="s">
        <v>15</v>
      </c>
      <c r="E1082" t="s">
        <v>12</v>
      </c>
      <c r="F1082">
        <v>100</v>
      </c>
      <c r="G1082">
        <v>101410</v>
      </c>
      <c r="H1082">
        <v>12</v>
      </c>
      <c r="I1082">
        <v>17.940000059999999</v>
      </c>
      <c r="J1082">
        <v>4</v>
      </c>
      <c r="K1082">
        <v>0</v>
      </c>
    </row>
    <row r="1083" spans="1:11" x14ac:dyDescent="0.25">
      <c r="A1083">
        <v>1314343</v>
      </c>
      <c r="B1083">
        <v>1178</v>
      </c>
      <c r="C1083">
        <v>179910</v>
      </c>
      <c r="D1083" t="s">
        <v>15</v>
      </c>
      <c r="E1083" t="s">
        <v>12</v>
      </c>
      <c r="F1083">
        <v>102</v>
      </c>
      <c r="G1083">
        <v>134245</v>
      </c>
      <c r="H1083">
        <v>18</v>
      </c>
      <c r="I1083">
        <v>25.750000239999999</v>
      </c>
      <c r="J1083">
        <v>2</v>
      </c>
      <c r="K1083">
        <v>1</v>
      </c>
    </row>
    <row r="1084" spans="1:11" x14ac:dyDescent="0.25">
      <c r="A1084">
        <v>1314345</v>
      </c>
      <c r="B1084">
        <v>1178</v>
      </c>
      <c r="C1084">
        <v>179912</v>
      </c>
      <c r="D1084" t="s">
        <v>15</v>
      </c>
      <c r="E1084" t="s">
        <v>12</v>
      </c>
      <c r="F1084">
        <v>104</v>
      </c>
      <c r="G1084">
        <v>125650</v>
      </c>
      <c r="H1084">
        <v>20</v>
      </c>
      <c r="I1084">
        <v>30.080000760000001</v>
      </c>
      <c r="J1084">
        <v>4</v>
      </c>
      <c r="K1084">
        <v>0</v>
      </c>
    </row>
    <row r="1085" spans="1:11" x14ac:dyDescent="0.25">
      <c r="A1085">
        <v>1314346</v>
      </c>
      <c r="B1085">
        <v>1178</v>
      </c>
      <c r="C1085">
        <v>179913</v>
      </c>
      <c r="D1085" t="s">
        <v>15</v>
      </c>
      <c r="E1085" t="s">
        <v>12</v>
      </c>
      <c r="F1085">
        <v>105</v>
      </c>
      <c r="G1085">
        <v>50406</v>
      </c>
      <c r="H1085">
        <v>5</v>
      </c>
      <c r="I1085">
        <v>7.26000011</v>
      </c>
      <c r="J1085">
        <v>1</v>
      </c>
      <c r="K1085">
        <v>1</v>
      </c>
    </row>
    <row r="1086" spans="1:11" x14ac:dyDescent="0.25">
      <c r="A1086">
        <v>1314348</v>
      </c>
      <c r="B1086">
        <v>1178</v>
      </c>
      <c r="C1086">
        <v>179915</v>
      </c>
      <c r="D1086" t="s">
        <v>15</v>
      </c>
      <c r="E1086" t="s">
        <v>12</v>
      </c>
      <c r="F1086">
        <v>107</v>
      </c>
      <c r="G1086">
        <v>121769</v>
      </c>
      <c r="H1086">
        <v>13</v>
      </c>
      <c r="I1086">
        <v>18.419999959999998</v>
      </c>
      <c r="J1086">
        <v>2</v>
      </c>
      <c r="K1086">
        <v>1</v>
      </c>
    </row>
    <row r="1087" spans="1:11" x14ac:dyDescent="0.25">
      <c r="A1087">
        <v>1314349</v>
      </c>
      <c r="B1087">
        <v>1178</v>
      </c>
      <c r="C1087">
        <v>179916</v>
      </c>
      <c r="D1087" t="s">
        <v>15</v>
      </c>
      <c r="E1087" t="s">
        <v>12</v>
      </c>
      <c r="F1087">
        <v>108</v>
      </c>
      <c r="G1087">
        <v>267106</v>
      </c>
      <c r="H1087">
        <v>34</v>
      </c>
      <c r="I1087">
        <v>50.5</v>
      </c>
      <c r="J1087">
        <v>4</v>
      </c>
      <c r="K1087">
        <v>1</v>
      </c>
    </row>
    <row r="1088" spans="1:11" x14ac:dyDescent="0.25">
      <c r="A1088">
        <v>1314350</v>
      </c>
      <c r="B1088">
        <v>1178</v>
      </c>
      <c r="C1088">
        <v>179917</v>
      </c>
      <c r="D1088" t="s">
        <v>15</v>
      </c>
      <c r="E1088" t="s">
        <v>12</v>
      </c>
      <c r="F1088">
        <v>109</v>
      </c>
      <c r="G1088">
        <v>365539</v>
      </c>
      <c r="H1088">
        <v>57</v>
      </c>
      <c r="I1088">
        <v>82.139999149999994</v>
      </c>
      <c r="J1088">
        <v>5</v>
      </c>
      <c r="K1088">
        <v>2</v>
      </c>
    </row>
    <row r="1089" spans="1:11" x14ac:dyDescent="0.25">
      <c r="A1089">
        <v>1314351</v>
      </c>
      <c r="B1089">
        <v>1178</v>
      </c>
      <c r="C1089">
        <v>179918</v>
      </c>
      <c r="D1089" t="s">
        <v>15</v>
      </c>
      <c r="E1089" t="s">
        <v>12</v>
      </c>
      <c r="F1089">
        <v>110</v>
      </c>
      <c r="G1089">
        <v>188758</v>
      </c>
      <c r="H1089">
        <v>25</v>
      </c>
      <c r="I1089">
        <v>36.600000379999997</v>
      </c>
      <c r="J1089">
        <v>2</v>
      </c>
      <c r="K1089">
        <v>1</v>
      </c>
    </row>
    <row r="1090" spans="1:11" x14ac:dyDescent="0.25">
      <c r="A1090">
        <v>1314353</v>
      </c>
      <c r="B1090">
        <v>1178</v>
      </c>
      <c r="C1090">
        <v>179920</v>
      </c>
      <c r="D1090" t="s">
        <v>15</v>
      </c>
      <c r="E1090" t="s">
        <v>12</v>
      </c>
      <c r="F1090">
        <v>112</v>
      </c>
      <c r="G1090">
        <v>108426</v>
      </c>
      <c r="H1090">
        <v>13</v>
      </c>
      <c r="I1090">
        <v>19.580000160000001</v>
      </c>
      <c r="J1090">
        <v>1</v>
      </c>
      <c r="K1090">
        <v>0</v>
      </c>
    </row>
    <row r="1091" spans="1:11" x14ac:dyDescent="0.25">
      <c r="A1091">
        <v>1314354</v>
      </c>
      <c r="B1091">
        <v>1178</v>
      </c>
      <c r="C1091">
        <v>179921</v>
      </c>
      <c r="D1091" t="s">
        <v>15</v>
      </c>
      <c r="E1091" t="s">
        <v>12</v>
      </c>
      <c r="F1091">
        <v>113</v>
      </c>
      <c r="G1091">
        <v>138525</v>
      </c>
      <c r="H1091">
        <v>9</v>
      </c>
      <c r="I1091">
        <v>13.65000045</v>
      </c>
      <c r="J1091">
        <v>3</v>
      </c>
      <c r="K1091">
        <v>0</v>
      </c>
    </row>
    <row r="1092" spans="1:11" x14ac:dyDescent="0.25">
      <c r="A1092">
        <v>1314355</v>
      </c>
      <c r="B1092">
        <v>1178</v>
      </c>
      <c r="C1092">
        <v>179922</v>
      </c>
      <c r="D1092" t="s">
        <v>15</v>
      </c>
      <c r="E1092" t="s">
        <v>12</v>
      </c>
      <c r="F1092">
        <v>114</v>
      </c>
      <c r="G1092">
        <v>150858</v>
      </c>
      <c r="H1092">
        <v>21</v>
      </c>
      <c r="I1092">
        <v>30.26000011</v>
      </c>
      <c r="J1092">
        <v>1</v>
      </c>
      <c r="K1092">
        <v>0</v>
      </c>
    </row>
    <row r="1093" spans="1:11" x14ac:dyDescent="0.25">
      <c r="A1093">
        <v>1314357</v>
      </c>
      <c r="B1093">
        <v>1178</v>
      </c>
      <c r="C1093">
        <v>179924</v>
      </c>
      <c r="D1093" t="s">
        <v>11</v>
      </c>
      <c r="E1093" t="s">
        <v>16</v>
      </c>
      <c r="F1093">
        <v>101</v>
      </c>
      <c r="G1093">
        <v>524306</v>
      </c>
      <c r="H1093">
        <v>81</v>
      </c>
      <c r="I1093">
        <v>113.68000290000001</v>
      </c>
      <c r="J1093">
        <v>10</v>
      </c>
      <c r="K1093">
        <v>4</v>
      </c>
    </row>
    <row r="1094" spans="1:11" x14ac:dyDescent="0.25">
      <c r="A1094">
        <v>1314358</v>
      </c>
      <c r="B1094">
        <v>1178</v>
      </c>
      <c r="C1094">
        <v>179925</v>
      </c>
      <c r="D1094" t="s">
        <v>11</v>
      </c>
      <c r="E1094" t="s">
        <v>16</v>
      </c>
      <c r="F1094">
        <v>102</v>
      </c>
      <c r="G1094">
        <v>104496</v>
      </c>
      <c r="H1094">
        <v>9</v>
      </c>
      <c r="I1094">
        <v>11.42999983</v>
      </c>
      <c r="J1094">
        <v>3</v>
      </c>
      <c r="K1094">
        <v>2</v>
      </c>
    </row>
    <row r="1095" spans="1:11" x14ac:dyDescent="0.25">
      <c r="A1095">
        <v>1314359</v>
      </c>
      <c r="B1095">
        <v>1178</v>
      </c>
      <c r="C1095">
        <v>179926</v>
      </c>
      <c r="D1095" t="s">
        <v>11</v>
      </c>
      <c r="E1095" t="s">
        <v>16</v>
      </c>
      <c r="F1095">
        <v>103</v>
      </c>
      <c r="G1095">
        <v>452519</v>
      </c>
      <c r="H1095">
        <v>68</v>
      </c>
      <c r="I1095">
        <v>99.52000237</v>
      </c>
      <c r="J1095">
        <v>7</v>
      </c>
      <c r="K1095">
        <v>2</v>
      </c>
    </row>
    <row r="1096" spans="1:11" x14ac:dyDescent="0.25">
      <c r="A1096">
        <v>1314360</v>
      </c>
      <c r="B1096">
        <v>1178</v>
      </c>
      <c r="C1096">
        <v>179927</v>
      </c>
      <c r="D1096" t="s">
        <v>11</v>
      </c>
      <c r="E1096" t="s">
        <v>16</v>
      </c>
      <c r="F1096">
        <v>104</v>
      </c>
      <c r="G1096">
        <v>442919</v>
      </c>
      <c r="H1096">
        <v>76</v>
      </c>
      <c r="I1096">
        <v>110.7800021</v>
      </c>
      <c r="J1096">
        <v>21</v>
      </c>
      <c r="K1096">
        <v>2</v>
      </c>
    </row>
    <row r="1097" spans="1:11" x14ac:dyDescent="0.25">
      <c r="A1097">
        <v>1314361</v>
      </c>
      <c r="B1097">
        <v>1178</v>
      </c>
      <c r="C1097">
        <v>179928</v>
      </c>
      <c r="D1097" t="s">
        <v>11</v>
      </c>
      <c r="E1097" t="s">
        <v>16</v>
      </c>
      <c r="F1097">
        <v>105</v>
      </c>
      <c r="G1097">
        <v>596831</v>
      </c>
      <c r="H1097">
        <v>86</v>
      </c>
      <c r="I1097">
        <v>120.8799992</v>
      </c>
      <c r="J1097">
        <v>11</v>
      </c>
      <c r="K1097">
        <v>0</v>
      </c>
    </row>
    <row r="1098" spans="1:11" x14ac:dyDescent="0.25">
      <c r="A1098">
        <v>1314362</v>
      </c>
      <c r="B1098">
        <v>1178</v>
      </c>
      <c r="C1098">
        <v>179929</v>
      </c>
      <c r="D1098" t="s">
        <v>11</v>
      </c>
      <c r="E1098" t="s">
        <v>16</v>
      </c>
      <c r="F1098">
        <v>106</v>
      </c>
      <c r="G1098">
        <v>173912</v>
      </c>
      <c r="H1098">
        <v>26</v>
      </c>
      <c r="I1098">
        <v>35.540000319999997</v>
      </c>
      <c r="J1098">
        <v>2</v>
      </c>
      <c r="K1098">
        <v>1</v>
      </c>
    </row>
    <row r="1099" spans="1:11" x14ac:dyDescent="0.25">
      <c r="A1099">
        <v>1314363</v>
      </c>
      <c r="B1099">
        <v>1178</v>
      </c>
      <c r="C1099">
        <v>179930</v>
      </c>
      <c r="D1099" t="s">
        <v>11</v>
      </c>
      <c r="E1099" t="s">
        <v>16</v>
      </c>
      <c r="F1099">
        <v>107</v>
      </c>
      <c r="G1099">
        <v>780967</v>
      </c>
      <c r="H1099">
        <v>86</v>
      </c>
      <c r="I1099">
        <v>119.64000179999999</v>
      </c>
      <c r="J1099">
        <v>20</v>
      </c>
      <c r="K1099">
        <v>4</v>
      </c>
    </row>
    <row r="1100" spans="1:11" x14ac:dyDescent="0.25">
      <c r="A1100">
        <v>1314364</v>
      </c>
      <c r="B1100">
        <v>1178</v>
      </c>
      <c r="C1100">
        <v>179931</v>
      </c>
      <c r="D1100" t="s">
        <v>11</v>
      </c>
      <c r="E1100" t="s">
        <v>16</v>
      </c>
      <c r="F1100">
        <v>108</v>
      </c>
      <c r="G1100">
        <v>132124</v>
      </c>
      <c r="H1100">
        <v>8</v>
      </c>
      <c r="I1100">
        <v>11.18999994</v>
      </c>
      <c r="J1100">
        <v>4</v>
      </c>
      <c r="K1100">
        <v>0</v>
      </c>
    </row>
    <row r="1101" spans="1:11" x14ac:dyDescent="0.25">
      <c r="A1101">
        <v>1314365</v>
      </c>
      <c r="B1101">
        <v>1178</v>
      </c>
      <c r="C1101">
        <v>179932</v>
      </c>
      <c r="D1101" t="s">
        <v>11</v>
      </c>
      <c r="E1101" t="s">
        <v>16</v>
      </c>
      <c r="F1101">
        <v>109</v>
      </c>
      <c r="G1101">
        <v>623137</v>
      </c>
      <c r="H1101">
        <v>100</v>
      </c>
      <c r="I1101">
        <v>138.92000060000001</v>
      </c>
      <c r="J1101">
        <v>12</v>
      </c>
      <c r="K1101">
        <v>1</v>
      </c>
    </row>
    <row r="1102" spans="1:11" x14ac:dyDescent="0.25">
      <c r="A1102">
        <v>1314366</v>
      </c>
      <c r="B1102">
        <v>1178</v>
      </c>
      <c r="C1102">
        <v>179933</v>
      </c>
      <c r="D1102" t="s">
        <v>11</v>
      </c>
      <c r="E1102" t="s">
        <v>16</v>
      </c>
      <c r="F1102">
        <v>110</v>
      </c>
      <c r="G1102">
        <v>99020</v>
      </c>
      <c r="H1102">
        <v>10</v>
      </c>
      <c r="I1102">
        <v>14.48000044</v>
      </c>
      <c r="J1102">
        <v>4</v>
      </c>
      <c r="K1102">
        <v>1</v>
      </c>
    </row>
    <row r="1103" spans="1:11" x14ac:dyDescent="0.25">
      <c r="A1103">
        <v>1314367</v>
      </c>
      <c r="B1103">
        <v>1178</v>
      </c>
      <c r="C1103">
        <v>179934</v>
      </c>
      <c r="D1103" t="s">
        <v>11</v>
      </c>
      <c r="E1103" t="s">
        <v>16</v>
      </c>
      <c r="F1103">
        <v>111</v>
      </c>
      <c r="G1103">
        <v>665817</v>
      </c>
      <c r="H1103">
        <v>117</v>
      </c>
      <c r="I1103">
        <v>163.8000002</v>
      </c>
      <c r="J1103">
        <v>23</v>
      </c>
      <c r="K1103">
        <v>9</v>
      </c>
    </row>
    <row r="1104" spans="1:11" x14ac:dyDescent="0.25">
      <c r="A1104">
        <v>1314368</v>
      </c>
      <c r="B1104">
        <v>1178</v>
      </c>
      <c r="C1104">
        <v>179935</v>
      </c>
      <c r="D1104" t="s">
        <v>11</v>
      </c>
      <c r="E1104" t="s">
        <v>16</v>
      </c>
      <c r="F1104">
        <v>112</v>
      </c>
      <c r="G1104">
        <v>699232</v>
      </c>
      <c r="H1104">
        <v>80</v>
      </c>
      <c r="I1104">
        <v>111.9899995</v>
      </c>
      <c r="J1104">
        <v>12</v>
      </c>
      <c r="K1104">
        <v>3</v>
      </c>
    </row>
    <row r="1105" spans="1:11" x14ac:dyDescent="0.25">
      <c r="A1105">
        <v>1314371</v>
      </c>
      <c r="B1105">
        <v>1178</v>
      </c>
      <c r="C1105">
        <v>179938</v>
      </c>
      <c r="D1105" t="s">
        <v>13</v>
      </c>
      <c r="E1105" t="s">
        <v>16</v>
      </c>
      <c r="F1105">
        <v>100</v>
      </c>
      <c r="G1105">
        <v>72982</v>
      </c>
      <c r="H1105">
        <v>11</v>
      </c>
      <c r="I1105">
        <v>15.04999995</v>
      </c>
      <c r="J1105">
        <v>1</v>
      </c>
      <c r="K1105">
        <v>0</v>
      </c>
    </row>
    <row r="1106" spans="1:11" x14ac:dyDescent="0.25">
      <c r="A1106">
        <v>1314372</v>
      </c>
      <c r="B1106">
        <v>1178</v>
      </c>
      <c r="C1106">
        <v>179939</v>
      </c>
      <c r="D1106" t="s">
        <v>13</v>
      </c>
      <c r="E1106" t="s">
        <v>16</v>
      </c>
      <c r="F1106">
        <v>101</v>
      </c>
      <c r="G1106">
        <v>975884</v>
      </c>
      <c r="H1106">
        <v>167</v>
      </c>
      <c r="I1106">
        <v>237.3199975</v>
      </c>
      <c r="J1106">
        <v>14</v>
      </c>
      <c r="K1106">
        <v>3</v>
      </c>
    </row>
    <row r="1107" spans="1:11" x14ac:dyDescent="0.25">
      <c r="A1107">
        <v>1314373</v>
      </c>
      <c r="B1107">
        <v>1178</v>
      </c>
      <c r="C1107">
        <v>179940</v>
      </c>
      <c r="D1107" t="s">
        <v>13</v>
      </c>
      <c r="E1107" t="s">
        <v>16</v>
      </c>
      <c r="F1107">
        <v>102</v>
      </c>
      <c r="G1107">
        <v>245607</v>
      </c>
      <c r="H1107">
        <v>33</v>
      </c>
      <c r="I1107">
        <v>47.879999519999998</v>
      </c>
      <c r="J1107">
        <v>3</v>
      </c>
      <c r="K1107">
        <v>1</v>
      </c>
    </row>
    <row r="1108" spans="1:11" x14ac:dyDescent="0.25">
      <c r="A1108">
        <v>1314377</v>
      </c>
      <c r="B1108">
        <v>1178</v>
      </c>
      <c r="C1108">
        <v>179944</v>
      </c>
      <c r="D1108" t="s">
        <v>13</v>
      </c>
      <c r="E1108" t="s">
        <v>16</v>
      </c>
      <c r="F1108">
        <v>106</v>
      </c>
      <c r="G1108">
        <v>485369</v>
      </c>
      <c r="H1108">
        <v>114</v>
      </c>
      <c r="I1108">
        <v>164.64000150000001</v>
      </c>
      <c r="J1108">
        <v>3</v>
      </c>
      <c r="K1108">
        <v>0</v>
      </c>
    </row>
    <row r="1109" spans="1:11" x14ac:dyDescent="0.25">
      <c r="A1109">
        <v>1314378</v>
      </c>
      <c r="B1109">
        <v>1178</v>
      </c>
      <c r="C1109">
        <v>179945</v>
      </c>
      <c r="D1109" t="s">
        <v>13</v>
      </c>
      <c r="E1109" t="s">
        <v>16</v>
      </c>
      <c r="F1109">
        <v>107</v>
      </c>
      <c r="G1109">
        <v>866355</v>
      </c>
      <c r="H1109">
        <v>139</v>
      </c>
      <c r="I1109">
        <v>200.82999609999999</v>
      </c>
      <c r="J1109">
        <v>11</v>
      </c>
      <c r="K1109">
        <v>5</v>
      </c>
    </row>
    <row r="1110" spans="1:11" x14ac:dyDescent="0.25">
      <c r="A1110">
        <v>1314379</v>
      </c>
      <c r="B1110">
        <v>1178</v>
      </c>
      <c r="C1110">
        <v>179946</v>
      </c>
      <c r="D1110" t="s">
        <v>13</v>
      </c>
      <c r="E1110" t="s">
        <v>16</v>
      </c>
      <c r="F1110">
        <v>108</v>
      </c>
      <c r="G1110">
        <v>502710</v>
      </c>
      <c r="H1110">
        <v>72</v>
      </c>
      <c r="I1110">
        <v>105.2199969</v>
      </c>
      <c r="J1110">
        <v>8</v>
      </c>
      <c r="K1110">
        <v>2</v>
      </c>
    </row>
    <row r="1111" spans="1:11" x14ac:dyDescent="0.25">
      <c r="A1111">
        <v>1314380</v>
      </c>
      <c r="B1111">
        <v>1178</v>
      </c>
      <c r="C1111">
        <v>179947</v>
      </c>
      <c r="D1111" t="s">
        <v>13</v>
      </c>
      <c r="E1111" t="s">
        <v>16</v>
      </c>
      <c r="F1111">
        <v>109</v>
      </c>
      <c r="G1111">
        <v>475184</v>
      </c>
      <c r="H1111">
        <v>88</v>
      </c>
      <c r="I1111">
        <v>127.3200028</v>
      </c>
      <c r="J1111">
        <v>4</v>
      </c>
      <c r="K1111">
        <v>1</v>
      </c>
    </row>
    <row r="1112" spans="1:11" x14ac:dyDescent="0.25">
      <c r="A1112">
        <v>1314381</v>
      </c>
      <c r="B1112">
        <v>1178</v>
      </c>
      <c r="C1112">
        <v>179948</v>
      </c>
      <c r="D1112" t="s">
        <v>13</v>
      </c>
      <c r="E1112" t="s">
        <v>16</v>
      </c>
      <c r="F1112">
        <v>110</v>
      </c>
      <c r="G1112">
        <v>357401</v>
      </c>
      <c r="H1112">
        <v>47</v>
      </c>
      <c r="I1112">
        <v>68.670000079999994</v>
      </c>
      <c r="J1112">
        <v>8</v>
      </c>
      <c r="K1112">
        <v>1</v>
      </c>
    </row>
    <row r="1113" spans="1:11" x14ac:dyDescent="0.25">
      <c r="A1113">
        <v>1314382</v>
      </c>
      <c r="B1113">
        <v>1178</v>
      </c>
      <c r="C1113">
        <v>179949</v>
      </c>
      <c r="D1113" t="s">
        <v>13</v>
      </c>
      <c r="E1113" t="s">
        <v>16</v>
      </c>
      <c r="F1113">
        <v>111</v>
      </c>
      <c r="G1113">
        <v>99810</v>
      </c>
      <c r="H1113">
        <v>14</v>
      </c>
      <c r="I1113">
        <v>20.050000189999999</v>
      </c>
      <c r="J1113">
        <v>2</v>
      </c>
      <c r="K1113">
        <v>0</v>
      </c>
    </row>
    <row r="1114" spans="1:11" x14ac:dyDescent="0.25">
      <c r="A1114">
        <v>1314383</v>
      </c>
      <c r="B1114">
        <v>1178</v>
      </c>
      <c r="C1114">
        <v>179950</v>
      </c>
      <c r="D1114" t="s">
        <v>13</v>
      </c>
      <c r="E1114" t="s">
        <v>16</v>
      </c>
      <c r="F1114">
        <v>112</v>
      </c>
      <c r="G1114">
        <v>81569</v>
      </c>
      <c r="H1114">
        <v>6</v>
      </c>
      <c r="I1114">
        <v>9.4099999669999992</v>
      </c>
      <c r="J1114">
        <v>3</v>
      </c>
      <c r="K1114">
        <v>1</v>
      </c>
    </row>
    <row r="1115" spans="1:11" x14ac:dyDescent="0.25">
      <c r="A1115">
        <v>1314384</v>
      </c>
      <c r="B1115">
        <v>1178</v>
      </c>
      <c r="C1115">
        <v>179951</v>
      </c>
      <c r="D1115" t="s">
        <v>13</v>
      </c>
      <c r="E1115" t="s">
        <v>16</v>
      </c>
      <c r="F1115">
        <v>113</v>
      </c>
      <c r="G1115">
        <v>441192</v>
      </c>
      <c r="H1115">
        <v>53</v>
      </c>
      <c r="I1115">
        <v>77.599999789999998</v>
      </c>
      <c r="J1115">
        <v>6</v>
      </c>
      <c r="K1115">
        <v>2</v>
      </c>
    </row>
    <row r="1116" spans="1:11" x14ac:dyDescent="0.25">
      <c r="A1116">
        <v>1314385</v>
      </c>
      <c r="B1116">
        <v>1178</v>
      </c>
      <c r="C1116">
        <v>179952</v>
      </c>
      <c r="D1116" t="s">
        <v>13</v>
      </c>
      <c r="E1116" t="s">
        <v>16</v>
      </c>
      <c r="F1116">
        <v>114</v>
      </c>
      <c r="G1116">
        <v>90470</v>
      </c>
      <c r="H1116">
        <v>11</v>
      </c>
      <c r="I1116">
        <v>16.730000019999999</v>
      </c>
      <c r="J1116">
        <v>1</v>
      </c>
      <c r="K1116">
        <v>1</v>
      </c>
    </row>
    <row r="1117" spans="1:11" x14ac:dyDescent="0.25">
      <c r="A1117">
        <v>1314386</v>
      </c>
      <c r="B1117">
        <v>1178</v>
      </c>
      <c r="C1117">
        <v>179953</v>
      </c>
      <c r="D1117" t="s">
        <v>14</v>
      </c>
      <c r="E1117" t="s">
        <v>16</v>
      </c>
      <c r="F1117">
        <v>100</v>
      </c>
      <c r="G1117">
        <v>834243</v>
      </c>
      <c r="H1117">
        <v>166</v>
      </c>
      <c r="I1117">
        <v>246.74999750000001</v>
      </c>
      <c r="J1117">
        <v>18</v>
      </c>
      <c r="K1117">
        <v>7</v>
      </c>
    </row>
    <row r="1118" spans="1:11" x14ac:dyDescent="0.25">
      <c r="A1118">
        <v>1314387</v>
      </c>
      <c r="B1118">
        <v>1178</v>
      </c>
      <c r="C1118">
        <v>179954</v>
      </c>
      <c r="D1118" t="s">
        <v>14</v>
      </c>
      <c r="E1118" t="s">
        <v>16</v>
      </c>
      <c r="F1118">
        <v>101</v>
      </c>
      <c r="G1118">
        <v>696612</v>
      </c>
      <c r="H1118">
        <v>152</v>
      </c>
      <c r="I1118">
        <v>223.18999479999999</v>
      </c>
      <c r="J1118">
        <v>31</v>
      </c>
      <c r="K1118">
        <v>9</v>
      </c>
    </row>
    <row r="1119" spans="1:11" x14ac:dyDescent="0.25">
      <c r="A1119">
        <v>1314388</v>
      </c>
      <c r="B1119">
        <v>1178</v>
      </c>
      <c r="C1119">
        <v>179955</v>
      </c>
      <c r="D1119" t="s">
        <v>14</v>
      </c>
      <c r="E1119" t="s">
        <v>16</v>
      </c>
      <c r="F1119">
        <v>102</v>
      </c>
      <c r="G1119">
        <v>329333</v>
      </c>
      <c r="H1119">
        <v>48</v>
      </c>
      <c r="I1119">
        <v>67.609999180000003</v>
      </c>
      <c r="J1119">
        <v>1</v>
      </c>
      <c r="K1119">
        <v>0</v>
      </c>
    </row>
    <row r="1120" spans="1:11" x14ac:dyDescent="0.25">
      <c r="A1120">
        <v>1314389</v>
      </c>
      <c r="B1120">
        <v>1178</v>
      </c>
      <c r="C1120">
        <v>179956</v>
      </c>
      <c r="D1120" t="s">
        <v>14</v>
      </c>
      <c r="E1120" t="s">
        <v>16</v>
      </c>
      <c r="F1120">
        <v>103</v>
      </c>
      <c r="G1120">
        <v>1114711</v>
      </c>
      <c r="H1120">
        <v>224</v>
      </c>
      <c r="I1120">
        <v>319.00000189999997</v>
      </c>
      <c r="J1120">
        <v>6</v>
      </c>
      <c r="K1120">
        <v>0</v>
      </c>
    </row>
    <row r="1121" spans="1:11" x14ac:dyDescent="0.25">
      <c r="A1121">
        <v>1314390</v>
      </c>
      <c r="B1121">
        <v>1178</v>
      </c>
      <c r="C1121">
        <v>179957</v>
      </c>
      <c r="D1121" t="s">
        <v>14</v>
      </c>
      <c r="E1121" t="s">
        <v>16</v>
      </c>
      <c r="F1121">
        <v>104</v>
      </c>
      <c r="G1121">
        <v>267316</v>
      </c>
      <c r="H1121">
        <v>58</v>
      </c>
      <c r="I1121">
        <v>82.929998870000006</v>
      </c>
      <c r="J1121">
        <v>3</v>
      </c>
      <c r="K1121">
        <v>0</v>
      </c>
    </row>
    <row r="1122" spans="1:11" x14ac:dyDescent="0.25">
      <c r="A1122">
        <v>1314391</v>
      </c>
      <c r="B1122">
        <v>1178</v>
      </c>
      <c r="C1122">
        <v>179958</v>
      </c>
      <c r="D1122" t="s">
        <v>14</v>
      </c>
      <c r="E1122" t="s">
        <v>16</v>
      </c>
      <c r="F1122">
        <v>105</v>
      </c>
      <c r="G1122">
        <v>228629</v>
      </c>
      <c r="H1122">
        <v>38</v>
      </c>
      <c r="I1122">
        <v>57</v>
      </c>
      <c r="J1122">
        <v>2</v>
      </c>
      <c r="K1122">
        <v>0</v>
      </c>
    </row>
    <row r="1123" spans="1:11" x14ac:dyDescent="0.25">
      <c r="A1123">
        <v>1314392</v>
      </c>
      <c r="B1123">
        <v>1178</v>
      </c>
      <c r="C1123">
        <v>179959</v>
      </c>
      <c r="D1123" t="s">
        <v>14</v>
      </c>
      <c r="E1123" t="s">
        <v>16</v>
      </c>
      <c r="F1123">
        <v>106</v>
      </c>
      <c r="G1123">
        <v>758340</v>
      </c>
      <c r="H1123">
        <v>159</v>
      </c>
      <c r="I1123">
        <v>233.11000200000001</v>
      </c>
      <c r="J1123">
        <v>13</v>
      </c>
      <c r="K1123">
        <v>4</v>
      </c>
    </row>
    <row r="1124" spans="1:11" x14ac:dyDescent="0.25">
      <c r="A1124">
        <v>1314393</v>
      </c>
      <c r="B1124">
        <v>1178</v>
      </c>
      <c r="C1124">
        <v>179960</v>
      </c>
      <c r="D1124" t="s">
        <v>14</v>
      </c>
      <c r="E1124" t="s">
        <v>16</v>
      </c>
      <c r="F1124">
        <v>107</v>
      </c>
      <c r="G1124">
        <v>877535</v>
      </c>
      <c r="H1124">
        <v>149</v>
      </c>
      <c r="I1124">
        <v>217.7799966</v>
      </c>
      <c r="J1124">
        <v>5</v>
      </c>
      <c r="K1124">
        <v>2</v>
      </c>
    </row>
    <row r="1125" spans="1:11" x14ac:dyDescent="0.25">
      <c r="A1125">
        <v>1314394</v>
      </c>
      <c r="B1125">
        <v>1178</v>
      </c>
      <c r="C1125">
        <v>179961</v>
      </c>
      <c r="D1125" t="s">
        <v>14</v>
      </c>
      <c r="E1125" t="s">
        <v>16</v>
      </c>
      <c r="F1125">
        <v>108</v>
      </c>
      <c r="G1125">
        <v>1357386</v>
      </c>
      <c r="H1125">
        <v>223</v>
      </c>
      <c r="I1125">
        <v>323.06000710000001</v>
      </c>
      <c r="J1125">
        <v>10</v>
      </c>
      <c r="K1125">
        <v>1</v>
      </c>
    </row>
    <row r="1126" spans="1:11" x14ac:dyDescent="0.25">
      <c r="A1126">
        <v>1314395</v>
      </c>
      <c r="B1126">
        <v>1178</v>
      </c>
      <c r="C1126">
        <v>179962</v>
      </c>
      <c r="D1126" t="s">
        <v>14</v>
      </c>
      <c r="E1126" t="s">
        <v>16</v>
      </c>
      <c r="F1126">
        <v>109</v>
      </c>
      <c r="G1126">
        <v>280240</v>
      </c>
      <c r="H1126">
        <v>61</v>
      </c>
      <c r="I1126">
        <v>87.990001680000006</v>
      </c>
      <c r="J1126">
        <v>2</v>
      </c>
      <c r="K1126">
        <v>2</v>
      </c>
    </row>
    <row r="1127" spans="1:11" x14ac:dyDescent="0.25">
      <c r="A1127">
        <v>1314396</v>
      </c>
      <c r="B1127">
        <v>1178</v>
      </c>
      <c r="C1127">
        <v>179963</v>
      </c>
      <c r="D1127" t="s">
        <v>14</v>
      </c>
      <c r="E1127" t="s">
        <v>16</v>
      </c>
      <c r="F1127">
        <v>110</v>
      </c>
      <c r="G1127">
        <v>419922</v>
      </c>
      <c r="H1127">
        <v>75</v>
      </c>
      <c r="I1127">
        <v>105.4500008</v>
      </c>
      <c r="J1127">
        <v>3</v>
      </c>
      <c r="K1127">
        <v>1</v>
      </c>
    </row>
    <row r="1128" spans="1:11" x14ac:dyDescent="0.25">
      <c r="A1128">
        <v>1314397</v>
      </c>
      <c r="B1128">
        <v>1178</v>
      </c>
      <c r="C1128">
        <v>179964</v>
      </c>
      <c r="D1128" t="s">
        <v>14</v>
      </c>
      <c r="E1128" t="s">
        <v>16</v>
      </c>
      <c r="F1128">
        <v>111</v>
      </c>
      <c r="G1128">
        <v>402975</v>
      </c>
      <c r="H1128">
        <v>83</v>
      </c>
      <c r="I1128">
        <v>120.8999977</v>
      </c>
      <c r="J1128">
        <v>1</v>
      </c>
      <c r="K1128">
        <v>0</v>
      </c>
    </row>
    <row r="1129" spans="1:11" x14ac:dyDescent="0.25">
      <c r="A1129">
        <v>1314398</v>
      </c>
      <c r="B1129">
        <v>1178</v>
      </c>
      <c r="C1129">
        <v>179965</v>
      </c>
      <c r="D1129" t="s">
        <v>14</v>
      </c>
      <c r="E1129" t="s">
        <v>16</v>
      </c>
      <c r="F1129">
        <v>112</v>
      </c>
      <c r="G1129">
        <v>1137635</v>
      </c>
      <c r="H1129">
        <v>211</v>
      </c>
      <c r="I1129">
        <v>301.0499992</v>
      </c>
      <c r="J1129">
        <v>30</v>
      </c>
      <c r="K1129">
        <v>10</v>
      </c>
    </row>
    <row r="1130" spans="1:11" x14ac:dyDescent="0.25">
      <c r="A1130">
        <v>1314400</v>
      </c>
      <c r="B1130">
        <v>1178</v>
      </c>
      <c r="C1130">
        <v>179967</v>
      </c>
      <c r="D1130" t="s">
        <v>14</v>
      </c>
      <c r="E1130" t="s">
        <v>16</v>
      </c>
      <c r="F1130">
        <v>114</v>
      </c>
      <c r="G1130">
        <v>250234</v>
      </c>
      <c r="H1130">
        <v>40</v>
      </c>
      <c r="I1130">
        <v>62.31999922</v>
      </c>
      <c r="J1130">
        <v>4</v>
      </c>
      <c r="K1130">
        <v>1</v>
      </c>
    </row>
    <row r="1131" spans="1:11" x14ac:dyDescent="0.25">
      <c r="A1131">
        <v>1314401</v>
      </c>
      <c r="B1131">
        <v>1178</v>
      </c>
      <c r="C1131">
        <v>179968</v>
      </c>
      <c r="D1131" t="s">
        <v>15</v>
      </c>
      <c r="E1131" t="s">
        <v>16</v>
      </c>
      <c r="F1131">
        <v>100</v>
      </c>
      <c r="G1131">
        <v>904907</v>
      </c>
      <c r="H1131">
        <v>195</v>
      </c>
      <c r="I1131">
        <v>279.21999499999998</v>
      </c>
      <c r="J1131">
        <v>11</v>
      </c>
      <c r="K1131">
        <v>1</v>
      </c>
    </row>
    <row r="1132" spans="1:11" x14ac:dyDescent="0.25">
      <c r="A1132">
        <v>1314402</v>
      </c>
      <c r="B1132">
        <v>1178</v>
      </c>
      <c r="C1132">
        <v>179969</v>
      </c>
      <c r="D1132" t="s">
        <v>15</v>
      </c>
      <c r="E1132" t="s">
        <v>16</v>
      </c>
      <c r="F1132">
        <v>101</v>
      </c>
      <c r="G1132">
        <v>589270</v>
      </c>
      <c r="H1132">
        <v>107</v>
      </c>
      <c r="I1132">
        <v>158.05000229999999</v>
      </c>
      <c r="J1132">
        <v>10</v>
      </c>
      <c r="K1132">
        <v>4</v>
      </c>
    </row>
    <row r="1133" spans="1:11" x14ac:dyDescent="0.25">
      <c r="A1133">
        <v>1314403</v>
      </c>
      <c r="B1133">
        <v>1178</v>
      </c>
      <c r="C1133">
        <v>179970</v>
      </c>
      <c r="D1133" t="s">
        <v>15</v>
      </c>
      <c r="E1133" t="s">
        <v>16</v>
      </c>
      <c r="F1133">
        <v>102</v>
      </c>
      <c r="G1133">
        <v>168714</v>
      </c>
      <c r="H1133">
        <v>24</v>
      </c>
      <c r="I1133">
        <v>36.01000071</v>
      </c>
      <c r="J1133">
        <v>2</v>
      </c>
      <c r="K1133">
        <v>2</v>
      </c>
    </row>
    <row r="1134" spans="1:11" x14ac:dyDescent="0.25">
      <c r="A1134">
        <v>1314404</v>
      </c>
      <c r="B1134">
        <v>1178</v>
      </c>
      <c r="C1134">
        <v>179971</v>
      </c>
      <c r="D1134" t="s">
        <v>15</v>
      </c>
      <c r="E1134" t="s">
        <v>16</v>
      </c>
      <c r="F1134">
        <v>103</v>
      </c>
      <c r="G1134">
        <v>71982</v>
      </c>
      <c r="H1134">
        <v>11</v>
      </c>
      <c r="I1134">
        <v>16.340000509999999</v>
      </c>
      <c r="J1134">
        <v>1</v>
      </c>
      <c r="K1134">
        <v>0</v>
      </c>
    </row>
    <row r="1135" spans="1:11" x14ac:dyDescent="0.25">
      <c r="A1135">
        <v>1314405</v>
      </c>
      <c r="B1135">
        <v>1178</v>
      </c>
      <c r="C1135">
        <v>179972</v>
      </c>
      <c r="D1135" t="s">
        <v>15</v>
      </c>
      <c r="E1135" t="s">
        <v>16</v>
      </c>
      <c r="F1135">
        <v>104</v>
      </c>
      <c r="G1135">
        <v>558666</v>
      </c>
      <c r="H1135">
        <v>110</v>
      </c>
      <c r="I1135">
        <v>162.63999749999999</v>
      </c>
      <c r="J1135">
        <v>14</v>
      </c>
      <c r="K1135">
        <v>5</v>
      </c>
    </row>
    <row r="1136" spans="1:11" x14ac:dyDescent="0.25">
      <c r="A1136">
        <v>1314406</v>
      </c>
      <c r="B1136">
        <v>1178</v>
      </c>
      <c r="C1136">
        <v>179973</v>
      </c>
      <c r="D1136" t="s">
        <v>15</v>
      </c>
      <c r="E1136" t="s">
        <v>16</v>
      </c>
      <c r="F1136">
        <v>105</v>
      </c>
      <c r="G1136">
        <v>1118200</v>
      </c>
      <c r="H1136">
        <v>235</v>
      </c>
      <c r="I1136">
        <v>333.74999430000003</v>
      </c>
      <c r="J1136">
        <v>11</v>
      </c>
      <c r="K1136">
        <v>4</v>
      </c>
    </row>
    <row r="1137" spans="1:11" x14ac:dyDescent="0.25">
      <c r="A1137">
        <v>1314407</v>
      </c>
      <c r="B1137">
        <v>1178</v>
      </c>
      <c r="C1137">
        <v>179974</v>
      </c>
      <c r="D1137" t="s">
        <v>15</v>
      </c>
      <c r="E1137" t="s">
        <v>16</v>
      </c>
      <c r="F1137">
        <v>106</v>
      </c>
      <c r="G1137">
        <v>107100</v>
      </c>
      <c r="H1137">
        <v>23</v>
      </c>
      <c r="I1137">
        <v>33.71000051</v>
      </c>
      <c r="J1137">
        <v>1</v>
      </c>
      <c r="K1137">
        <v>0</v>
      </c>
    </row>
    <row r="1138" spans="1:11" x14ac:dyDescent="0.25">
      <c r="A1138">
        <v>1314408</v>
      </c>
      <c r="B1138">
        <v>1178</v>
      </c>
      <c r="C1138">
        <v>179975</v>
      </c>
      <c r="D1138" t="s">
        <v>15</v>
      </c>
      <c r="E1138" t="s">
        <v>16</v>
      </c>
      <c r="F1138">
        <v>107</v>
      </c>
      <c r="G1138">
        <v>877769</v>
      </c>
      <c r="H1138">
        <v>160</v>
      </c>
      <c r="I1138">
        <v>232.5900005</v>
      </c>
      <c r="J1138">
        <v>13</v>
      </c>
      <c r="K1138">
        <v>4</v>
      </c>
    </row>
    <row r="1139" spans="1:11" x14ac:dyDescent="0.25">
      <c r="A1139">
        <v>1314409</v>
      </c>
      <c r="B1139">
        <v>1178</v>
      </c>
      <c r="C1139">
        <v>179976</v>
      </c>
      <c r="D1139" t="s">
        <v>15</v>
      </c>
      <c r="E1139" t="s">
        <v>16</v>
      </c>
      <c r="F1139">
        <v>108</v>
      </c>
      <c r="G1139">
        <v>212508</v>
      </c>
      <c r="H1139">
        <v>33</v>
      </c>
      <c r="I1139">
        <v>47.690000060000003</v>
      </c>
      <c r="J1139">
        <v>4</v>
      </c>
      <c r="K1139">
        <v>1</v>
      </c>
    </row>
    <row r="1140" spans="1:11" x14ac:dyDescent="0.25">
      <c r="A1140">
        <v>1314410</v>
      </c>
      <c r="B1140">
        <v>1178</v>
      </c>
      <c r="C1140">
        <v>179977</v>
      </c>
      <c r="D1140" t="s">
        <v>15</v>
      </c>
      <c r="E1140" t="s">
        <v>16</v>
      </c>
      <c r="F1140">
        <v>109</v>
      </c>
      <c r="G1140">
        <v>1129773</v>
      </c>
      <c r="H1140">
        <v>252</v>
      </c>
      <c r="I1140">
        <v>358.18999700000001</v>
      </c>
      <c r="J1140">
        <v>13</v>
      </c>
      <c r="K1140">
        <v>2</v>
      </c>
    </row>
    <row r="1141" spans="1:11" x14ac:dyDescent="0.25">
      <c r="A1141">
        <v>1314411</v>
      </c>
      <c r="B1141">
        <v>1178</v>
      </c>
      <c r="C1141">
        <v>179978</v>
      </c>
      <c r="D1141" t="s">
        <v>15</v>
      </c>
      <c r="E1141" t="s">
        <v>16</v>
      </c>
      <c r="F1141">
        <v>110</v>
      </c>
      <c r="G1141">
        <v>637549</v>
      </c>
      <c r="H1141">
        <v>120</v>
      </c>
      <c r="I1141">
        <v>173.88000349999999</v>
      </c>
      <c r="J1141">
        <v>3</v>
      </c>
      <c r="K1141">
        <v>0</v>
      </c>
    </row>
    <row r="1142" spans="1:11" x14ac:dyDescent="0.25">
      <c r="A1142">
        <v>1314412</v>
      </c>
      <c r="B1142">
        <v>1178</v>
      </c>
      <c r="C1142">
        <v>179979</v>
      </c>
      <c r="D1142" t="s">
        <v>15</v>
      </c>
      <c r="E1142" t="s">
        <v>16</v>
      </c>
      <c r="F1142">
        <v>111</v>
      </c>
      <c r="G1142">
        <v>151531</v>
      </c>
      <c r="H1142">
        <v>28</v>
      </c>
      <c r="I1142">
        <v>40.28999949</v>
      </c>
      <c r="J1142">
        <v>2</v>
      </c>
      <c r="K1142">
        <v>0</v>
      </c>
    </row>
    <row r="1143" spans="1:11" x14ac:dyDescent="0.25">
      <c r="A1143">
        <v>1314414</v>
      </c>
      <c r="B1143">
        <v>1178</v>
      </c>
      <c r="C1143">
        <v>179981</v>
      </c>
      <c r="D1143" t="s">
        <v>15</v>
      </c>
      <c r="E1143" t="s">
        <v>16</v>
      </c>
      <c r="F1143">
        <v>113</v>
      </c>
      <c r="G1143">
        <v>790253</v>
      </c>
      <c r="H1143">
        <v>135</v>
      </c>
      <c r="I1143">
        <v>198.71000050000001</v>
      </c>
      <c r="J1143">
        <v>8</v>
      </c>
      <c r="K1143">
        <v>2</v>
      </c>
    </row>
    <row r="1144" spans="1:11" x14ac:dyDescent="0.25">
      <c r="A1144">
        <v>1314415</v>
      </c>
      <c r="B1144">
        <v>1178</v>
      </c>
      <c r="C1144">
        <v>179982</v>
      </c>
      <c r="D1144" t="s">
        <v>15</v>
      </c>
      <c r="E1144" t="s">
        <v>16</v>
      </c>
      <c r="F1144">
        <v>114</v>
      </c>
      <c r="G1144">
        <v>513161</v>
      </c>
      <c r="H1144">
        <v>114</v>
      </c>
      <c r="I1144">
        <v>165.60999870000001</v>
      </c>
      <c r="J1144">
        <v>5</v>
      </c>
      <c r="K1144">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0E5B-6548-4B58-8653-729AC3A11613}">
  <sheetPr>
    <tabColor rgb="FF92D050"/>
  </sheetPr>
  <dimension ref="A1:P1144"/>
  <sheetViews>
    <sheetView topLeftCell="C1" workbookViewId="0">
      <selection activeCell="F17" sqref="F17"/>
    </sheetView>
  </sheetViews>
  <sheetFormatPr defaultRowHeight="15" x14ac:dyDescent="0.25"/>
  <cols>
    <col min="1" max="1" width="11.85546875" customWidth="1"/>
    <col min="2" max="2" width="17.7109375" customWidth="1"/>
    <col min="3" max="3" width="16.28515625" customWidth="1"/>
    <col min="4" max="4" width="9.5703125" customWidth="1"/>
    <col min="5" max="5" width="10" customWidth="1"/>
    <col min="6" max="6" width="11.42578125" customWidth="1"/>
    <col min="7" max="7" width="15" customWidth="1"/>
    <col min="8" max="8" width="8.7109375" customWidth="1"/>
    <col min="9" max="9" width="14.140625" customWidth="1"/>
    <col min="10" max="10" width="16.5703125" customWidth="1"/>
    <col min="11" max="11" width="22.85546875" customWidth="1"/>
    <col min="12" max="12" width="14" customWidth="1"/>
    <col min="13" max="13" width="10.140625" customWidth="1"/>
    <col min="14" max="14" width="9.140625" customWidth="1"/>
    <col min="16" max="16" width="24.7109375" customWidth="1"/>
  </cols>
  <sheetData>
    <row r="1" spans="1:16" x14ac:dyDescent="0.25">
      <c r="A1" s="1" t="s">
        <v>0</v>
      </c>
      <c r="B1" s="1" t="s">
        <v>1</v>
      </c>
      <c r="C1" s="1" t="s">
        <v>2</v>
      </c>
      <c r="D1" s="1" t="s">
        <v>3</v>
      </c>
      <c r="E1" s="1" t="s">
        <v>4</v>
      </c>
      <c r="F1" s="1" t="s">
        <v>5</v>
      </c>
      <c r="G1" s="1" t="s">
        <v>6</v>
      </c>
      <c r="H1" s="1" t="s">
        <v>7</v>
      </c>
      <c r="I1" s="1" t="s">
        <v>8</v>
      </c>
      <c r="J1" s="1" t="s">
        <v>9</v>
      </c>
      <c r="K1" s="1" t="s">
        <v>10</v>
      </c>
      <c r="L1" s="13" t="s">
        <v>31</v>
      </c>
      <c r="M1" s="13" t="s">
        <v>32</v>
      </c>
      <c r="N1" s="13" t="s">
        <v>33</v>
      </c>
      <c r="O1" s="13" t="s">
        <v>34</v>
      </c>
      <c r="P1" s="13" t="s">
        <v>56</v>
      </c>
    </row>
    <row r="2" spans="1:16" x14ac:dyDescent="0.25">
      <c r="A2">
        <v>708746</v>
      </c>
      <c r="B2">
        <v>916</v>
      </c>
      <c r="C2">
        <v>103916</v>
      </c>
      <c r="D2" t="s">
        <v>11</v>
      </c>
      <c r="E2" t="s">
        <v>12</v>
      </c>
      <c r="F2" s="5">
        <v>15</v>
      </c>
      <c r="G2" s="5">
        <v>7350</v>
      </c>
      <c r="H2" s="5">
        <v>1</v>
      </c>
      <c r="I2" s="8">
        <v>1.4299999480000001</v>
      </c>
      <c r="J2" s="5">
        <v>2</v>
      </c>
      <c r="K2" s="5">
        <v>1</v>
      </c>
      <c r="L2" s="14">
        <f>IF(G2=0,0,(I2/G2)*1000)</f>
        <v>0.19455781605442177</v>
      </c>
      <c r="M2" s="14">
        <f>IF(H2&gt;0, I2/H2, " ")</f>
        <v>1.4299999480000001</v>
      </c>
      <c r="N2" s="20">
        <f>IF(G2=0,0,(H2/G2))</f>
        <v>1.3605442176870748E-4</v>
      </c>
      <c r="O2" s="14">
        <f>IF(K2&gt;0, I2/K2, " ")</f>
        <v>1.4299999480000001</v>
      </c>
      <c r="P2" s="20">
        <f>IF(H2=0,0,(K2/H2))</f>
        <v>1</v>
      </c>
    </row>
    <row r="3" spans="1:16" x14ac:dyDescent="0.25">
      <c r="A3">
        <v>708749</v>
      </c>
      <c r="B3">
        <v>916</v>
      </c>
      <c r="C3">
        <v>103917</v>
      </c>
      <c r="D3" t="s">
        <v>11</v>
      </c>
      <c r="E3" t="s">
        <v>12</v>
      </c>
      <c r="F3" s="5">
        <v>16</v>
      </c>
      <c r="G3" s="5">
        <v>17861</v>
      </c>
      <c r="H3" s="5">
        <v>2</v>
      </c>
      <c r="I3" s="8">
        <v>1.820000023</v>
      </c>
      <c r="J3" s="5">
        <v>2</v>
      </c>
      <c r="K3" s="5">
        <v>0</v>
      </c>
      <c r="L3" s="14">
        <f t="shared" ref="L3:L66" si="0">IF(G3=0,0,(I3/G3)*1000)</f>
        <v>0.10189799132187448</v>
      </c>
      <c r="M3" s="14">
        <f>IF(H3&gt;0, I3/H3, " ")</f>
        <v>0.91000001149999998</v>
      </c>
      <c r="N3" s="20">
        <f t="shared" ref="N3:N66" si="1">IF(G3=0,0,(H3/G3))</f>
        <v>1.1197581322434354E-4</v>
      </c>
      <c r="O3" s="14" t="str">
        <f t="shared" ref="O3:O66" si="2">IF(K3&gt;0, I3/K3, " ")</f>
        <v xml:space="preserve"> </v>
      </c>
      <c r="P3" s="20">
        <f t="shared" ref="P3:P66" si="3">IF(H3=0,0,(K3/H3))</f>
        <v>0</v>
      </c>
    </row>
    <row r="4" spans="1:16" x14ac:dyDescent="0.25">
      <c r="A4">
        <v>708771</v>
      </c>
      <c r="B4">
        <v>916</v>
      </c>
      <c r="C4">
        <v>103920</v>
      </c>
      <c r="D4" t="s">
        <v>11</v>
      </c>
      <c r="E4" t="s">
        <v>12</v>
      </c>
      <c r="F4" s="5">
        <v>20</v>
      </c>
      <c r="G4" s="5">
        <v>693</v>
      </c>
      <c r="H4" s="5">
        <v>0</v>
      </c>
      <c r="I4" s="8">
        <v>0</v>
      </c>
      <c r="J4" s="5">
        <v>1</v>
      </c>
      <c r="K4" s="5">
        <v>0</v>
      </c>
      <c r="L4" s="14">
        <f t="shared" si="0"/>
        <v>0</v>
      </c>
      <c r="M4" s="14" t="str">
        <f>IF(H4&gt;0, I4/H4, " ")</f>
        <v xml:space="preserve"> </v>
      </c>
      <c r="N4" s="20">
        <f t="shared" si="1"/>
        <v>0</v>
      </c>
      <c r="O4" s="14" t="str">
        <f t="shared" si="2"/>
        <v xml:space="preserve"> </v>
      </c>
      <c r="P4" s="20">
        <f t="shared" si="3"/>
        <v>0</v>
      </c>
    </row>
    <row r="5" spans="1:16" x14ac:dyDescent="0.25">
      <c r="A5">
        <v>708815</v>
      </c>
      <c r="B5">
        <v>916</v>
      </c>
      <c r="C5">
        <v>103928</v>
      </c>
      <c r="D5" t="s">
        <v>11</v>
      </c>
      <c r="E5" t="s">
        <v>12</v>
      </c>
      <c r="F5" s="5">
        <v>28</v>
      </c>
      <c r="G5" s="5">
        <v>4259</v>
      </c>
      <c r="H5" s="5">
        <v>1</v>
      </c>
      <c r="I5" s="8">
        <v>1.25</v>
      </c>
      <c r="J5" s="5">
        <v>1</v>
      </c>
      <c r="K5" s="5">
        <v>0</v>
      </c>
      <c r="L5" s="14">
        <f t="shared" si="0"/>
        <v>0.29349612585113877</v>
      </c>
      <c r="M5" s="14">
        <f t="shared" ref="M5:M68" si="4">IF(H5&gt;0, I5/H5, " ")</f>
        <v>1.25</v>
      </c>
      <c r="N5" s="20">
        <f t="shared" si="1"/>
        <v>2.3479690068091102E-4</v>
      </c>
      <c r="O5" s="14" t="str">
        <f t="shared" si="2"/>
        <v xml:space="preserve"> </v>
      </c>
      <c r="P5" s="20">
        <f t="shared" si="3"/>
        <v>0</v>
      </c>
    </row>
    <row r="6" spans="1:16" x14ac:dyDescent="0.25">
      <c r="A6">
        <v>708818</v>
      </c>
      <c r="B6">
        <v>916</v>
      </c>
      <c r="C6">
        <v>103928</v>
      </c>
      <c r="D6" t="s">
        <v>11</v>
      </c>
      <c r="E6" t="s">
        <v>12</v>
      </c>
      <c r="F6" s="5">
        <v>28</v>
      </c>
      <c r="G6" s="5">
        <v>4133</v>
      </c>
      <c r="H6" s="5">
        <v>1</v>
      </c>
      <c r="I6" s="8">
        <v>1.289999962</v>
      </c>
      <c r="J6" s="5">
        <v>1</v>
      </c>
      <c r="K6" s="5">
        <v>1</v>
      </c>
      <c r="L6" s="14">
        <f t="shared" si="0"/>
        <v>0.31212193612388095</v>
      </c>
      <c r="M6" s="14">
        <f t="shared" si="4"/>
        <v>1.289999962</v>
      </c>
      <c r="N6" s="20">
        <f t="shared" si="1"/>
        <v>2.4195499637067505E-4</v>
      </c>
      <c r="O6" s="14">
        <f t="shared" si="2"/>
        <v>1.289999962</v>
      </c>
      <c r="P6" s="20">
        <f t="shared" si="3"/>
        <v>1</v>
      </c>
    </row>
    <row r="7" spans="1:16" x14ac:dyDescent="0.25">
      <c r="A7">
        <v>708820</v>
      </c>
      <c r="B7">
        <v>916</v>
      </c>
      <c r="C7">
        <v>103929</v>
      </c>
      <c r="D7" t="s">
        <v>11</v>
      </c>
      <c r="E7" t="s">
        <v>12</v>
      </c>
      <c r="F7" s="5">
        <v>29</v>
      </c>
      <c r="G7" s="5">
        <v>1915</v>
      </c>
      <c r="H7" s="5">
        <v>0</v>
      </c>
      <c r="I7" s="8">
        <v>0</v>
      </c>
      <c r="J7" s="5">
        <v>1</v>
      </c>
      <c r="K7" s="5">
        <v>1</v>
      </c>
      <c r="L7" s="14">
        <f t="shared" si="0"/>
        <v>0</v>
      </c>
      <c r="M7" s="14" t="str">
        <f t="shared" si="4"/>
        <v xml:space="preserve"> </v>
      </c>
      <c r="N7" s="20">
        <f t="shared" si="1"/>
        <v>0</v>
      </c>
      <c r="O7" s="14">
        <f t="shared" si="2"/>
        <v>0</v>
      </c>
      <c r="P7" s="20">
        <f t="shared" si="3"/>
        <v>0</v>
      </c>
    </row>
    <row r="8" spans="1:16" x14ac:dyDescent="0.25">
      <c r="A8">
        <v>708889</v>
      </c>
      <c r="B8">
        <v>916</v>
      </c>
      <c r="C8">
        <v>103940</v>
      </c>
      <c r="D8" t="s">
        <v>11</v>
      </c>
      <c r="E8" t="s">
        <v>12</v>
      </c>
      <c r="F8" s="5">
        <v>15</v>
      </c>
      <c r="G8" s="5">
        <v>15615</v>
      </c>
      <c r="H8" s="5">
        <v>3</v>
      </c>
      <c r="I8" s="8">
        <v>4.7699999809999998</v>
      </c>
      <c r="J8" s="5">
        <v>1</v>
      </c>
      <c r="K8" s="5">
        <v>0</v>
      </c>
      <c r="L8" s="14">
        <f t="shared" si="0"/>
        <v>0.30547550310598787</v>
      </c>
      <c r="M8" s="14">
        <f t="shared" si="4"/>
        <v>1.5899999936666667</v>
      </c>
      <c r="N8" s="20">
        <f t="shared" si="1"/>
        <v>1.9212295869356388E-4</v>
      </c>
      <c r="O8" s="14" t="str">
        <f t="shared" si="2"/>
        <v xml:space="preserve"> </v>
      </c>
      <c r="P8" s="20">
        <f t="shared" si="3"/>
        <v>0</v>
      </c>
    </row>
    <row r="9" spans="1:16" x14ac:dyDescent="0.25">
      <c r="A9">
        <v>708895</v>
      </c>
      <c r="B9">
        <v>916</v>
      </c>
      <c r="C9">
        <v>103941</v>
      </c>
      <c r="D9" t="s">
        <v>11</v>
      </c>
      <c r="E9" t="s">
        <v>12</v>
      </c>
      <c r="F9" s="5">
        <v>16</v>
      </c>
      <c r="G9" s="5">
        <v>10951</v>
      </c>
      <c r="H9" s="5">
        <v>1</v>
      </c>
      <c r="I9" s="8">
        <v>1.269999981</v>
      </c>
      <c r="J9" s="5">
        <v>1</v>
      </c>
      <c r="K9" s="5">
        <v>1</v>
      </c>
      <c r="L9" s="14">
        <f t="shared" si="0"/>
        <v>0.11597114245274404</v>
      </c>
      <c r="M9" s="14">
        <f t="shared" si="4"/>
        <v>1.269999981</v>
      </c>
      <c r="N9" s="20">
        <f t="shared" si="1"/>
        <v>9.1315861565153872E-5</v>
      </c>
      <c r="O9" s="14">
        <f t="shared" si="2"/>
        <v>1.269999981</v>
      </c>
      <c r="P9" s="20">
        <f t="shared" si="3"/>
        <v>1</v>
      </c>
    </row>
    <row r="10" spans="1:16" x14ac:dyDescent="0.25">
      <c r="A10">
        <v>708953</v>
      </c>
      <c r="B10">
        <v>916</v>
      </c>
      <c r="C10">
        <v>103951</v>
      </c>
      <c r="D10" t="s">
        <v>11</v>
      </c>
      <c r="E10" t="s">
        <v>12</v>
      </c>
      <c r="F10" s="5">
        <v>27</v>
      </c>
      <c r="G10" s="5">
        <v>2355</v>
      </c>
      <c r="H10" s="5">
        <v>1</v>
      </c>
      <c r="I10" s="8">
        <v>1.5</v>
      </c>
      <c r="J10" s="5">
        <v>1</v>
      </c>
      <c r="K10" s="5">
        <v>0</v>
      </c>
      <c r="L10" s="14">
        <f t="shared" si="0"/>
        <v>0.63694267515923564</v>
      </c>
      <c r="M10" s="14">
        <f t="shared" si="4"/>
        <v>1.5</v>
      </c>
      <c r="N10" s="20">
        <f t="shared" si="1"/>
        <v>4.2462845010615713E-4</v>
      </c>
      <c r="O10" s="14" t="str">
        <f t="shared" si="2"/>
        <v xml:space="preserve"> </v>
      </c>
      <c r="P10" s="20">
        <f t="shared" si="3"/>
        <v>0</v>
      </c>
    </row>
    <row r="11" spans="1:16" x14ac:dyDescent="0.25">
      <c r="A11">
        <v>708958</v>
      </c>
      <c r="B11">
        <v>916</v>
      </c>
      <c r="C11">
        <v>103952</v>
      </c>
      <c r="D11" t="s">
        <v>11</v>
      </c>
      <c r="E11" t="s">
        <v>12</v>
      </c>
      <c r="F11" s="5">
        <v>28</v>
      </c>
      <c r="G11" s="5">
        <v>9502</v>
      </c>
      <c r="H11" s="5">
        <v>3</v>
      </c>
      <c r="I11" s="8">
        <v>3.1599999670000001</v>
      </c>
      <c r="J11" s="5">
        <v>1</v>
      </c>
      <c r="K11" s="5">
        <v>0</v>
      </c>
      <c r="L11" s="14">
        <f t="shared" si="0"/>
        <v>0.33256156251315511</v>
      </c>
      <c r="M11" s="14">
        <f t="shared" si="4"/>
        <v>1.0533333223333334</v>
      </c>
      <c r="N11" s="20">
        <f t="shared" si="1"/>
        <v>3.1572300568301408E-4</v>
      </c>
      <c r="O11" s="14" t="str">
        <f t="shared" si="2"/>
        <v xml:space="preserve"> </v>
      </c>
      <c r="P11" s="20">
        <f t="shared" si="3"/>
        <v>0</v>
      </c>
    </row>
    <row r="12" spans="1:16" x14ac:dyDescent="0.25">
      <c r="A12">
        <v>708979</v>
      </c>
      <c r="B12">
        <v>916</v>
      </c>
      <c r="C12">
        <v>103955</v>
      </c>
      <c r="D12" t="s">
        <v>11</v>
      </c>
      <c r="E12" t="s">
        <v>12</v>
      </c>
      <c r="F12" s="5">
        <v>31</v>
      </c>
      <c r="G12" s="5">
        <v>1224</v>
      </c>
      <c r="H12" s="5">
        <v>0</v>
      </c>
      <c r="I12" s="8">
        <v>0</v>
      </c>
      <c r="J12" s="5">
        <v>1</v>
      </c>
      <c r="K12" s="5">
        <v>0</v>
      </c>
      <c r="L12" s="14">
        <f t="shared" si="0"/>
        <v>0</v>
      </c>
      <c r="M12" s="14" t="str">
        <f t="shared" si="4"/>
        <v xml:space="preserve"> </v>
      </c>
      <c r="N12" s="20">
        <f t="shared" si="1"/>
        <v>0</v>
      </c>
      <c r="O12" s="14" t="str">
        <f t="shared" si="2"/>
        <v xml:space="preserve"> </v>
      </c>
      <c r="P12" s="20">
        <f t="shared" si="3"/>
        <v>0</v>
      </c>
    </row>
    <row r="13" spans="1:16" x14ac:dyDescent="0.25">
      <c r="A13">
        <v>709023</v>
      </c>
      <c r="B13">
        <v>916</v>
      </c>
      <c r="C13">
        <v>103962</v>
      </c>
      <c r="D13" t="s">
        <v>11</v>
      </c>
      <c r="E13" t="s">
        <v>12</v>
      </c>
      <c r="F13" s="5">
        <v>7</v>
      </c>
      <c r="G13" s="5">
        <v>735</v>
      </c>
      <c r="H13" s="5">
        <v>0</v>
      </c>
      <c r="I13" s="8">
        <v>0</v>
      </c>
      <c r="J13" s="5">
        <v>1</v>
      </c>
      <c r="K13" s="5">
        <v>0</v>
      </c>
      <c r="L13" s="14">
        <f t="shared" si="0"/>
        <v>0</v>
      </c>
      <c r="M13" s="14" t="str">
        <f t="shared" si="4"/>
        <v xml:space="preserve"> </v>
      </c>
      <c r="N13" s="20">
        <f t="shared" si="1"/>
        <v>0</v>
      </c>
      <c r="O13" s="14" t="str">
        <f t="shared" si="2"/>
        <v xml:space="preserve"> </v>
      </c>
      <c r="P13" s="20">
        <f t="shared" si="3"/>
        <v>0</v>
      </c>
    </row>
    <row r="14" spans="1:16" x14ac:dyDescent="0.25">
      <c r="A14">
        <v>709038</v>
      </c>
      <c r="B14">
        <v>916</v>
      </c>
      <c r="C14">
        <v>103965</v>
      </c>
      <c r="D14" t="s">
        <v>11</v>
      </c>
      <c r="E14" t="s">
        <v>12</v>
      </c>
      <c r="F14" s="5">
        <v>16</v>
      </c>
      <c r="G14" s="5">
        <v>5117</v>
      </c>
      <c r="H14" s="5">
        <v>0</v>
      </c>
      <c r="I14" s="8">
        <v>0</v>
      </c>
      <c r="J14" s="5">
        <v>1</v>
      </c>
      <c r="K14" s="5">
        <v>0</v>
      </c>
      <c r="L14" s="14">
        <f t="shared" si="0"/>
        <v>0</v>
      </c>
      <c r="M14" s="14" t="str">
        <f t="shared" si="4"/>
        <v xml:space="preserve"> </v>
      </c>
      <c r="N14" s="20">
        <f t="shared" si="1"/>
        <v>0</v>
      </c>
      <c r="O14" s="14" t="str">
        <f t="shared" si="2"/>
        <v xml:space="preserve"> </v>
      </c>
      <c r="P14" s="20">
        <f t="shared" si="3"/>
        <v>0</v>
      </c>
    </row>
    <row r="15" spans="1:16" x14ac:dyDescent="0.25">
      <c r="A15">
        <v>709040</v>
      </c>
      <c r="B15">
        <v>916</v>
      </c>
      <c r="C15">
        <v>103965</v>
      </c>
      <c r="D15" t="s">
        <v>11</v>
      </c>
      <c r="E15" t="s">
        <v>12</v>
      </c>
      <c r="F15" s="5">
        <v>16</v>
      </c>
      <c r="G15" s="5">
        <v>5120</v>
      </c>
      <c r="H15" s="5">
        <v>0</v>
      </c>
      <c r="I15" s="8">
        <v>0</v>
      </c>
      <c r="J15" s="5">
        <v>1</v>
      </c>
      <c r="K15" s="5">
        <v>0</v>
      </c>
      <c r="L15" s="14">
        <f t="shared" si="0"/>
        <v>0</v>
      </c>
      <c r="M15" s="14" t="str">
        <f t="shared" si="4"/>
        <v xml:space="preserve"> </v>
      </c>
      <c r="N15" s="20">
        <f t="shared" si="1"/>
        <v>0</v>
      </c>
      <c r="O15" s="14" t="str">
        <f t="shared" si="2"/>
        <v xml:space="preserve"> </v>
      </c>
      <c r="P15" s="20">
        <f t="shared" si="3"/>
        <v>0</v>
      </c>
    </row>
    <row r="16" spans="1:16" x14ac:dyDescent="0.25">
      <c r="A16">
        <v>709059</v>
      </c>
      <c r="B16">
        <v>916</v>
      </c>
      <c r="C16">
        <v>103968</v>
      </c>
      <c r="D16" t="s">
        <v>11</v>
      </c>
      <c r="E16" t="s">
        <v>12</v>
      </c>
      <c r="F16" s="5">
        <v>20</v>
      </c>
      <c r="G16" s="5">
        <v>14669</v>
      </c>
      <c r="H16" s="5">
        <v>7</v>
      </c>
      <c r="I16" s="8">
        <v>10.280000210000001</v>
      </c>
      <c r="J16" s="5">
        <v>1</v>
      </c>
      <c r="K16" s="5">
        <v>1</v>
      </c>
      <c r="L16" s="14">
        <f t="shared" si="0"/>
        <v>0.70079761469766177</v>
      </c>
      <c r="M16" s="14">
        <f t="shared" si="4"/>
        <v>1.4685714585714287</v>
      </c>
      <c r="N16" s="20">
        <f t="shared" si="1"/>
        <v>4.77196809598473E-4</v>
      </c>
      <c r="O16" s="14">
        <f t="shared" si="2"/>
        <v>10.280000210000001</v>
      </c>
      <c r="P16" s="20">
        <f t="shared" si="3"/>
        <v>0.14285714285714285</v>
      </c>
    </row>
    <row r="17" spans="1:16" x14ac:dyDescent="0.25">
      <c r="A17">
        <v>709105</v>
      </c>
      <c r="B17">
        <v>916</v>
      </c>
      <c r="C17">
        <v>103976</v>
      </c>
      <c r="D17" t="s">
        <v>11</v>
      </c>
      <c r="E17" t="s">
        <v>12</v>
      </c>
      <c r="F17" s="5">
        <v>28</v>
      </c>
      <c r="G17" s="5">
        <v>1241</v>
      </c>
      <c r="H17" s="5">
        <v>0</v>
      </c>
      <c r="I17" s="8">
        <v>0</v>
      </c>
      <c r="J17" s="5">
        <v>1</v>
      </c>
      <c r="K17" s="5">
        <v>1</v>
      </c>
      <c r="L17" s="14">
        <f t="shared" si="0"/>
        <v>0</v>
      </c>
      <c r="M17" s="14" t="str">
        <f t="shared" si="4"/>
        <v xml:space="preserve"> </v>
      </c>
      <c r="N17" s="20">
        <f t="shared" si="1"/>
        <v>0</v>
      </c>
      <c r="O17" s="14">
        <f t="shared" si="2"/>
        <v>0</v>
      </c>
      <c r="P17" s="20">
        <f t="shared" si="3"/>
        <v>0</v>
      </c>
    </row>
    <row r="18" spans="1:16" x14ac:dyDescent="0.25">
      <c r="A18">
        <v>709115</v>
      </c>
      <c r="B18">
        <v>916</v>
      </c>
      <c r="C18">
        <v>103978</v>
      </c>
      <c r="D18" t="s">
        <v>11</v>
      </c>
      <c r="E18" t="s">
        <v>12</v>
      </c>
      <c r="F18" s="5">
        <v>30</v>
      </c>
      <c r="G18" s="5">
        <v>2305</v>
      </c>
      <c r="H18" s="5">
        <v>1</v>
      </c>
      <c r="I18" s="8">
        <v>0.56999999300000004</v>
      </c>
      <c r="J18" s="5">
        <v>1</v>
      </c>
      <c r="K18" s="5">
        <v>0</v>
      </c>
      <c r="L18" s="14">
        <f t="shared" si="0"/>
        <v>0.24728850021691978</v>
      </c>
      <c r="M18" s="14">
        <f t="shared" si="4"/>
        <v>0.56999999300000004</v>
      </c>
      <c r="N18" s="20">
        <f t="shared" si="1"/>
        <v>4.3383947939262471E-4</v>
      </c>
      <c r="O18" s="14" t="str">
        <f t="shared" si="2"/>
        <v xml:space="preserve"> </v>
      </c>
      <c r="P18" s="20">
        <f t="shared" si="3"/>
        <v>0</v>
      </c>
    </row>
    <row r="19" spans="1:16" x14ac:dyDescent="0.25">
      <c r="A19">
        <v>709124</v>
      </c>
      <c r="B19">
        <v>916</v>
      </c>
      <c r="C19">
        <v>103979</v>
      </c>
      <c r="D19" t="s">
        <v>11</v>
      </c>
      <c r="E19" t="s">
        <v>12</v>
      </c>
      <c r="F19" s="5">
        <v>31</v>
      </c>
      <c r="G19" s="5">
        <v>1024</v>
      </c>
      <c r="H19" s="5">
        <v>0</v>
      </c>
      <c r="I19" s="8">
        <v>0</v>
      </c>
      <c r="J19" s="5">
        <v>1</v>
      </c>
      <c r="K19" s="5">
        <v>1</v>
      </c>
      <c r="L19" s="14">
        <f t="shared" si="0"/>
        <v>0</v>
      </c>
      <c r="M19" s="14" t="str">
        <f t="shared" si="4"/>
        <v xml:space="preserve"> </v>
      </c>
      <c r="N19" s="20">
        <f t="shared" si="1"/>
        <v>0</v>
      </c>
      <c r="O19" s="14">
        <f t="shared" si="2"/>
        <v>0</v>
      </c>
      <c r="P19" s="20">
        <f t="shared" si="3"/>
        <v>0</v>
      </c>
    </row>
    <row r="20" spans="1:16" x14ac:dyDescent="0.25">
      <c r="A20">
        <v>709179</v>
      </c>
      <c r="B20">
        <v>916</v>
      </c>
      <c r="C20">
        <v>103988</v>
      </c>
      <c r="D20" t="s">
        <v>13</v>
      </c>
      <c r="E20" t="s">
        <v>12</v>
      </c>
      <c r="F20" s="5">
        <v>15</v>
      </c>
      <c r="G20" s="5">
        <v>4627</v>
      </c>
      <c r="H20" s="5">
        <v>1</v>
      </c>
      <c r="I20" s="8">
        <v>1.690000057</v>
      </c>
      <c r="J20" s="5">
        <v>1</v>
      </c>
      <c r="K20" s="5">
        <v>0</v>
      </c>
      <c r="L20" s="14">
        <f t="shared" si="0"/>
        <v>0.36524747287659393</v>
      </c>
      <c r="M20" s="14">
        <f t="shared" si="4"/>
        <v>1.690000057</v>
      </c>
      <c r="N20" s="20">
        <f t="shared" si="1"/>
        <v>2.1612275772638859E-4</v>
      </c>
      <c r="O20" s="14" t="str">
        <f t="shared" si="2"/>
        <v xml:space="preserve"> </v>
      </c>
      <c r="P20" s="20">
        <f t="shared" si="3"/>
        <v>0</v>
      </c>
    </row>
    <row r="21" spans="1:16" x14ac:dyDescent="0.25">
      <c r="A21">
        <v>709183</v>
      </c>
      <c r="B21">
        <v>916</v>
      </c>
      <c r="C21">
        <v>103989</v>
      </c>
      <c r="D21" t="s">
        <v>13</v>
      </c>
      <c r="E21" t="s">
        <v>12</v>
      </c>
      <c r="F21" s="5">
        <v>16</v>
      </c>
      <c r="G21" s="5">
        <v>21026</v>
      </c>
      <c r="H21" s="5">
        <v>4</v>
      </c>
      <c r="I21" s="8">
        <v>4.6300001139999996</v>
      </c>
      <c r="J21" s="5">
        <v>2</v>
      </c>
      <c r="K21" s="5">
        <v>1</v>
      </c>
      <c r="L21" s="14">
        <f t="shared" si="0"/>
        <v>0.22020356292209642</v>
      </c>
      <c r="M21" s="14">
        <f t="shared" si="4"/>
        <v>1.1575000284999999</v>
      </c>
      <c r="N21" s="20">
        <f t="shared" si="1"/>
        <v>1.9024065442785123E-4</v>
      </c>
      <c r="O21" s="14">
        <f t="shared" si="2"/>
        <v>4.6300001139999996</v>
      </c>
      <c r="P21" s="20">
        <f t="shared" si="3"/>
        <v>0.25</v>
      </c>
    </row>
    <row r="22" spans="1:16" x14ac:dyDescent="0.25">
      <c r="A22">
        <v>709320</v>
      </c>
      <c r="B22">
        <v>916</v>
      </c>
      <c r="C22">
        <v>104012</v>
      </c>
      <c r="D22" t="s">
        <v>13</v>
      </c>
      <c r="E22" t="s">
        <v>12</v>
      </c>
      <c r="F22" s="5">
        <v>15</v>
      </c>
      <c r="G22" s="5">
        <v>1422</v>
      </c>
      <c r="H22" s="5">
        <v>0</v>
      </c>
      <c r="I22" s="8">
        <v>0</v>
      </c>
      <c r="J22" s="5">
        <v>1</v>
      </c>
      <c r="K22" s="5">
        <v>1</v>
      </c>
      <c r="L22" s="14">
        <f t="shared" si="0"/>
        <v>0</v>
      </c>
      <c r="M22" s="14" t="str">
        <f t="shared" si="4"/>
        <v xml:space="preserve"> </v>
      </c>
      <c r="N22" s="20">
        <f t="shared" si="1"/>
        <v>0</v>
      </c>
      <c r="O22" s="14">
        <f t="shared" si="2"/>
        <v>0</v>
      </c>
      <c r="P22" s="20">
        <f t="shared" si="3"/>
        <v>0</v>
      </c>
    </row>
    <row r="23" spans="1:16" x14ac:dyDescent="0.25">
      <c r="A23">
        <v>709323</v>
      </c>
      <c r="B23">
        <v>916</v>
      </c>
      <c r="C23">
        <v>104012</v>
      </c>
      <c r="D23" t="s">
        <v>13</v>
      </c>
      <c r="E23" t="s">
        <v>12</v>
      </c>
      <c r="F23" s="5">
        <v>15</v>
      </c>
      <c r="G23" s="5">
        <v>7132</v>
      </c>
      <c r="H23" s="5">
        <v>2</v>
      </c>
      <c r="I23" s="8">
        <v>2.6099998950000001</v>
      </c>
      <c r="J23" s="5">
        <v>1</v>
      </c>
      <c r="K23" s="5">
        <v>0</v>
      </c>
      <c r="L23" s="14">
        <f t="shared" si="0"/>
        <v>0.36595623878295008</v>
      </c>
      <c r="M23" s="14">
        <f t="shared" si="4"/>
        <v>1.3049999475</v>
      </c>
      <c r="N23" s="20">
        <f t="shared" si="1"/>
        <v>2.8042624789680314E-4</v>
      </c>
      <c r="O23" s="14" t="str">
        <f t="shared" si="2"/>
        <v xml:space="preserve"> </v>
      </c>
      <c r="P23" s="20">
        <f t="shared" si="3"/>
        <v>0</v>
      </c>
    </row>
    <row r="24" spans="1:16" x14ac:dyDescent="0.25">
      <c r="A24">
        <v>709326</v>
      </c>
      <c r="B24">
        <v>916</v>
      </c>
      <c r="C24">
        <v>104013</v>
      </c>
      <c r="D24" t="s">
        <v>13</v>
      </c>
      <c r="E24" t="s">
        <v>12</v>
      </c>
      <c r="F24" s="5">
        <v>16</v>
      </c>
      <c r="G24" s="5">
        <v>12190</v>
      </c>
      <c r="H24" s="5">
        <v>2</v>
      </c>
      <c r="I24" s="8">
        <v>3.0499999519999998</v>
      </c>
      <c r="J24" s="5">
        <v>1</v>
      </c>
      <c r="K24" s="5">
        <v>0</v>
      </c>
      <c r="L24" s="14">
        <f t="shared" si="0"/>
        <v>0.25020508219852333</v>
      </c>
      <c r="M24" s="14">
        <f t="shared" si="4"/>
        <v>1.5249999759999999</v>
      </c>
      <c r="N24" s="20">
        <f t="shared" si="1"/>
        <v>1.6406890894175554E-4</v>
      </c>
      <c r="O24" s="14" t="str">
        <f t="shared" si="2"/>
        <v xml:space="preserve"> </v>
      </c>
      <c r="P24" s="20">
        <f t="shared" si="3"/>
        <v>0</v>
      </c>
    </row>
    <row r="25" spans="1:16" x14ac:dyDescent="0.25">
      <c r="A25">
        <v>709327</v>
      </c>
      <c r="B25">
        <v>916</v>
      </c>
      <c r="C25">
        <v>104013</v>
      </c>
      <c r="D25" t="s">
        <v>13</v>
      </c>
      <c r="E25" t="s">
        <v>12</v>
      </c>
      <c r="F25" s="5">
        <v>16</v>
      </c>
      <c r="G25" s="5">
        <v>12193</v>
      </c>
      <c r="H25" s="5">
        <v>2</v>
      </c>
      <c r="I25" s="8">
        <v>3.0599999430000002</v>
      </c>
      <c r="J25" s="5">
        <v>1</v>
      </c>
      <c r="K25" s="5">
        <v>1</v>
      </c>
      <c r="L25" s="14">
        <f t="shared" si="0"/>
        <v>0.25096366300336259</v>
      </c>
      <c r="M25" s="14">
        <f t="shared" si="4"/>
        <v>1.5299999715000001</v>
      </c>
      <c r="N25" s="20">
        <f t="shared" si="1"/>
        <v>1.640285409661281E-4</v>
      </c>
      <c r="O25" s="14">
        <f t="shared" si="2"/>
        <v>3.0599999430000002</v>
      </c>
      <c r="P25" s="20">
        <f t="shared" si="3"/>
        <v>0.5</v>
      </c>
    </row>
    <row r="26" spans="1:16" x14ac:dyDescent="0.25">
      <c r="A26">
        <v>709328</v>
      </c>
      <c r="B26">
        <v>916</v>
      </c>
      <c r="C26">
        <v>104013</v>
      </c>
      <c r="D26" t="s">
        <v>13</v>
      </c>
      <c r="E26" t="s">
        <v>12</v>
      </c>
      <c r="F26" s="5">
        <v>16</v>
      </c>
      <c r="G26" s="5">
        <v>3332</v>
      </c>
      <c r="H26" s="5">
        <v>0</v>
      </c>
      <c r="I26" s="8">
        <v>0</v>
      </c>
      <c r="J26" s="5">
        <v>1</v>
      </c>
      <c r="K26" s="5">
        <v>1</v>
      </c>
      <c r="L26" s="14">
        <f t="shared" si="0"/>
        <v>0</v>
      </c>
      <c r="M26" s="14" t="str">
        <f t="shared" si="4"/>
        <v xml:space="preserve"> </v>
      </c>
      <c r="N26" s="20">
        <f t="shared" si="1"/>
        <v>0</v>
      </c>
      <c r="O26" s="14">
        <f t="shared" si="2"/>
        <v>0</v>
      </c>
      <c r="P26" s="20">
        <f t="shared" si="3"/>
        <v>0</v>
      </c>
    </row>
    <row r="27" spans="1:16" x14ac:dyDescent="0.25">
      <c r="A27">
        <v>709455</v>
      </c>
      <c r="B27">
        <v>916</v>
      </c>
      <c r="C27">
        <v>104034</v>
      </c>
      <c r="D27" t="s">
        <v>13</v>
      </c>
      <c r="E27" t="s">
        <v>12</v>
      </c>
      <c r="F27" s="5">
        <v>7</v>
      </c>
      <c r="G27" s="5">
        <v>559</v>
      </c>
      <c r="H27" s="5">
        <v>0</v>
      </c>
      <c r="I27" s="8">
        <v>0</v>
      </c>
      <c r="J27" s="5">
        <v>1</v>
      </c>
      <c r="K27" s="5">
        <v>0</v>
      </c>
      <c r="L27" s="14">
        <f t="shared" si="0"/>
        <v>0</v>
      </c>
      <c r="M27" s="14" t="str">
        <f t="shared" si="4"/>
        <v xml:space="preserve"> </v>
      </c>
      <c r="N27" s="20">
        <f t="shared" si="1"/>
        <v>0</v>
      </c>
      <c r="O27" s="14" t="str">
        <f t="shared" si="2"/>
        <v xml:space="preserve"> </v>
      </c>
      <c r="P27" s="20">
        <f t="shared" si="3"/>
        <v>0</v>
      </c>
    </row>
    <row r="28" spans="1:16" x14ac:dyDescent="0.25">
      <c r="A28">
        <v>709544</v>
      </c>
      <c r="B28">
        <v>916</v>
      </c>
      <c r="C28">
        <v>104049</v>
      </c>
      <c r="D28" t="s">
        <v>13</v>
      </c>
      <c r="E28" t="s">
        <v>12</v>
      </c>
      <c r="F28" s="5">
        <v>29</v>
      </c>
      <c r="G28" s="5">
        <v>7440</v>
      </c>
      <c r="H28" s="5">
        <v>2</v>
      </c>
      <c r="I28" s="8">
        <v>2.9800000190000002</v>
      </c>
      <c r="J28" s="5">
        <v>1</v>
      </c>
      <c r="K28" s="5">
        <v>1</v>
      </c>
      <c r="L28" s="14">
        <f t="shared" si="0"/>
        <v>0.40053763696236561</v>
      </c>
      <c r="M28" s="14">
        <f t="shared" si="4"/>
        <v>1.4900000095000001</v>
      </c>
      <c r="N28" s="20">
        <f t="shared" si="1"/>
        <v>2.6881720430107527E-4</v>
      </c>
      <c r="O28" s="14">
        <f t="shared" si="2"/>
        <v>2.9800000190000002</v>
      </c>
      <c r="P28" s="20">
        <f t="shared" si="3"/>
        <v>0.5</v>
      </c>
    </row>
    <row r="29" spans="1:16" x14ac:dyDescent="0.25">
      <c r="A29">
        <v>709614</v>
      </c>
      <c r="B29">
        <v>916</v>
      </c>
      <c r="C29">
        <v>104061</v>
      </c>
      <c r="D29" t="s">
        <v>14</v>
      </c>
      <c r="E29" t="s">
        <v>12</v>
      </c>
      <c r="F29" s="5">
        <v>16</v>
      </c>
      <c r="G29" s="5">
        <v>19113</v>
      </c>
      <c r="H29" s="5">
        <v>4</v>
      </c>
      <c r="I29" s="8">
        <v>5.5200000999999999</v>
      </c>
      <c r="J29" s="5">
        <v>1</v>
      </c>
      <c r="K29" s="5">
        <v>0</v>
      </c>
      <c r="L29" s="14">
        <f t="shared" si="0"/>
        <v>0.28880866949196882</v>
      </c>
      <c r="M29" s="14">
        <f t="shared" si="4"/>
        <v>1.380000025</v>
      </c>
      <c r="N29" s="20">
        <f t="shared" si="1"/>
        <v>2.0928164076806363E-4</v>
      </c>
      <c r="O29" s="14" t="str">
        <f t="shared" si="2"/>
        <v xml:space="preserve"> </v>
      </c>
      <c r="P29" s="20">
        <f t="shared" si="3"/>
        <v>0</v>
      </c>
    </row>
    <row r="30" spans="1:16" x14ac:dyDescent="0.25">
      <c r="A30">
        <v>709756</v>
      </c>
      <c r="B30">
        <v>916</v>
      </c>
      <c r="C30">
        <v>104085</v>
      </c>
      <c r="D30" t="s">
        <v>14</v>
      </c>
      <c r="E30" t="s">
        <v>12</v>
      </c>
      <c r="F30" s="5">
        <v>16</v>
      </c>
      <c r="G30" s="5">
        <v>10976</v>
      </c>
      <c r="H30" s="5">
        <v>2</v>
      </c>
      <c r="I30" s="8">
        <v>1.690000057</v>
      </c>
      <c r="J30" s="5">
        <v>1</v>
      </c>
      <c r="K30" s="5">
        <v>1</v>
      </c>
      <c r="L30" s="14">
        <f t="shared" si="0"/>
        <v>0.15397230840014578</v>
      </c>
      <c r="M30" s="14">
        <f t="shared" si="4"/>
        <v>0.8450000285</v>
      </c>
      <c r="N30" s="20">
        <f t="shared" si="1"/>
        <v>1.8221574344023323E-4</v>
      </c>
      <c r="O30" s="14">
        <f t="shared" si="2"/>
        <v>1.690000057</v>
      </c>
      <c r="P30" s="20">
        <f t="shared" si="3"/>
        <v>0.5</v>
      </c>
    </row>
    <row r="31" spans="1:16" x14ac:dyDescent="0.25">
      <c r="A31">
        <v>709761</v>
      </c>
      <c r="B31">
        <v>916</v>
      </c>
      <c r="C31">
        <v>104085</v>
      </c>
      <c r="D31" t="s">
        <v>14</v>
      </c>
      <c r="E31" t="s">
        <v>12</v>
      </c>
      <c r="F31" s="5">
        <v>16</v>
      </c>
      <c r="G31" s="5">
        <v>2861</v>
      </c>
      <c r="H31" s="5">
        <v>0</v>
      </c>
      <c r="I31" s="8">
        <v>0</v>
      </c>
      <c r="J31" s="5">
        <v>1</v>
      </c>
      <c r="K31" s="5">
        <v>0</v>
      </c>
      <c r="L31" s="14">
        <f t="shared" si="0"/>
        <v>0</v>
      </c>
      <c r="M31" s="14" t="str">
        <f t="shared" si="4"/>
        <v xml:space="preserve"> </v>
      </c>
      <c r="N31" s="20">
        <f t="shared" si="1"/>
        <v>0</v>
      </c>
      <c r="O31" s="14" t="str">
        <f t="shared" si="2"/>
        <v xml:space="preserve"> </v>
      </c>
      <c r="P31" s="20">
        <f t="shared" si="3"/>
        <v>0</v>
      </c>
    </row>
    <row r="32" spans="1:16" x14ac:dyDescent="0.25">
      <c r="A32">
        <v>709899</v>
      </c>
      <c r="B32">
        <v>916</v>
      </c>
      <c r="C32">
        <v>104108</v>
      </c>
      <c r="D32" t="s">
        <v>14</v>
      </c>
      <c r="E32" t="s">
        <v>12</v>
      </c>
      <c r="F32" s="5">
        <v>15</v>
      </c>
      <c r="G32" s="5">
        <v>1398</v>
      </c>
      <c r="H32" s="5">
        <v>0</v>
      </c>
      <c r="I32" s="8">
        <v>0</v>
      </c>
      <c r="J32" s="5">
        <v>1</v>
      </c>
      <c r="K32" s="5">
        <v>1</v>
      </c>
      <c r="L32" s="14">
        <f t="shared" si="0"/>
        <v>0</v>
      </c>
      <c r="M32" s="14" t="str">
        <f t="shared" si="4"/>
        <v xml:space="preserve"> </v>
      </c>
      <c r="N32" s="20">
        <f t="shared" si="1"/>
        <v>0</v>
      </c>
      <c r="O32" s="14">
        <f t="shared" si="2"/>
        <v>0</v>
      </c>
      <c r="P32" s="20">
        <f t="shared" si="3"/>
        <v>0</v>
      </c>
    </row>
    <row r="33" spans="1:16" x14ac:dyDescent="0.25">
      <c r="A33">
        <v>709901</v>
      </c>
      <c r="B33">
        <v>916</v>
      </c>
      <c r="C33">
        <v>104109</v>
      </c>
      <c r="D33" t="s">
        <v>14</v>
      </c>
      <c r="E33" t="s">
        <v>12</v>
      </c>
      <c r="F33" s="5">
        <v>16</v>
      </c>
      <c r="G33" s="5">
        <v>23817</v>
      </c>
      <c r="H33" s="5">
        <v>7</v>
      </c>
      <c r="I33" s="8">
        <v>8.4700001480000005</v>
      </c>
      <c r="J33" s="5">
        <v>1</v>
      </c>
      <c r="K33" s="5">
        <v>1</v>
      </c>
      <c r="L33" s="14">
        <f t="shared" si="0"/>
        <v>0.35562833891757989</v>
      </c>
      <c r="M33" s="14">
        <f t="shared" si="4"/>
        <v>1.2100000211428572</v>
      </c>
      <c r="N33" s="20">
        <f t="shared" si="1"/>
        <v>2.9390771297812488E-4</v>
      </c>
      <c r="O33" s="14">
        <f t="shared" si="2"/>
        <v>8.4700001480000005</v>
      </c>
      <c r="P33" s="20">
        <f t="shared" si="3"/>
        <v>0.14285714285714285</v>
      </c>
    </row>
    <row r="34" spans="1:16" x14ac:dyDescent="0.25">
      <c r="A34">
        <v>710045</v>
      </c>
      <c r="B34">
        <v>916</v>
      </c>
      <c r="C34">
        <v>104133</v>
      </c>
      <c r="D34" t="s">
        <v>15</v>
      </c>
      <c r="E34" t="s">
        <v>12</v>
      </c>
      <c r="F34" s="5">
        <v>16</v>
      </c>
      <c r="G34" s="5">
        <v>47224</v>
      </c>
      <c r="H34" s="5">
        <v>12</v>
      </c>
      <c r="I34" s="8">
        <v>15.82000017</v>
      </c>
      <c r="J34" s="5">
        <v>1</v>
      </c>
      <c r="K34" s="5">
        <v>0</v>
      </c>
      <c r="L34" s="14">
        <f t="shared" si="0"/>
        <v>0.33499915657292906</v>
      </c>
      <c r="M34" s="14">
        <f t="shared" si="4"/>
        <v>1.3183333475000001</v>
      </c>
      <c r="N34" s="20">
        <f t="shared" si="1"/>
        <v>2.5410808063696424E-4</v>
      </c>
      <c r="O34" s="14" t="str">
        <f t="shared" si="2"/>
        <v xml:space="preserve"> </v>
      </c>
      <c r="P34" s="20">
        <f t="shared" si="3"/>
        <v>0</v>
      </c>
    </row>
    <row r="35" spans="1:16" x14ac:dyDescent="0.25">
      <c r="A35">
        <v>710088</v>
      </c>
      <c r="B35">
        <v>916</v>
      </c>
      <c r="C35">
        <v>104140</v>
      </c>
      <c r="D35" t="s">
        <v>15</v>
      </c>
      <c r="E35" t="s">
        <v>12</v>
      </c>
      <c r="F35" s="5">
        <v>24</v>
      </c>
      <c r="G35" s="5">
        <v>2283</v>
      </c>
      <c r="H35" s="5">
        <v>1</v>
      </c>
      <c r="I35" s="8">
        <v>1.4700000289999999</v>
      </c>
      <c r="J35" s="5">
        <v>1</v>
      </c>
      <c r="K35" s="5">
        <v>0</v>
      </c>
      <c r="L35" s="14">
        <f t="shared" si="0"/>
        <v>0.64388963162505475</v>
      </c>
      <c r="M35" s="14">
        <f t="shared" si="4"/>
        <v>1.4700000289999999</v>
      </c>
      <c r="N35" s="20">
        <f t="shared" si="1"/>
        <v>4.3802014892685063E-4</v>
      </c>
      <c r="O35" s="14" t="str">
        <f t="shared" si="2"/>
        <v xml:space="preserve"> </v>
      </c>
      <c r="P35" s="20">
        <f t="shared" si="3"/>
        <v>0</v>
      </c>
    </row>
    <row r="36" spans="1:16" x14ac:dyDescent="0.25">
      <c r="A36">
        <v>710360</v>
      </c>
      <c r="B36">
        <v>916</v>
      </c>
      <c r="C36">
        <v>104185</v>
      </c>
      <c r="D36" t="s">
        <v>15</v>
      </c>
      <c r="E36" t="s">
        <v>12</v>
      </c>
      <c r="F36" s="5">
        <v>21</v>
      </c>
      <c r="G36" s="5">
        <v>2182</v>
      </c>
      <c r="H36" s="5">
        <v>1</v>
      </c>
      <c r="I36" s="8">
        <v>1.5299999710000001</v>
      </c>
      <c r="J36" s="5">
        <v>1</v>
      </c>
      <c r="K36" s="5">
        <v>1</v>
      </c>
      <c r="L36" s="14">
        <f t="shared" si="0"/>
        <v>0.70119155407882672</v>
      </c>
      <c r="M36" s="14">
        <f t="shared" si="4"/>
        <v>1.5299999710000001</v>
      </c>
      <c r="N36" s="20">
        <f t="shared" si="1"/>
        <v>4.5829514207149406E-4</v>
      </c>
      <c r="O36" s="14">
        <f t="shared" si="2"/>
        <v>1.5299999710000001</v>
      </c>
      <c r="P36" s="20">
        <f t="shared" si="3"/>
        <v>1</v>
      </c>
    </row>
    <row r="37" spans="1:16" x14ac:dyDescent="0.25">
      <c r="A37">
        <v>710477</v>
      </c>
      <c r="B37">
        <v>916</v>
      </c>
      <c r="C37">
        <v>104205</v>
      </c>
      <c r="D37" t="s">
        <v>11</v>
      </c>
      <c r="E37" t="s">
        <v>16</v>
      </c>
      <c r="F37" s="5">
        <v>16</v>
      </c>
      <c r="G37" s="5">
        <v>2654</v>
      </c>
      <c r="H37" s="5">
        <v>0</v>
      </c>
      <c r="I37" s="8">
        <v>0</v>
      </c>
      <c r="J37" s="5">
        <v>1</v>
      </c>
      <c r="K37" s="5">
        <v>1</v>
      </c>
      <c r="L37" s="14">
        <f t="shared" si="0"/>
        <v>0</v>
      </c>
      <c r="M37" s="14" t="str">
        <f t="shared" si="4"/>
        <v xml:space="preserve"> </v>
      </c>
      <c r="N37" s="20">
        <f t="shared" si="1"/>
        <v>0</v>
      </c>
      <c r="O37" s="14">
        <f t="shared" si="2"/>
        <v>0</v>
      </c>
      <c r="P37" s="20">
        <f t="shared" si="3"/>
        <v>0</v>
      </c>
    </row>
    <row r="38" spans="1:16" x14ac:dyDescent="0.25">
      <c r="A38">
        <v>710480</v>
      </c>
      <c r="B38">
        <v>916</v>
      </c>
      <c r="C38">
        <v>104205</v>
      </c>
      <c r="D38" t="s">
        <v>11</v>
      </c>
      <c r="E38" t="s">
        <v>16</v>
      </c>
      <c r="F38" s="5">
        <v>16</v>
      </c>
      <c r="G38" s="5">
        <v>57665</v>
      </c>
      <c r="H38" s="5">
        <v>14</v>
      </c>
      <c r="I38" s="8">
        <v>18.06999969</v>
      </c>
      <c r="J38" s="5">
        <v>1</v>
      </c>
      <c r="K38" s="5">
        <v>1</v>
      </c>
      <c r="L38" s="14">
        <f t="shared" si="0"/>
        <v>0.31336165247550507</v>
      </c>
      <c r="M38" s="14">
        <f t="shared" si="4"/>
        <v>1.2907142635714286</v>
      </c>
      <c r="N38" s="20">
        <f t="shared" si="1"/>
        <v>2.4278158328275385E-4</v>
      </c>
      <c r="O38" s="14">
        <f t="shared" si="2"/>
        <v>18.06999969</v>
      </c>
      <c r="P38" s="20">
        <f t="shared" si="3"/>
        <v>7.1428571428571425E-2</v>
      </c>
    </row>
    <row r="39" spans="1:16" x14ac:dyDescent="0.25">
      <c r="A39">
        <v>710571</v>
      </c>
      <c r="B39">
        <v>916</v>
      </c>
      <c r="C39">
        <v>104220</v>
      </c>
      <c r="D39" t="s">
        <v>11</v>
      </c>
      <c r="E39" t="s">
        <v>16</v>
      </c>
      <c r="F39" s="5">
        <v>32</v>
      </c>
      <c r="G39" s="5">
        <v>3091</v>
      </c>
      <c r="H39" s="5">
        <v>1</v>
      </c>
      <c r="I39" s="8">
        <v>1.6100000139999999</v>
      </c>
      <c r="J39" s="5">
        <v>1</v>
      </c>
      <c r="K39" s="5">
        <v>1</v>
      </c>
      <c r="L39" s="14">
        <f t="shared" si="0"/>
        <v>0.52086703785182786</v>
      </c>
      <c r="M39" s="14">
        <f t="shared" si="4"/>
        <v>1.6100000139999999</v>
      </c>
      <c r="N39" s="20">
        <f t="shared" si="1"/>
        <v>3.2351989647363315E-4</v>
      </c>
      <c r="O39" s="14">
        <f t="shared" si="2"/>
        <v>1.6100000139999999</v>
      </c>
      <c r="P39" s="20">
        <f t="shared" si="3"/>
        <v>1</v>
      </c>
    </row>
    <row r="40" spans="1:16" x14ac:dyDescent="0.25">
      <c r="A40">
        <v>710617</v>
      </c>
      <c r="B40">
        <v>916</v>
      </c>
      <c r="C40">
        <v>104228</v>
      </c>
      <c r="D40" t="s">
        <v>11</v>
      </c>
      <c r="E40" t="s">
        <v>16</v>
      </c>
      <c r="F40" s="5">
        <v>15</v>
      </c>
      <c r="G40" s="5">
        <v>5014</v>
      </c>
      <c r="H40" s="5">
        <v>1</v>
      </c>
      <c r="I40" s="8">
        <v>1.190000057</v>
      </c>
      <c r="J40" s="5">
        <v>1</v>
      </c>
      <c r="K40" s="5">
        <v>0</v>
      </c>
      <c r="L40" s="14">
        <f t="shared" si="0"/>
        <v>0.23733547207818109</v>
      </c>
      <c r="M40" s="14">
        <f t="shared" si="4"/>
        <v>1.190000057</v>
      </c>
      <c r="N40" s="20">
        <f t="shared" si="1"/>
        <v>1.9944156362185878E-4</v>
      </c>
      <c r="O40" s="14" t="str">
        <f t="shared" si="2"/>
        <v xml:space="preserve"> </v>
      </c>
      <c r="P40" s="20">
        <f t="shared" si="3"/>
        <v>0</v>
      </c>
    </row>
    <row r="41" spans="1:16" x14ac:dyDescent="0.25">
      <c r="A41">
        <v>710623</v>
      </c>
      <c r="B41">
        <v>916</v>
      </c>
      <c r="C41">
        <v>104229</v>
      </c>
      <c r="D41" t="s">
        <v>11</v>
      </c>
      <c r="E41" t="s">
        <v>16</v>
      </c>
      <c r="F41" s="5">
        <v>16</v>
      </c>
      <c r="G41" s="5">
        <v>38726</v>
      </c>
      <c r="H41" s="5">
        <v>7</v>
      </c>
      <c r="I41" s="8">
        <v>9.2200002669999996</v>
      </c>
      <c r="J41" s="5">
        <v>1</v>
      </c>
      <c r="K41" s="5">
        <v>0</v>
      </c>
      <c r="L41" s="14">
        <f t="shared" si="0"/>
        <v>0.23808294858751225</v>
      </c>
      <c r="M41" s="14">
        <f t="shared" si="4"/>
        <v>1.3171428952857143</v>
      </c>
      <c r="N41" s="20">
        <f t="shared" si="1"/>
        <v>1.8075711408356142E-4</v>
      </c>
      <c r="O41" s="14" t="str">
        <f t="shared" si="2"/>
        <v xml:space="preserve"> </v>
      </c>
      <c r="P41" s="20">
        <f t="shared" si="3"/>
        <v>0</v>
      </c>
    </row>
    <row r="42" spans="1:16" x14ac:dyDescent="0.25">
      <c r="A42">
        <v>710628</v>
      </c>
      <c r="B42">
        <v>916</v>
      </c>
      <c r="C42">
        <v>104230</v>
      </c>
      <c r="D42" t="s">
        <v>11</v>
      </c>
      <c r="E42" t="s">
        <v>16</v>
      </c>
      <c r="F42" s="5">
        <v>18</v>
      </c>
      <c r="G42" s="5">
        <v>1473</v>
      </c>
      <c r="H42" s="5">
        <v>0</v>
      </c>
      <c r="I42" s="8">
        <v>0</v>
      </c>
      <c r="J42" s="5">
        <v>1</v>
      </c>
      <c r="K42" s="5">
        <v>0</v>
      </c>
      <c r="L42" s="14">
        <f t="shared" si="0"/>
        <v>0</v>
      </c>
      <c r="M42" s="14" t="str">
        <f t="shared" si="4"/>
        <v xml:space="preserve"> </v>
      </c>
      <c r="N42" s="20">
        <f t="shared" si="1"/>
        <v>0</v>
      </c>
      <c r="O42" s="14" t="str">
        <f t="shared" si="2"/>
        <v xml:space="preserve"> </v>
      </c>
      <c r="P42" s="20">
        <f t="shared" si="3"/>
        <v>0</v>
      </c>
    </row>
    <row r="43" spans="1:16" x14ac:dyDescent="0.25">
      <c r="A43">
        <v>710682</v>
      </c>
      <c r="B43">
        <v>916</v>
      </c>
      <c r="C43">
        <v>104239</v>
      </c>
      <c r="D43" t="s">
        <v>11</v>
      </c>
      <c r="E43" t="s">
        <v>16</v>
      </c>
      <c r="F43" s="5">
        <v>27</v>
      </c>
      <c r="G43" s="5">
        <v>1186</v>
      </c>
      <c r="H43" s="5">
        <v>0</v>
      </c>
      <c r="I43" s="8">
        <v>0</v>
      </c>
      <c r="J43" s="5">
        <v>1</v>
      </c>
      <c r="K43" s="5">
        <v>0</v>
      </c>
      <c r="L43" s="14">
        <f t="shared" si="0"/>
        <v>0</v>
      </c>
      <c r="M43" s="14" t="str">
        <f t="shared" si="4"/>
        <v xml:space="preserve"> </v>
      </c>
      <c r="N43" s="20">
        <f t="shared" si="1"/>
        <v>0</v>
      </c>
      <c r="O43" s="14" t="str">
        <f t="shared" si="2"/>
        <v xml:space="preserve"> </v>
      </c>
      <c r="P43" s="20">
        <f t="shared" si="3"/>
        <v>0</v>
      </c>
    </row>
    <row r="44" spans="1:16" x14ac:dyDescent="0.25">
      <c r="A44">
        <v>710763</v>
      </c>
      <c r="B44">
        <v>916</v>
      </c>
      <c r="C44">
        <v>104252</v>
      </c>
      <c r="D44" t="s">
        <v>11</v>
      </c>
      <c r="E44" t="s">
        <v>16</v>
      </c>
      <c r="F44" s="5">
        <v>15</v>
      </c>
      <c r="G44" s="5">
        <v>5369</v>
      </c>
      <c r="H44" s="5">
        <v>1</v>
      </c>
      <c r="I44" s="8">
        <v>1.5099999900000001</v>
      </c>
      <c r="J44" s="5">
        <v>1</v>
      </c>
      <c r="K44" s="5">
        <v>0</v>
      </c>
      <c r="L44" s="14">
        <f t="shared" si="0"/>
        <v>0.28124417768672011</v>
      </c>
      <c r="M44" s="14">
        <f t="shared" si="4"/>
        <v>1.5099999900000001</v>
      </c>
      <c r="N44" s="20">
        <f t="shared" si="1"/>
        <v>1.8625442354255913E-4</v>
      </c>
      <c r="O44" s="14" t="str">
        <f t="shared" si="2"/>
        <v xml:space="preserve"> </v>
      </c>
      <c r="P44" s="20">
        <f t="shared" si="3"/>
        <v>0</v>
      </c>
    </row>
    <row r="45" spans="1:16" x14ac:dyDescent="0.25">
      <c r="A45">
        <v>710836</v>
      </c>
      <c r="B45">
        <v>916</v>
      </c>
      <c r="C45">
        <v>104265</v>
      </c>
      <c r="D45" t="s">
        <v>11</v>
      </c>
      <c r="E45" t="s">
        <v>16</v>
      </c>
      <c r="F45" s="5">
        <v>29</v>
      </c>
      <c r="G45" s="5">
        <v>22221</v>
      </c>
      <c r="H45" s="5">
        <v>7</v>
      </c>
      <c r="I45" s="8">
        <v>9.4300000669999999</v>
      </c>
      <c r="J45" s="5">
        <v>1</v>
      </c>
      <c r="K45" s="5">
        <v>1</v>
      </c>
      <c r="L45" s="14">
        <f t="shared" si="0"/>
        <v>0.42437334354889522</v>
      </c>
      <c r="M45" s="14">
        <f t="shared" si="4"/>
        <v>1.3471428667142857</v>
      </c>
      <c r="N45" s="20">
        <f t="shared" si="1"/>
        <v>3.1501732595292742E-4</v>
      </c>
      <c r="O45" s="14">
        <f t="shared" si="2"/>
        <v>9.4300000669999999</v>
      </c>
      <c r="P45" s="20">
        <f t="shared" si="3"/>
        <v>0.14285714285714285</v>
      </c>
    </row>
    <row r="46" spans="1:16" x14ac:dyDescent="0.25">
      <c r="A46">
        <v>710867</v>
      </c>
      <c r="B46">
        <v>916</v>
      </c>
      <c r="C46">
        <v>104270</v>
      </c>
      <c r="D46" t="s">
        <v>11</v>
      </c>
      <c r="E46" t="s">
        <v>16</v>
      </c>
      <c r="F46" s="5">
        <v>63</v>
      </c>
      <c r="G46" s="5">
        <v>1185</v>
      </c>
      <c r="H46" s="5">
        <v>0</v>
      </c>
      <c r="I46" s="8">
        <v>0</v>
      </c>
      <c r="J46" s="5">
        <v>1</v>
      </c>
      <c r="K46" s="5">
        <v>0</v>
      </c>
      <c r="L46" s="14">
        <f t="shared" si="0"/>
        <v>0</v>
      </c>
      <c r="M46" s="14" t="str">
        <f t="shared" si="4"/>
        <v xml:space="preserve"> </v>
      </c>
      <c r="N46" s="20">
        <f t="shared" si="1"/>
        <v>0</v>
      </c>
      <c r="O46" s="14" t="str">
        <f t="shared" si="2"/>
        <v xml:space="preserve"> </v>
      </c>
      <c r="P46" s="20">
        <f t="shared" si="3"/>
        <v>0</v>
      </c>
    </row>
    <row r="47" spans="1:16" x14ac:dyDescent="0.25">
      <c r="A47">
        <v>710880</v>
      </c>
      <c r="B47">
        <v>916</v>
      </c>
      <c r="C47">
        <v>104272</v>
      </c>
      <c r="D47" t="s">
        <v>11</v>
      </c>
      <c r="E47" t="s">
        <v>16</v>
      </c>
      <c r="F47" s="5">
        <v>65</v>
      </c>
      <c r="G47" s="5">
        <v>13019</v>
      </c>
      <c r="H47" s="5">
        <v>5</v>
      </c>
      <c r="I47" s="8">
        <v>6.9600000380000004</v>
      </c>
      <c r="J47" s="5">
        <v>1</v>
      </c>
      <c r="K47" s="5">
        <v>0</v>
      </c>
      <c r="L47" s="14">
        <f t="shared" si="0"/>
        <v>0.53460327505952843</v>
      </c>
      <c r="M47" s="14">
        <f t="shared" si="4"/>
        <v>1.3920000076000001</v>
      </c>
      <c r="N47" s="20">
        <f t="shared" si="1"/>
        <v>3.8405407481373376E-4</v>
      </c>
      <c r="O47" s="14" t="str">
        <f t="shared" si="2"/>
        <v xml:space="preserve"> </v>
      </c>
      <c r="P47" s="20">
        <f t="shared" si="3"/>
        <v>0</v>
      </c>
    </row>
    <row r="48" spans="1:16" x14ac:dyDescent="0.25">
      <c r="A48">
        <v>710961</v>
      </c>
      <c r="B48">
        <v>916</v>
      </c>
      <c r="C48">
        <v>104285</v>
      </c>
      <c r="D48" t="s">
        <v>13</v>
      </c>
      <c r="E48" t="s">
        <v>16</v>
      </c>
      <c r="F48" s="5">
        <v>25</v>
      </c>
      <c r="G48" s="5">
        <v>2508</v>
      </c>
      <c r="H48" s="5">
        <v>1</v>
      </c>
      <c r="I48" s="8">
        <v>1.2200000289999999</v>
      </c>
      <c r="J48" s="5">
        <v>1</v>
      </c>
      <c r="K48" s="5">
        <v>0</v>
      </c>
      <c r="L48" s="14">
        <f t="shared" si="0"/>
        <v>0.48644339274322168</v>
      </c>
      <c r="M48" s="14">
        <f t="shared" si="4"/>
        <v>1.2200000289999999</v>
      </c>
      <c r="N48" s="20">
        <f t="shared" si="1"/>
        <v>3.9872408293460925E-4</v>
      </c>
      <c r="O48" s="14" t="str">
        <f t="shared" si="2"/>
        <v xml:space="preserve"> </v>
      </c>
      <c r="P48" s="20">
        <f t="shared" si="3"/>
        <v>0</v>
      </c>
    </row>
    <row r="49" spans="1:16" x14ac:dyDescent="0.25">
      <c r="A49">
        <v>710968</v>
      </c>
      <c r="B49">
        <v>916</v>
      </c>
      <c r="C49">
        <v>104287</v>
      </c>
      <c r="D49" t="s">
        <v>13</v>
      </c>
      <c r="E49" t="s">
        <v>16</v>
      </c>
      <c r="F49" s="5">
        <v>27</v>
      </c>
      <c r="G49" s="5">
        <v>5864</v>
      </c>
      <c r="H49" s="5">
        <v>2</v>
      </c>
      <c r="I49" s="8">
        <v>2.7999999519999998</v>
      </c>
      <c r="J49" s="5">
        <v>1</v>
      </c>
      <c r="K49" s="5">
        <v>1</v>
      </c>
      <c r="L49" s="14">
        <f t="shared" si="0"/>
        <v>0.47748975989085946</v>
      </c>
      <c r="M49" s="14">
        <f t="shared" si="4"/>
        <v>1.3999999759999999</v>
      </c>
      <c r="N49" s="20">
        <f t="shared" si="1"/>
        <v>3.4106412005457026E-4</v>
      </c>
      <c r="O49" s="14">
        <f t="shared" si="2"/>
        <v>2.7999999519999998</v>
      </c>
      <c r="P49" s="20">
        <f t="shared" si="3"/>
        <v>0.5</v>
      </c>
    </row>
    <row r="50" spans="1:16" x14ac:dyDescent="0.25">
      <c r="A50">
        <v>711217</v>
      </c>
      <c r="B50">
        <v>916</v>
      </c>
      <c r="C50">
        <v>104328</v>
      </c>
      <c r="D50" t="s">
        <v>13</v>
      </c>
      <c r="E50" t="s">
        <v>16</v>
      </c>
      <c r="F50" s="5">
        <v>20</v>
      </c>
      <c r="G50" s="5">
        <v>2783</v>
      </c>
      <c r="H50" s="5">
        <v>1</v>
      </c>
      <c r="I50" s="8">
        <v>1.6000000240000001</v>
      </c>
      <c r="J50" s="5">
        <v>1</v>
      </c>
      <c r="K50" s="5">
        <v>0</v>
      </c>
      <c r="L50" s="14">
        <f t="shared" si="0"/>
        <v>0.57491916061803805</v>
      </c>
      <c r="M50" s="14">
        <f t="shared" si="4"/>
        <v>1.6000000240000001</v>
      </c>
      <c r="N50" s="20">
        <f t="shared" si="1"/>
        <v>3.5932446999640676E-4</v>
      </c>
      <c r="O50" s="14" t="str">
        <f t="shared" si="2"/>
        <v xml:space="preserve"> </v>
      </c>
      <c r="P50" s="20">
        <f t="shared" si="3"/>
        <v>0</v>
      </c>
    </row>
    <row r="51" spans="1:16" x14ac:dyDescent="0.25">
      <c r="A51">
        <v>711623</v>
      </c>
      <c r="B51">
        <v>916</v>
      </c>
      <c r="C51">
        <v>104396</v>
      </c>
      <c r="D51" t="s">
        <v>14</v>
      </c>
      <c r="E51" t="s">
        <v>16</v>
      </c>
      <c r="F51" s="5">
        <v>15</v>
      </c>
      <c r="G51" s="5">
        <v>3812</v>
      </c>
      <c r="H51" s="5">
        <v>1</v>
      </c>
      <c r="I51" s="8">
        <v>1.1299999949999999</v>
      </c>
      <c r="J51" s="5">
        <v>2</v>
      </c>
      <c r="K51" s="5">
        <v>1</v>
      </c>
      <c r="L51" s="14">
        <f t="shared" si="0"/>
        <v>0.29643231768100731</v>
      </c>
      <c r="M51" s="14">
        <f t="shared" si="4"/>
        <v>1.1299999949999999</v>
      </c>
      <c r="N51" s="20">
        <f t="shared" si="1"/>
        <v>2.6232948583420777E-4</v>
      </c>
      <c r="O51" s="14">
        <f t="shared" si="2"/>
        <v>1.1299999949999999</v>
      </c>
      <c r="P51" s="20">
        <f t="shared" si="3"/>
        <v>1</v>
      </c>
    </row>
    <row r="52" spans="1:16" x14ac:dyDescent="0.25">
      <c r="A52">
        <v>711764</v>
      </c>
      <c r="B52">
        <v>916</v>
      </c>
      <c r="C52">
        <v>104419</v>
      </c>
      <c r="D52" t="s">
        <v>15</v>
      </c>
      <c r="E52" t="s">
        <v>16</v>
      </c>
      <c r="F52" s="5">
        <v>10</v>
      </c>
      <c r="G52" s="5">
        <v>11199</v>
      </c>
      <c r="H52" s="5">
        <v>4</v>
      </c>
      <c r="I52" s="8">
        <v>5.7300000190000002</v>
      </c>
      <c r="J52" s="5">
        <v>1</v>
      </c>
      <c r="K52" s="5">
        <v>1</v>
      </c>
      <c r="L52" s="14">
        <f t="shared" si="0"/>
        <v>0.51165282784177157</v>
      </c>
      <c r="M52" s="14">
        <f t="shared" si="4"/>
        <v>1.4325000047500001</v>
      </c>
      <c r="N52" s="20">
        <f t="shared" si="1"/>
        <v>3.5717474774533438E-4</v>
      </c>
      <c r="O52" s="14">
        <f t="shared" si="2"/>
        <v>5.7300000190000002</v>
      </c>
      <c r="P52" s="20">
        <f t="shared" si="3"/>
        <v>0.25</v>
      </c>
    </row>
    <row r="53" spans="1:16" x14ac:dyDescent="0.25">
      <c r="A53">
        <v>711785</v>
      </c>
      <c r="B53">
        <v>916</v>
      </c>
      <c r="C53">
        <v>104423</v>
      </c>
      <c r="D53" t="s">
        <v>15</v>
      </c>
      <c r="E53" t="s">
        <v>16</v>
      </c>
      <c r="F53" s="5">
        <v>19</v>
      </c>
      <c r="G53" s="5">
        <v>292</v>
      </c>
      <c r="H53" s="5">
        <v>0</v>
      </c>
      <c r="I53" s="8">
        <v>0</v>
      </c>
      <c r="J53" s="5">
        <v>1</v>
      </c>
      <c r="K53" s="5">
        <v>0</v>
      </c>
      <c r="L53" s="14">
        <f t="shared" si="0"/>
        <v>0</v>
      </c>
      <c r="M53" s="14" t="str">
        <f t="shared" si="4"/>
        <v xml:space="preserve"> </v>
      </c>
      <c r="N53" s="20">
        <f t="shared" si="1"/>
        <v>0</v>
      </c>
      <c r="O53" s="14" t="str">
        <f t="shared" si="2"/>
        <v xml:space="preserve"> </v>
      </c>
      <c r="P53" s="20">
        <f t="shared" si="3"/>
        <v>0</v>
      </c>
    </row>
    <row r="54" spans="1:16" x14ac:dyDescent="0.25">
      <c r="A54">
        <v>711877</v>
      </c>
      <c r="B54">
        <v>916</v>
      </c>
      <c r="C54">
        <v>104438</v>
      </c>
      <c r="D54" t="s">
        <v>15</v>
      </c>
      <c r="E54" t="s">
        <v>16</v>
      </c>
      <c r="F54" s="5">
        <v>63</v>
      </c>
      <c r="G54" s="5">
        <v>17572</v>
      </c>
      <c r="H54" s="5">
        <v>7</v>
      </c>
      <c r="I54" s="8">
        <v>9.3799999950000004</v>
      </c>
      <c r="J54" s="5">
        <v>1</v>
      </c>
      <c r="K54" s="5">
        <v>0</v>
      </c>
      <c r="L54" s="14">
        <f t="shared" si="0"/>
        <v>0.53380377845435922</v>
      </c>
      <c r="M54" s="14">
        <f t="shared" si="4"/>
        <v>1.3399999992857143</v>
      </c>
      <c r="N54" s="20">
        <f t="shared" si="1"/>
        <v>3.9836102890962894E-4</v>
      </c>
      <c r="O54" s="14" t="str">
        <f t="shared" si="2"/>
        <v xml:space="preserve"> </v>
      </c>
      <c r="P54" s="20">
        <f t="shared" si="3"/>
        <v>0</v>
      </c>
    </row>
    <row r="55" spans="1:16" x14ac:dyDescent="0.25">
      <c r="A55">
        <v>712052</v>
      </c>
      <c r="B55">
        <v>916</v>
      </c>
      <c r="C55">
        <v>104467</v>
      </c>
      <c r="D55" t="s">
        <v>15</v>
      </c>
      <c r="E55" t="s">
        <v>16</v>
      </c>
      <c r="F55" s="5">
        <v>10</v>
      </c>
      <c r="G55" s="5">
        <v>1448</v>
      </c>
      <c r="H55" s="5">
        <v>0</v>
      </c>
      <c r="I55" s="8">
        <v>0</v>
      </c>
      <c r="J55" s="5">
        <v>1</v>
      </c>
      <c r="K55" s="5">
        <v>1</v>
      </c>
      <c r="L55" s="14">
        <f t="shared" si="0"/>
        <v>0</v>
      </c>
      <c r="M55" s="14" t="str">
        <f t="shared" si="4"/>
        <v xml:space="preserve"> </v>
      </c>
      <c r="N55" s="20">
        <f t="shared" si="1"/>
        <v>0</v>
      </c>
      <c r="O55" s="14">
        <f t="shared" si="2"/>
        <v>0</v>
      </c>
      <c r="P55" s="20">
        <f t="shared" si="3"/>
        <v>0</v>
      </c>
    </row>
    <row r="56" spans="1:16" x14ac:dyDescent="0.25">
      <c r="A56">
        <v>734209</v>
      </c>
      <c r="B56">
        <v>936</v>
      </c>
      <c r="C56">
        <v>108654</v>
      </c>
      <c r="D56" t="s">
        <v>11</v>
      </c>
      <c r="E56" t="s">
        <v>12</v>
      </c>
      <c r="F56" s="5">
        <v>10</v>
      </c>
      <c r="G56" s="5">
        <v>1772</v>
      </c>
      <c r="H56" s="5">
        <v>0</v>
      </c>
      <c r="I56" s="8">
        <v>0</v>
      </c>
      <c r="J56" s="5">
        <v>1</v>
      </c>
      <c r="K56" s="5">
        <v>1</v>
      </c>
      <c r="L56" s="14">
        <f t="shared" si="0"/>
        <v>0</v>
      </c>
      <c r="M56" s="14" t="str">
        <f t="shared" si="4"/>
        <v xml:space="preserve"> </v>
      </c>
      <c r="N56" s="20">
        <f t="shared" si="1"/>
        <v>0</v>
      </c>
      <c r="O56" s="14">
        <f t="shared" si="2"/>
        <v>0</v>
      </c>
      <c r="P56" s="20">
        <f t="shared" si="3"/>
        <v>0</v>
      </c>
    </row>
    <row r="57" spans="1:16" x14ac:dyDescent="0.25">
      <c r="A57">
        <v>734210</v>
      </c>
      <c r="B57">
        <v>936</v>
      </c>
      <c r="C57">
        <v>108654</v>
      </c>
      <c r="D57" t="s">
        <v>11</v>
      </c>
      <c r="E57" t="s">
        <v>12</v>
      </c>
      <c r="F57" s="5">
        <v>10</v>
      </c>
      <c r="G57" s="5">
        <v>13329</v>
      </c>
      <c r="H57" s="5">
        <v>4</v>
      </c>
      <c r="I57" s="8">
        <v>5.6299999950000004</v>
      </c>
      <c r="J57" s="5">
        <v>1</v>
      </c>
      <c r="K57" s="5">
        <v>1</v>
      </c>
      <c r="L57" s="14">
        <f t="shared" si="0"/>
        <v>0.42238727548953409</v>
      </c>
      <c r="M57" s="14">
        <f t="shared" si="4"/>
        <v>1.4074999987500001</v>
      </c>
      <c r="N57" s="20">
        <f t="shared" si="1"/>
        <v>3.0009753169780176E-4</v>
      </c>
      <c r="O57" s="14">
        <f t="shared" si="2"/>
        <v>5.6299999950000004</v>
      </c>
      <c r="P57" s="20">
        <f t="shared" si="3"/>
        <v>0.25</v>
      </c>
    </row>
    <row r="58" spans="1:16" x14ac:dyDescent="0.25">
      <c r="A58">
        <v>734215</v>
      </c>
      <c r="B58">
        <v>936</v>
      </c>
      <c r="C58">
        <v>108655</v>
      </c>
      <c r="D58" t="s">
        <v>11</v>
      </c>
      <c r="E58" t="s">
        <v>12</v>
      </c>
      <c r="F58" s="5">
        <v>15</v>
      </c>
      <c r="G58" s="5">
        <v>13659</v>
      </c>
      <c r="H58" s="5">
        <v>3</v>
      </c>
      <c r="I58" s="8">
        <v>3.8400000329999999</v>
      </c>
      <c r="J58" s="5">
        <v>1</v>
      </c>
      <c r="K58" s="5">
        <v>0</v>
      </c>
      <c r="L58" s="14">
        <f t="shared" si="0"/>
        <v>0.28113332110696243</v>
      </c>
      <c r="M58" s="14">
        <f t="shared" si="4"/>
        <v>1.280000011</v>
      </c>
      <c r="N58" s="20">
        <f t="shared" si="1"/>
        <v>2.1963540522732265E-4</v>
      </c>
      <c r="O58" s="14" t="str">
        <f t="shared" si="2"/>
        <v xml:space="preserve"> </v>
      </c>
      <c r="P58" s="20">
        <f t="shared" si="3"/>
        <v>0</v>
      </c>
    </row>
    <row r="59" spans="1:16" x14ac:dyDescent="0.25">
      <c r="A59">
        <v>734243</v>
      </c>
      <c r="B59">
        <v>936</v>
      </c>
      <c r="C59">
        <v>108660</v>
      </c>
      <c r="D59" t="s">
        <v>11</v>
      </c>
      <c r="E59" t="s">
        <v>12</v>
      </c>
      <c r="F59" s="5">
        <v>21</v>
      </c>
      <c r="G59" s="5">
        <v>739</v>
      </c>
      <c r="H59" s="5">
        <v>0</v>
      </c>
      <c r="I59" s="8">
        <v>0</v>
      </c>
      <c r="J59" s="5">
        <v>1</v>
      </c>
      <c r="K59" s="5">
        <v>1</v>
      </c>
      <c r="L59" s="14">
        <f t="shared" si="0"/>
        <v>0</v>
      </c>
      <c r="M59" s="14" t="str">
        <f t="shared" si="4"/>
        <v xml:space="preserve"> </v>
      </c>
      <c r="N59" s="20">
        <f t="shared" si="1"/>
        <v>0</v>
      </c>
      <c r="O59" s="14">
        <f t="shared" si="2"/>
        <v>0</v>
      </c>
      <c r="P59" s="20">
        <f t="shared" si="3"/>
        <v>0</v>
      </c>
    </row>
    <row r="60" spans="1:16" x14ac:dyDescent="0.25">
      <c r="A60">
        <v>734266</v>
      </c>
      <c r="B60">
        <v>936</v>
      </c>
      <c r="C60">
        <v>108664</v>
      </c>
      <c r="D60" t="s">
        <v>11</v>
      </c>
      <c r="E60" t="s">
        <v>12</v>
      </c>
      <c r="F60" s="5">
        <v>25</v>
      </c>
      <c r="G60" s="5">
        <v>605</v>
      </c>
      <c r="H60" s="5">
        <v>0</v>
      </c>
      <c r="I60" s="8">
        <v>0</v>
      </c>
      <c r="J60" s="5">
        <v>1</v>
      </c>
      <c r="K60" s="5">
        <v>0</v>
      </c>
      <c r="L60" s="14">
        <f t="shared" si="0"/>
        <v>0</v>
      </c>
      <c r="M60" s="14" t="str">
        <f t="shared" si="4"/>
        <v xml:space="preserve"> </v>
      </c>
      <c r="N60" s="20">
        <f t="shared" si="1"/>
        <v>0</v>
      </c>
      <c r="O60" s="14" t="str">
        <f t="shared" si="2"/>
        <v xml:space="preserve"> </v>
      </c>
      <c r="P60" s="20">
        <f t="shared" si="3"/>
        <v>0</v>
      </c>
    </row>
    <row r="61" spans="1:16" x14ac:dyDescent="0.25">
      <c r="A61">
        <v>734272</v>
      </c>
      <c r="B61">
        <v>936</v>
      </c>
      <c r="C61">
        <v>108665</v>
      </c>
      <c r="D61" t="s">
        <v>11</v>
      </c>
      <c r="E61" t="s">
        <v>12</v>
      </c>
      <c r="F61" s="5">
        <v>26</v>
      </c>
      <c r="G61" s="5">
        <v>1030</v>
      </c>
      <c r="H61" s="5">
        <v>0</v>
      </c>
      <c r="I61" s="8">
        <v>0</v>
      </c>
      <c r="J61" s="5">
        <v>1</v>
      </c>
      <c r="K61" s="5">
        <v>0</v>
      </c>
      <c r="L61" s="14">
        <f t="shared" si="0"/>
        <v>0</v>
      </c>
      <c r="M61" s="14" t="str">
        <f t="shared" si="4"/>
        <v xml:space="preserve"> </v>
      </c>
      <c r="N61" s="20">
        <f t="shared" si="1"/>
        <v>0</v>
      </c>
      <c r="O61" s="14" t="str">
        <f t="shared" si="2"/>
        <v xml:space="preserve"> </v>
      </c>
      <c r="P61" s="20">
        <f t="shared" si="3"/>
        <v>0</v>
      </c>
    </row>
    <row r="62" spans="1:16" x14ac:dyDescent="0.25">
      <c r="A62">
        <v>734290</v>
      </c>
      <c r="B62">
        <v>936</v>
      </c>
      <c r="C62">
        <v>108668</v>
      </c>
      <c r="D62" t="s">
        <v>11</v>
      </c>
      <c r="E62" t="s">
        <v>12</v>
      </c>
      <c r="F62" s="5">
        <v>29</v>
      </c>
      <c r="G62" s="5">
        <v>5374</v>
      </c>
      <c r="H62" s="5">
        <v>1</v>
      </c>
      <c r="I62" s="8">
        <v>1.039999962</v>
      </c>
      <c r="J62" s="5">
        <v>4</v>
      </c>
      <c r="K62" s="5">
        <v>0</v>
      </c>
      <c r="L62" s="14">
        <f t="shared" si="0"/>
        <v>0.1935243695571269</v>
      </c>
      <c r="M62" s="14">
        <f t="shared" si="4"/>
        <v>1.039999962</v>
      </c>
      <c r="N62" s="20">
        <f t="shared" si="1"/>
        <v>1.8608113137327876E-4</v>
      </c>
      <c r="O62" s="14" t="str">
        <f t="shared" si="2"/>
        <v xml:space="preserve"> </v>
      </c>
      <c r="P62" s="20">
        <f t="shared" si="3"/>
        <v>0</v>
      </c>
    </row>
    <row r="63" spans="1:16" x14ac:dyDescent="0.25">
      <c r="A63">
        <v>734313</v>
      </c>
      <c r="B63">
        <v>936</v>
      </c>
      <c r="C63">
        <v>108672</v>
      </c>
      <c r="D63" t="s">
        <v>11</v>
      </c>
      <c r="E63" t="s">
        <v>12</v>
      </c>
      <c r="F63" s="5">
        <v>36</v>
      </c>
      <c r="G63" s="5">
        <v>790</v>
      </c>
      <c r="H63" s="5">
        <v>0</v>
      </c>
      <c r="I63" s="8">
        <v>0</v>
      </c>
      <c r="J63" s="5">
        <v>1</v>
      </c>
      <c r="K63" s="5">
        <v>1</v>
      </c>
      <c r="L63" s="14">
        <f t="shared" si="0"/>
        <v>0</v>
      </c>
      <c r="M63" s="14" t="str">
        <f t="shared" si="4"/>
        <v xml:space="preserve"> </v>
      </c>
      <c r="N63" s="20">
        <f t="shared" si="1"/>
        <v>0</v>
      </c>
      <c r="O63" s="14">
        <f t="shared" si="2"/>
        <v>0</v>
      </c>
      <c r="P63" s="20">
        <f t="shared" si="3"/>
        <v>0</v>
      </c>
    </row>
    <row r="64" spans="1:16" x14ac:dyDescent="0.25">
      <c r="A64">
        <v>734314</v>
      </c>
      <c r="B64">
        <v>936</v>
      </c>
      <c r="C64">
        <v>108672</v>
      </c>
      <c r="D64" t="s">
        <v>11</v>
      </c>
      <c r="E64" t="s">
        <v>12</v>
      </c>
      <c r="F64" s="5">
        <v>36</v>
      </c>
      <c r="G64" s="5">
        <v>962</v>
      </c>
      <c r="H64" s="5">
        <v>0</v>
      </c>
      <c r="I64" s="8">
        <v>0</v>
      </c>
      <c r="J64" s="5">
        <v>1</v>
      </c>
      <c r="K64" s="5">
        <v>0</v>
      </c>
      <c r="L64" s="14">
        <f t="shared" si="0"/>
        <v>0</v>
      </c>
      <c r="M64" s="14" t="str">
        <f t="shared" si="4"/>
        <v xml:space="preserve"> </v>
      </c>
      <c r="N64" s="20">
        <f t="shared" si="1"/>
        <v>0</v>
      </c>
      <c r="O64" s="14" t="str">
        <f t="shared" si="2"/>
        <v xml:space="preserve"> </v>
      </c>
      <c r="P64" s="20">
        <f t="shared" si="3"/>
        <v>0</v>
      </c>
    </row>
    <row r="65" spans="1:16" x14ac:dyDescent="0.25">
      <c r="A65">
        <v>734352</v>
      </c>
      <c r="B65">
        <v>936</v>
      </c>
      <c r="C65">
        <v>108678</v>
      </c>
      <c r="D65" t="s">
        <v>13</v>
      </c>
      <c r="E65" t="s">
        <v>12</v>
      </c>
      <c r="F65" s="5">
        <v>10</v>
      </c>
      <c r="G65" s="5">
        <v>4423</v>
      </c>
      <c r="H65" s="5">
        <v>1</v>
      </c>
      <c r="I65" s="8">
        <v>1.460000038</v>
      </c>
      <c r="J65" s="5">
        <v>1</v>
      </c>
      <c r="K65" s="5">
        <v>1</v>
      </c>
      <c r="L65" s="14">
        <f t="shared" si="0"/>
        <v>0.33009270585575406</v>
      </c>
      <c r="M65" s="14">
        <f t="shared" si="4"/>
        <v>1.460000038</v>
      </c>
      <c r="N65" s="20">
        <f t="shared" si="1"/>
        <v>2.2609088853719196E-4</v>
      </c>
      <c r="O65" s="14">
        <f t="shared" si="2"/>
        <v>1.460000038</v>
      </c>
      <c r="P65" s="20">
        <f t="shared" si="3"/>
        <v>1</v>
      </c>
    </row>
    <row r="66" spans="1:16" x14ac:dyDescent="0.25">
      <c r="A66">
        <v>734361</v>
      </c>
      <c r="B66">
        <v>936</v>
      </c>
      <c r="C66">
        <v>108680</v>
      </c>
      <c r="D66" t="s">
        <v>13</v>
      </c>
      <c r="E66" t="s">
        <v>12</v>
      </c>
      <c r="F66" s="5">
        <v>16</v>
      </c>
      <c r="G66" s="5">
        <v>12382</v>
      </c>
      <c r="H66" s="5">
        <v>2</v>
      </c>
      <c r="I66" s="8">
        <v>2.8399999139999998</v>
      </c>
      <c r="J66" s="5">
        <v>1</v>
      </c>
      <c r="K66" s="5">
        <v>1</v>
      </c>
      <c r="L66" s="14">
        <f t="shared" si="0"/>
        <v>0.2293652006137942</v>
      </c>
      <c r="M66" s="14">
        <f t="shared" si="4"/>
        <v>1.4199999569999999</v>
      </c>
      <c r="N66" s="20">
        <f t="shared" si="1"/>
        <v>1.6152479405588758E-4</v>
      </c>
      <c r="O66" s="14">
        <f t="shared" si="2"/>
        <v>2.8399999139999998</v>
      </c>
      <c r="P66" s="20">
        <f t="shared" si="3"/>
        <v>0.5</v>
      </c>
    </row>
    <row r="67" spans="1:16" x14ac:dyDescent="0.25">
      <c r="A67">
        <v>734381</v>
      </c>
      <c r="B67">
        <v>936</v>
      </c>
      <c r="C67">
        <v>108683</v>
      </c>
      <c r="D67" t="s">
        <v>13</v>
      </c>
      <c r="E67" t="s">
        <v>12</v>
      </c>
      <c r="F67" s="5">
        <v>20</v>
      </c>
      <c r="G67" s="5">
        <v>2938</v>
      </c>
      <c r="H67" s="5">
        <v>1</v>
      </c>
      <c r="I67" s="8">
        <v>1.3500000240000001</v>
      </c>
      <c r="J67" s="5">
        <v>1</v>
      </c>
      <c r="K67" s="5">
        <v>1</v>
      </c>
      <c r="L67" s="14">
        <f t="shared" ref="L67:L130" si="5">IF(G67=0,0,(I67/G67)*1000)</f>
        <v>0.45949626412525529</v>
      </c>
      <c r="M67" s="14">
        <f t="shared" si="4"/>
        <v>1.3500000240000001</v>
      </c>
      <c r="N67" s="20">
        <f t="shared" ref="N67:N130" si="6">IF(G67=0,0,(H67/G67))</f>
        <v>3.4036759700476512E-4</v>
      </c>
      <c r="O67" s="14">
        <f t="shared" ref="O67:O130" si="7">IF(K67&gt;0, I67/K67, " ")</f>
        <v>1.3500000240000001</v>
      </c>
      <c r="P67" s="20">
        <f t="shared" ref="P67:P130" si="8">IF(H67=0,0,(K67/H67))</f>
        <v>1</v>
      </c>
    </row>
    <row r="68" spans="1:16" x14ac:dyDescent="0.25">
      <c r="A68">
        <v>734399</v>
      </c>
      <c r="B68">
        <v>936</v>
      </c>
      <c r="C68">
        <v>108686</v>
      </c>
      <c r="D68" t="s">
        <v>13</v>
      </c>
      <c r="E68" t="s">
        <v>12</v>
      </c>
      <c r="F68" s="5">
        <v>23</v>
      </c>
      <c r="G68" s="5">
        <v>239</v>
      </c>
      <c r="H68" s="5">
        <v>0</v>
      </c>
      <c r="I68" s="8">
        <v>0</v>
      </c>
      <c r="J68" s="5">
        <v>1</v>
      </c>
      <c r="K68" s="5">
        <v>0</v>
      </c>
      <c r="L68" s="14">
        <f t="shared" si="5"/>
        <v>0</v>
      </c>
      <c r="M68" s="14" t="str">
        <f t="shared" si="4"/>
        <v xml:space="preserve"> </v>
      </c>
      <c r="N68" s="20">
        <f t="shared" si="6"/>
        <v>0</v>
      </c>
      <c r="O68" s="14" t="str">
        <f t="shared" si="7"/>
        <v xml:space="preserve"> </v>
      </c>
      <c r="P68" s="20">
        <f t="shared" si="8"/>
        <v>0</v>
      </c>
    </row>
    <row r="69" spans="1:16" x14ac:dyDescent="0.25">
      <c r="A69">
        <v>734418</v>
      </c>
      <c r="B69">
        <v>936</v>
      </c>
      <c r="C69">
        <v>108689</v>
      </c>
      <c r="D69" t="s">
        <v>13</v>
      </c>
      <c r="E69" t="s">
        <v>12</v>
      </c>
      <c r="F69" s="5">
        <v>26</v>
      </c>
      <c r="G69" s="5">
        <v>591</v>
      </c>
      <c r="H69" s="5">
        <v>0</v>
      </c>
      <c r="I69" s="8">
        <v>0</v>
      </c>
      <c r="J69" s="5">
        <v>1</v>
      </c>
      <c r="K69" s="5">
        <v>0</v>
      </c>
      <c r="L69" s="14">
        <f t="shared" si="5"/>
        <v>0</v>
      </c>
      <c r="M69" s="14" t="str">
        <f t="shared" ref="M69:M132" si="9">IF(H69&gt;0, I69/H69, " ")</f>
        <v xml:space="preserve"> </v>
      </c>
      <c r="N69" s="20">
        <f t="shared" si="6"/>
        <v>0</v>
      </c>
      <c r="O69" s="14" t="str">
        <f t="shared" si="7"/>
        <v xml:space="preserve"> </v>
      </c>
      <c r="P69" s="20">
        <f t="shared" si="8"/>
        <v>0</v>
      </c>
    </row>
    <row r="70" spans="1:16" x14ac:dyDescent="0.25">
      <c r="A70">
        <v>734421</v>
      </c>
      <c r="B70">
        <v>936</v>
      </c>
      <c r="C70">
        <v>108690</v>
      </c>
      <c r="D70" t="s">
        <v>13</v>
      </c>
      <c r="E70" t="s">
        <v>12</v>
      </c>
      <c r="F70" s="5">
        <v>27</v>
      </c>
      <c r="G70" s="5">
        <v>10332</v>
      </c>
      <c r="H70" s="5">
        <v>4</v>
      </c>
      <c r="I70" s="8">
        <v>5.75</v>
      </c>
      <c r="J70" s="5">
        <v>1</v>
      </c>
      <c r="K70" s="5">
        <v>0</v>
      </c>
      <c r="L70" s="14">
        <f t="shared" si="5"/>
        <v>0.55652342237708097</v>
      </c>
      <c r="M70" s="14">
        <f t="shared" si="9"/>
        <v>1.4375</v>
      </c>
      <c r="N70" s="20">
        <f t="shared" si="6"/>
        <v>3.8714672861014324E-4</v>
      </c>
      <c r="O70" s="14" t="str">
        <f t="shared" si="7"/>
        <v xml:space="preserve"> </v>
      </c>
      <c r="P70" s="20">
        <f t="shared" si="8"/>
        <v>0</v>
      </c>
    </row>
    <row r="71" spans="1:16" x14ac:dyDescent="0.25">
      <c r="A71">
        <v>734427</v>
      </c>
      <c r="B71">
        <v>936</v>
      </c>
      <c r="C71">
        <v>108691</v>
      </c>
      <c r="D71" t="s">
        <v>13</v>
      </c>
      <c r="E71" t="s">
        <v>12</v>
      </c>
      <c r="F71" s="5">
        <v>28</v>
      </c>
      <c r="G71" s="5">
        <v>8259</v>
      </c>
      <c r="H71" s="5">
        <v>3</v>
      </c>
      <c r="I71" s="8">
        <v>3.9800000190000002</v>
      </c>
      <c r="J71" s="5">
        <v>1</v>
      </c>
      <c r="K71" s="5">
        <v>0</v>
      </c>
      <c r="L71" s="14">
        <f t="shared" si="5"/>
        <v>0.48189853723211046</v>
      </c>
      <c r="M71" s="14">
        <f t="shared" si="9"/>
        <v>1.3266666730000001</v>
      </c>
      <c r="N71" s="20">
        <f t="shared" si="6"/>
        <v>3.6324010170722849E-4</v>
      </c>
      <c r="O71" s="14" t="str">
        <f t="shared" si="7"/>
        <v xml:space="preserve"> </v>
      </c>
      <c r="P71" s="20">
        <f t="shared" si="8"/>
        <v>0</v>
      </c>
    </row>
    <row r="72" spans="1:16" x14ac:dyDescent="0.25">
      <c r="A72">
        <v>734433</v>
      </c>
      <c r="B72">
        <v>936</v>
      </c>
      <c r="C72">
        <v>108692</v>
      </c>
      <c r="D72" t="s">
        <v>13</v>
      </c>
      <c r="E72" t="s">
        <v>12</v>
      </c>
      <c r="F72" s="5">
        <v>29</v>
      </c>
      <c r="G72" s="5">
        <v>12158</v>
      </c>
      <c r="H72" s="5">
        <v>3</v>
      </c>
      <c r="I72" s="8">
        <v>4.4499999280000004</v>
      </c>
      <c r="J72" s="5">
        <v>1</v>
      </c>
      <c r="K72" s="5">
        <v>0</v>
      </c>
      <c r="L72" s="14">
        <f t="shared" si="5"/>
        <v>0.36601414114163516</v>
      </c>
      <c r="M72" s="14">
        <f t="shared" si="9"/>
        <v>1.4833333093333334</v>
      </c>
      <c r="N72" s="20">
        <f t="shared" si="6"/>
        <v>2.4675111037999672E-4</v>
      </c>
      <c r="O72" s="14" t="str">
        <f t="shared" si="7"/>
        <v xml:space="preserve"> </v>
      </c>
      <c r="P72" s="20">
        <f t="shared" si="8"/>
        <v>0</v>
      </c>
    </row>
    <row r="73" spans="1:16" x14ac:dyDescent="0.25">
      <c r="A73">
        <v>734582</v>
      </c>
      <c r="B73">
        <v>936</v>
      </c>
      <c r="C73">
        <v>108716</v>
      </c>
      <c r="D73" t="s">
        <v>14</v>
      </c>
      <c r="E73" t="s">
        <v>12</v>
      </c>
      <c r="F73" s="5">
        <v>29</v>
      </c>
      <c r="G73" s="5">
        <v>7709</v>
      </c>
      <c r="H73" s="5">
        <v>2</v>
      </c>
      <c r="I73" s="8">
        <v>1.3200000519999999</v>
      </c>
      <c r="J73" s="5">
        <v>2</v>
      </c>
      <c r="K73" s="5">
        <v>0</v>
      </c>
      <c r="L73" s="14">
        <f t="shared" si="5"/>
        <v>0.1712284410429368</v>
      </c>
      <c r="M73" s="14">
        <f t="shared" si="9"/>
        <v>0.66000002599999996</v>
      </c>
      <c r="N73" s="20">
        <f t="shared" si="6"/>
        <v>2.5943702166299128E-4</v>
      </c>
      <c r="O73" s="14" t="str">
        <f t="shared" si="7"/>
        <v xml:space="preserve"> </v>
      </c>
      <c r="P73" s="20">
        <f t="shared" si="8"/>
        <v>0</v>
      </c>
    </row>
    <row r="74" spans="1:16" x14ac:dyDescent="0.25">
      <c r="A74">
        <v>734605</v>
      </c>
      <c r="B74">
        <v>936</v>
      </c>
      <c r="C74">
        <v>108720</v>
      </c>
      <c r="D74" t="s">
        <v>14</v>
      </c>
      <c r="E74" t="s">
        <v>12</v>
      </c>
      <c r="F74" s="5">
        <v>36</v>
      </c>
      <c r="G74" s="5">
        <v>834</v>
      </c>
      <c r="H74" s="5">
        <v>0</v>
      </c>
      <c r="I74" s="8">
        <v>0</v>
      </c>
      <c r="J74" s="5">
        <v>1</v>
      </c>
      <c r="K74" s="5">
        <v>0</v>
      </c>
      <c r="L74" s="14">
        <f t="shared" si="5"/>
        <v>0</v>
      </c>
      <c r="M74" s="14" t="str">
        <f t="shared" si="9"/>
        <v xml:space="preserve"> </v>
      </c>
      <c r="N74" s="20">
        <f t="shared" si="6"/>
        <v>0</v>
      </c>
      <c r="O74" s="14" t="str">
        <f t="shared" si="7"/>
        <v xml:space="preserve"> </v>
      </c>
      <c r="P74" s="20">
        <f t="shared" si="8"/>
        <v>0</v>
      </c>
    </row>
    <row r="75" spans="1:16" x14ac:dyDescent="0.25">
      <c r="A75">
        <v>734660</v>
      </c>
      <c r="B75">
        <v>936</v>
      </c>
      <c r="C75">
        <v>108729</v>
      </c>
      <c r="D75" t="s">
        <v>15</v>
      </c>
      <c r="E75" t="s">
        <v>12</v>
      </c>
      <c r="F75" s="5">
        <v>18</v>
      </c>
      <c r="G75" s="5">
        <v>1299</v>
      </c>
      <c r="H75" s="5">
        <v>0</v>
      </c>
      <c r="I75" s="8">
        <v>0</v>
      </c>
      <c r="J75" s="5">
        <v>2</v>
      </c>
      <c r="K75" s="5">
        <v>0</v>
      </c>
      <c r="L75" s="14">
        <f t="shared" si="5"/>
        <v>0</v>
      </c>
      <c r="M75" s="14" t="str">
        <f t="shared" si="9"/>
        <v xml:space="preserve"> </v>
      </c>
      <c r="N75" s="20">
        <f t="shared" si="6"/>
        <v>0</v>
      </c>
      <c r="O75" s="14" t="str">
        <f t="shared" si="7"/>
        <v xml:space="preserve"> </v>
      </c>
      <c r="P75" s="20">
        <f t="shared" si="8"/>
        <v>0</v>
      </c>
    </row>
    <row r="76" spans="1:16" x14ac:dyDescent="0.25">
      <c r="A76">
        <v>734666</v>
      </c>
      <c r="B76">
        <v>936</v>
      </c>
      <c r="C76">
        <v>108730</v>
      </c>
      <c r="D76" t="s">
        <v>15</v>
      </c>
      <c r="E76" t="s">
        <v>12</v>
      </c>
      <c r="F76" s="5">
        <v>19</v>
      </c>
      <c r="G76" s="5">
        <v>371</v>
      </c>
      <c r="H76" s="5">
        <v>0</v>
      </c>
      <c r="I76" s="8">
        <v>0</v>
      </c>
      <c r="J76" s="5">
        <v>1</v>
      </c>
      <c r="K76" s="5">
        <v>0</v>
      </c>
      <c r="L76" s="14">
        <f t="shared" si="5"/>
        <v>0</v>
      </c>
      <c r="M76" s="14" t="str">
        <f t="shared" si="9"/>
        <v xml:space="preserve"> </v>
      </c>
      <c r="N76" s="20">
        <f t="shared" si="6"/>
        <v>0</v>
      </c>
      <c r="O76" s="14" t="str">
        <f t="shared" si="7"/>
        <v xml:space="preserve"> </v>
      </c>
      <c r="P76" s="20">
        <f t="shared" si="8"/>
        <v>0</v>
      </c>
    </row>
    <row r="77" spans="1:16" x14ac:dyDescent="0.25">
      <c r="A77">
        <v>734726</v>
      </c>
      <c r="B77">
        <v>936</v>
      </c>
      <c r="C77">
        <v>108740</v>
      </c>
      <c r="D77" t="s">
        <v>15</v>
      </c>
      <c r="E77" t="s">
        <v>12</v>
      </c>
      <c r="F77" s="5">
        <v>29</v>
      </c>
      <c r="G77" s="5">
        <v>10466</v>
      </c>
      <c r="H77" s="5">
        <v>3</v>
      </c>
      <c r="I77" s="8">
        <v>4.0900000329999999</v>
      </c>
      <c r="J77" s="5">
        <v>1</v>
      </c>
      <c r="K77" s="5">
        <v>0</v>
      </c>
      <c r="L77" s="14">
        <f t="shared" si="5"/>
        <v>0.39078922539652211</v>
      </c>
      <c r="M77" s="14">
        <f t="shared" si="9"/>
        <v>1.3633333443333333</v>
      </c>
      <c r="N77" s="20">
        <f t="shared" si="6"/>
        <v>2.866424613032677E-4</v>
      </c>
      <c r="O77" s="14" t="str">
        <f t="shared" si="7"/>
        <v xml:space="preserve"> </v>
      </c>
      <c r="P77" s="20">
        <f t="shared" si="8"/>
        <v>0</v>
      </c>
    </row>
    <row r="78" spans="1:16" x14ac:dyDescent="0.25">
      <c r="A78">
        <v>734737</v>
      </c>
      <c r="B78">
        <v>936</v>
      </c>
      <c r="C78">
        <v>108742</v>
      </c>
      <c r="D78" t="s">
        <v>15</v>
      </c>
      <c r="E78" t="s">
        <v>12</v>
      </c>
      <c r="F78" s="5">
        <v>31</v>
      </c>
      <c r="G78" s="5">
        <v>839</v>
      </c>
      <c r="H78" s="5">
        <v>0</v>
      </c>
      <c r="I78" s="8">
        <v>0</v>
      </c>
      <c r="J78" s="5">
        <v>1</v>
      </c>
      <c r="K78" s="5">
        <v>0</v>
      </c>
      <c r="L78" s="14">
        <f t="shared" si="5"/>
        <v>0</v>
      </c>
      <c r="M78" s="14" t="str">
        <f t="shared" si="9"/>
        <v xml:space="preserve"> </v>
      </c>
      <c r="N78" s="20">
        <f t="shared" si="6"/>
        <v>0</v>
      </c>
      <c r="O78" s="14" t="str">
        <f t="shared" si="7"/>
        <v xml:space="preserve"> </v>
      </c>
      <c r="P78" s="20">
        <f t="shared" si="8"/>
        <v>0</v>
      </c>
    </row>
    <row r="79" spans="1:16" x14ac:dyDescent="0.25">
      <c r="A79">
        <v>734785</v>
      </c>
      <c r="B79">
        <v>936</v>
      </c>
      <c r="C79">
        <v>108750</v>
      </c>
      <c r="D79" t="s">
        <v>11</v>
      </c>
      <c r="E79" t="s">
        <v>16</v>
      </c>
      <c r="F79" s="5">
        <v>10</v>
      </c>
      <c r="G79" s="5">
        <v>5576</v>
      </c>
      <c r="H79" s="5">
        <v>1</v>
      </c>
      <c r="I79" s="8">
        <v>1.5299999710000001</v>
      </c>
      <c r="J79" s="5">
        <v>1</v>
      </c>
      <c r="K79" s="5">
        <v>1</v>
      </c>
      <c r="L79" s="14">
        <f t="shared" si="5"/>
        <v>0.27439023870157819</v>
      </c>
      <c r="M79" s="14">
        <f t="shared" si="9"/>
        <v>1.5299999710000001</v>
      </c>
      <c r="N79" s="20">
        <f t="shared" si="6"/>
        <v>1.793400286944046E-4</v>
      </c>
      <c r="O79" s="14">
        <f t="shared" si="7"/>
        <v>1.5299999710000001</v>
      </c>
      <c r="P79" s="20">
        <f t="shared" si="8"/>
        <v>1</v>
      </c>
    </row>
    <row r="80" spans="1:16" x14ac:dyDescent="0.25">
      <c r="A80">
        <v>734794</v>
      </c>
      <c r="B80">
        <v>936</v>
      </c>
      <c r="C80">
        <v>108752</v>
      </c>
      <c r="D80" t="s">
        <v>11</v>
      </c>
      <c r="E80" t="s">
        <v>16</v>
      </c>
      <c r="F80" s="5">
        <v>16</v>
      </c>
      <c r="G80" s="5">
        <v>4010</v>
      </c>
      <c r="H80" s="5">
        <v>0</v>
      </c>
      <c r="I80" s="8">
        <v>0</v>
      </c>
      <c r="J80" s="5">
        <v>1</v>
      </c>
      <c r="K80" s="5">
        <v>0</v>
      </c>
      <c r="L80" s="14">
        <f t="shared" si="5"/>
        <v>0</v>
      </c>
      <c r="M80" s="14" t="str">
        <f t="shared" si="9"/>
        <v xml:space="preserve"> </v>
      </c>
      <c r="N80" s="20">
        <f t="shared" si="6"/>
        <v>0</v>
      </c>
      <c r="O80" s="14" t="str">
        <f t="shared" si="7"/>
        <v xml:space="preserve"> </v>
      </c>
      <c r="P80" s="20">
        <f t="shared" si="8"/>
        <v>0</v>
      </c>
    </row>
    <row r="81" spans="1:16" x14ac:dyDescent="0.25">
      <c r="A81">
        <v>734796</v>
      </c>
      <c r="B81">
        <v>936</v>
      </c>
      <c r="C81">
        <v>108752</v>
      </c>
      <c r="D81" t="s">
        <v>11</v>
      </c>
      <c r="E81" t="s">
        <v>16</v>
      </c>
      <c r="F81" s="5">
        <v>16</v>
      </c>
      <c r="G81" s="5">
        <v>39337</v>
      </c>
      <c r="H81" s="5">
        <v>7</v>
      </c>
      <c r="I81" s="8">
        <v>10.03000009</v>
      </c>
      <c r="J81" s="5">
        <v>1</v>
      </c>
      <c r="K81" s="5">
        <v>1</v>
      </c>
      <c r="L81" s="14">
        <f t="shared" si="5"/>
        <v>0.25497623331723313</v>
      </c>
      <c r="M81" s="14">
        <f t="shared" si="9"/>
        <v>1.4328571557142857</v>
      </c>
      <c r="N81" s="20">
        <f t="shared" si="6"/>
        <v>1.7794951318097466E-4</v>
      </c>
      <c r="O81" s="14">
        <f t="shared" si="7"/>
        <v>10.03000009</v>
      </c>
      <c r="P81" s="20">
        <f t="shared" si="8"/>
        <v>0.14285714285714285</v>
      </c>
    </row>
    <row r="82" spans="1:16" x14ac:dyDescent="0.25">
      <c r="A82">
        <v>734800</v>
      </c>
      <c r="B82">
        <v>936</v>
      </c>
      <c r="C82">
        <v>108753</v>
      </c>
      <c r="D82" t="s">
        <v>11</v>
      </c>
      <c r="E82" t="s">
        <v>16</v>
      </c>
      <c r="F82" s="5">
        <v>18</v>
      </c>
      <c r="G82" s="5">
        <v>1635</v>
      </c>
      <c r="H82" s="5">
        <v>0</v>
      </c>
      <c r="I82" s="8">
        <v>0</v>
      </c>
      <c r="J82" s="5">
        <v>1</v>
      </c>
      <c r="K82" s="5">
        <v>0</v>
      </c>
      <c r="L82" s="14">
        <f t="shared" si="5"/>
        <v>0</v>
      </c>
      <c r="M82" s="14" t="str">
        <f t="shared" si="9"/>
        <v xml:space="preserve"> </v>
      </c>
      <c r="N82" s="20">
        <f t="shared" si="6"/>
        <v>0</v>
      </c>
      <c r="O82" s="14" t="str">
        <f t="shared" si="7"/>
        <v xml:space="preserve"> </v>
      </c>
      <c r="P82" s="20">
        <f t="shared" si="8"/>
        <v>0</v>
      </c>
    </row>
    <row r="83" spans="1:16" x14ac:dyDescent="0.25">
      <c r="A83">
        <v>734803</v>
      </c>
      <c r="B83">
        <v>936</v>
      </c>
      <c r="C83">
        <v>108753</v>
      </c>
      <c r="D83" t="s">
        <v>11</v>
      </c>
      <c r="E83" t="s">
        <v>16</v>
      </c>
      <c r="F83" s="5">
        <v>18</v>
      </c>
      <c r="G83" s="5">
        <v>1631</v>
      </c>
      <c r="H83" s="5">
        <v>0</v>
      </c>
      <c r="I83" s="8">
        <v>0</v>
      </c>
      <c r="J83" s="5">
        <v>1</v>
      </c>
      <c r="K83" s="5">
        <v>0</v>
      </c>
      <c r="L83" s="14">
        <f t="shared" si="5"/>
        <v>0</v>
      </c>
      <c r="M83" s="14" t="str">
        <f t="shared" si="9"/>
        <v xml:space="preserve"> </v>
      </c>
      <c r="N83" s="20">
        <f t="shared" si="6"/>
        <v>0</v>
      </c>
      <c r="O83" s="14" t="str">
        <f t="shared" si="7"/>
        <v xml:space="preserve"> </v>
      </c>
      <c r="P83" s="20">
        <f t="shared" si="8"/>
        <v>0</v>
      </c>
    </row>
    <row r="84" spans="1:16" x14ac:dyDescent="0.25">
      <c r="A84">
        <v>734852</v>
      </c>
      <c r="B84">
        <v>936</v>
      </c>
      <c r="C84">
        <v>108761</v>
      </c>
      <c r="D84" t="s">
        <v>11</v>
      </c>
      <c r="E84" t="s">
        <v>16</v>
      </c>
      <c r="F84" s="5">
        <v>26</v>
      </c>
      <c r="G84" s="5">
        <v>13479</v>
      </c>
      <c r="H84" s="5">
        <v>3</v>
      </c>
      <c r="I84" s="8">
        <v>4.25</v>
      </c>
      <c r="J84" s="5">
        <v>1</v>
      </c>
      <c r="K84" s="5">
        <v>0</v>
      </c>
      <c r="L84" s="14">
        <f t="shared" si="5"/>
        <v>0.31530528970991911</v>
      </c>
      <c r="M84" s="14">
        <f t="shared" si="9"/>
        <v>1.4166666666666667</v>
      </c>
      <c r="N84" s="20">
        <f t="shared" si="6"/>
        <v>2.2256843979523704E-4</v>
      </c>
      <c r="O84" s="14" t="str">
        <f t="shared" si="7"/>
        <v xml:space="preserve"> </v>
      </c>
      <c r="P84" s="20">
        <f t="shared" si="8"/>
        <v>0</v>
      </c>
    </row>
    <row r="85" spans="1:16" x14ac:dyDescent="0.25">
      <c r="A85">
        <v>734854</v>
      </c>
      <c r="B85">
        <v>936</v>
      </c>
      <c r="C85">
        <v>108762</v>
      </c>
      <c r="D85" t="s">
        <v>11</v>
      </c>
      <c r="E85" t="s">
        <v>16</v>
      </c>
      <c r="F85" s="5">
        <v>27</v>
      </c>
      <c r="G85" s="5">
        <v>57022</v>
      </c>
      <c r="H85" s="5">
        <v>13</v>
      </c>
      <c r="I85" s="8">
        <v>20.290000320000001</v>
      </c>
      <c r="J85" s="5">
        <v>3</v>
      </c>
      <c r="K85" s="5">
        <v>3</v>
      </c>
      <c r="L85" s="14">
        <f t="shared" si="5"/>
        <v>0.35582758093367473</v>
      </c>
      <c r="M85" s="14">
        <f t="shared" si="9"/>
        <v>1.5607692553846155</v>
      </c>
      <c r="N85" s="20">
        <f t="shared" si="6"/>
        <v>2.2798218231559749E-4</v>
      </c>
      <c r="O85" s="14">
        <f t="shared" si="7"/>
        <v>6.7633334400000003</v>
      </c>
      <c r="P85" s="20">
        <f t="shared" si="8"/>
        <v>0.23076923076923078</v>
      </c>
    </row>
    <row r="86" spans="1:16" x14ac:dyDescent="0.25">
      <c r="A86">
        <v>734856</v>
      </c>
      <c r="B86">
        <v>936</v>
      </c>
      <c r="C86">
        <v>108762</v>
      </c>
      <c r="D86" t="s">
        <v>11</v>
      </c>
      <c r="E86" t="s">
        <v>16</v>
      </c>
      <c r="F86" s="5">
        <v>27</v>
      </c>
      <c r="G86" s="5">
        <v>5453</v>
      </c>
      <c r="H86" s="5">
        <v>1</v>
      </c>
      <c r="I86" s="8">
        <v>1.3899999860000001</v>
      </c>
      <c r="J86" s="5">
        <v>1</v>
      </c>
      <c r="K86" s="5">
        <v>1</v>
      </c>
      <c r="L86" s="14">
        <f t="shared" si="5"/>
        <v>0.25490555400696863</v>
      </c>
      <c r="M86" s="14">
        <f t="shared" si="9"/>
        <v>1.3899999860000001</v>
      </c>
      <c r="N86" s="20">
        <f t="shared" si="6"/>
        <v>1.8338529249954154E-4</v>
      </c>
      <c r="O86" s="14">
        <f t="shared" si="7"/>
        <v>1.3899999860000001</v>
      </c>
      <c r="P86" s="20">
        <f t="shared" si="8"/>
        <v>1</v>
      </c>
    </row>
    <row r="87" spans="1:16" x14ac:dyDescent="0.25">
      <c r="A87">
        <v>734866</v>
      </c>
      <c r="B87">
        <v>936</v>
      </c>
      <c r="C87">
        <v>108764</v>
      </c>
      <c r="D87" t="s">
        <v>11</v>
      </c>
      <c r="E87" t="s">
        <v>16</v>
      </c>
      <c r="F87" s="5">
        <v>29</v>
      </c>
      <c r="G87" s="5">
        <v>11803</v>
      </c>
      <c r="H87" s="5">
        <v>3</v>
      </c>
      <c r="I87" s="8">
        <v>4.4400000569999998</v>
      </c>
      <c r="J87" s="5">
        <v>1</v>
      </c>
      <c r="K87" s="5">
        <v>0</v>
      </c>
      <c r="L87" s="14">
        <f t="shared" si="5"/>
        <v>0.37617555341862235</v>
      </c>
      <c r="M87" s="14">
        <f t="shared" si="9"/>
        <v>1.480000019</v>
      </c>
      <c r="N87" s="20">
        <f t="shared" si="6"/>
        <v>2.5417266796577139E-4</v>
      </c>
      <c r="O87" s="14" t="str">
        <f t="shared" si="7"/>
        <v xml:space="preserve"> </v>
      </c>
      <c r="P87" s="20">
        <f t="shared" si="8"/>
        <v>0</v>
      </c>
    </row>
    <row r="88" spans="1:16" x14ac:dyDescent="0.25">
      <c r="A88">
        <v>734881</v>
      </c>
      <c r="B88">
        <v>936</v>
      </c>
      <c r="C88">
        <v>108766</v>
      </c>
      <c r="D88" t="s">
        <v>11</v>
      </c>
      <c r="E88" t="s">
        <v>16</v>
      </c>
      <c r="F88" s="5">
        <v>31</v>
      </c>
      <c r="G88" s="5">
        <v>4259</v>
      </c>
      <c r="H88" s="5">
        <v>1</v>
      </c>
      <c r="I88" s="8">
        <v>1.5700000519999999</v>
      </c>
      <c r="J88" s="5">
        <v>1</v>
      </c>
      <c r="K88" s="5">
        <v>1</v>
      </c>
      <c r="L88" s="14">
        <f t="shared" si="5"/>
        <v>0.3686311462784691</v>
      </c>
      <c r="M88" s="14">
        <f t="shared" si="9"/>
        <v>1.5700000519999999</v>
      </c>
      <c r="N88" s="20">
        <f t="shared" si="6"/>
        <v>2.3479690068091102E-4</v>
      </c>
      <c r="O88" s="14">
        <f t="shared" si="7"/>
        <v>1.5700000519999999</v>
      </c>
      <c r="P88" s="20">
        <f t="shared" si="8"/>
        <v>1</v>
      </c>
    </row>
    <row r="89" spans="1:16" x14ac:dyDescent="0.25">
      <c r="A89">
        <v>734901</v>
      </c>
      <c r="B89">
        <v>936</v>
      </c>
      <c r="C89">
        <v>108770</v>
      </c>
      <c r="D89" t="s">
        <v>11</v>
      </c>
      <c r="E89" t="s">
        <v>16</v>
      </c>
      <c r="F89" s="5">
        <v>64</v>
      </c>
      <c r="G89" s="5">
        <v>1554</v>
      </c>
      <c r="H89" s="5">
        <v>0</v>
      </c>
      <c r="I89" s="8">
        <v>0</v>
      </c>
      <c r="J89" s="5">
        <v>1</v>
      </c>
      <c r="K89" s="5">
        <v>0</v>
      </c>
      <c r="L89" s="14">
        <f t="shared" si="5"/>
        <v>0</v>
      </c>
      <c r="M89" s="14" t="str">
        <f t="shared" si="9"/>
        <v xml:space="preserve"> </v>
      </c>
      <c r="N89" s="20">
        <f t="shared" si="6"/>
        <v>0</v>
      </c>
      <c r="O89" s="14" t="str">
        <f t="shared" si="7"/>
        <v xml:space="preserve"> </v>
      </c>
      <c r="P89" s="20">
        <f t="shared" si="8"/>
        <v>0</v>
      </c>
    </row>
    <row r="90" spans="1:16" x14ac:dyDescent="0.25">
      <c r="A90">
        <v>734903</v>
      </c>
      <c r="B90">
        <v>936</v>
      </c>
      <c r="C90">
        <v>108770</v>
      </c>
      <c r="D90" t="s">
        <v>11</v>
      </c>
      <c r="E90" t="s">
        <v>16</v>
      </c>
      <c r="F90" s="5">
        <v>64</v>
      </c>
      <c r="G90" s="5">
        <v>5323</v>
      </c>
      <c r="H90" s="5">
        <v>1</v>
      </c>
      <c r="I90" s="8">
        <v>1.289999962</v>
      </c>
      <c r="J90" s="5">
        <v>1</v>
      </c>
      <c r="K90" s="5">
        <v>1</v>
      </c>
      <c r="L90" s="14">
        <f t="shared" si="5"/>
        <v>0.24234453541236145</v>
      </c>
      <c r="M90" s="14">
        <f t="shared" si="9"/>
        <v>1.289999962</v>
      </c>
      <c r="N90" s="20">
        <f t="shared" si="6"/>
        <v>1.8786398647379298E-4</v>
      </c>
      <c r="O90" s="14">
        <f t="shared" si="7"/>
        <v>1.289999962</v>
      </c>
      <c r="P90" s="20">
        <f t="shared" si="8"/>
        <v>1</v>
      </c>
    </row>
    <row r="91" spans="1:16" x14ac:dyDescent="0.25">
      <c r="A91">
        <v>734925</v>
      </c>
      <c r="B91">
        <v>936</v>
      </c>
      <c r="C91">
        <v>108774</v>
      </c>
      <c r="D91" t="s">
        <v>13</v>
      </c>
      <c r="E91" t="s">
        <v>16</v>
      </c>
      <c r="F91" s="5">
        <v>10</v>
      </c>
      <c r="G91" s="5">
        <v>5024</v>
      </c>
      <c r="H91" s="5">
        <v>1</v>
      </c>
      <c r="I91" s="8">
        <v>1.4099999670000001</v>
      </c>
      <c r="J91" s="5">
        <v>1</v>
      </c>
      <c r="K91" s="5">
        <v>1</v>
      </c>
      <c r="L91" s="14">
        <f t="shared" si="5"/>
        <v>0.2806528596735669</v>
      </c>
      <c r="M91" s="14">
        <f t="shared" si="9"/>
        <v>1.4099999670000001</v>
      </c>
      <c r="N91" s="20">
        <f t="shared" si="6"/>
        <v>1.9904458598726116E-4</v>
      </c>
      <c r="O91" s="14">
        <f t="shared" si="7"/>
        <v>1.4099999670000001</v>
      </c>
      <c r="P91" s="20">
        <f t="shared" si="8"/>
        <v>1</v>
      </c>
    </row>
    <row r="92" spans="1:16" x14ac:dyDescent="0.25">
      <c r="A92">
        <v>734939</v>
      </c>
      <c r="B92">
        <v>936</v>
      </c>
      <c r="C92">
        <v>108776</v>
      </c>
      <c r="D92" t="s">
        <v>13</v>
      </c>
      <c r="E92" t="s">
        <v>16</v>
      </c>
      <c r="F92" s="5">
        <v>16</v>
      </c>
      <c r="G92" s="5">
        <v>104648</v>
      </c>
      <c r="H92" s="5">
        <v>24</v>
      </c>
      <c r="I92" s="8">
        <v>33.330000040000002</v>
      </c>
      <c r="J92" s="5">
        <v>4</v>
      </c>
      <c r="K92" s="5">
        <v>2</v>
      </c>
      <c r="L92" s="14">
        <f t="shared" si="5"/>
        <v>0.31849629271462426</v>
      </c>
      <c r="M92" s="14">
        <f t="shared" si="9"/>
        <v>1.3887500016666667</v>
      </c>
      <c r="N92" s="20">
        <f t="shared" si="6"/>
        <v>2.2934026450577172E-4</v>
      </c>
      <c r="O92" s="14">
        <f t="shared" si="7"/>
        <v>16.665000020000001</v>
      </c>
      <c r="P92" s="20">
        <f t="shared" si="8"/>
        <v>8.3333333333333329E-2</v>
      </c>
    </row>
    <row r="93" spans="1:16" x14ac:dyDescent="0.25">
      <c r="A93">
        <v>734968</v>
      </c>
      <c r="B93">
        <v>936</v>
      </c>
      <c r="C93">
        <v>108781</v>
      </c>
      <c r="D93" t="s">
        <v>13</v>
      </c>
      <c r="E93" t="s">
        <v>16</v>
      </c>
      <c r="F93" s="5">
        <v>22</v>
      </c>
      <c r="G93" s="5">
        <v>8504</v>
      </c>
      <c r="H93" s="5">
        <v>3</v>
      </c>
      <c r="I93" s="8">
        <v>3.340000093</v>
      </c>
      <c r="J93" s="5">
        <v>1</v>
      </c>
      <c r="K93" s="5">
        <v>1</v>
      </c>
      <c r="L93" s="14">
        <f t="shared" si="5"/>
        <v>0.39275636088899341</v>
      </c>
      <c r="M93" s="14">
        <f t="shared" si="9"/>
        <v>1.1133333643333334</v>
      </c>
      <c r="N93" s="20">
        <f t="shared" si="6"/>
        <v>3.5277516462841018E-4</v>
      </c>
      <c r="O93" s="14">
        <f t="shared" si="7"/>
        <v>3.340000093</v>
      </c>
      <c r="P93" s="20">
        <f t="shared" si="8"/>
        <v>0.33333333333333331</v>
      </c>
    </row>
    <row r="94" spans="1:16" x14ac:dyDescent="0.25">
      <c r="A94">
        <v>734999</v>
      </c>
      <c r="B94">
        <v>936</v>
      </c>
      <c r="C94">
        <v>108786</v>
      </c>
      <c r="D94" t="s">
        <v>13</v>
      </c>
      <c r="E94" t="s">
        <v>16</v>
      </c>
      <c r="F94" s="5">
        <v>27</v>
      </c>
      <c r="G94" s="5">
        <v>20277</v>
      </c>
      <c r="H94" s="5">
        <v>6</v>
      </c>
      <c r="I94" s="8">
        <v>8.0500000719999996</v>
      </c>
      <c r="J94" s="5">
        <v>1</v>
      </c>
      <c r="K94" s="5">
        <v>0</v>
      </c>
      <c r="L94" s="14">
        <f t="shared" si="5"/>
        <v>0.39700153237658431</v>
      </c>
      <c r="M94" s="14">
        <f t="shared" si="9"/>
        <v>1.3416666786666667</v>
      </c>
      <c r="N94" s="20">
        <f t="shared" si="6"/>
        <v>2.9590176061547566E-4</v>
      </c>
      <c r="O94" s="14" t="str">
        <f t="shared" si="7"/>
        <v xml:space="preserve"> </v>
      </c>
      <c r="P94" s="20">
        <f t="shared" si="8"/>
        <v>0</v>
      </c>
    </row>
    <row r="95" spans="1:16" x14ac:dyDescent="0.25">
      <c r="A95">
        <v>735014</v>
      </c>
      <c r="B95">
        <v>936</v>
      </c>
      <c r="C95">
        <v>108788</v>
      </c>
      <c r="D95" t="s">
        <v>13</v>
      </c>
      <c r="E95" t="s">
        <v>16</v>
      </c>
      <c r="F95" s="5">
        <v>29</v>
      </c>
      <c r="G95" s="5">
        <v>12403</v>
      </c>
      <c r="H95" s="5">
        <v>4</v>
      </c>
      <c r="I95" s="8">
        <v>5.2100000380000004</v>
      </c>
      <c r="J95" s="5">
        <v>1</v>
      </c>
      <c r="K95" s="5">
        <v>1</v>
      </c>
      <c r="L95" s="14">
        <f t="shared" si="5"/>
        <v>0.42005966604853667</v>
      </c>
      <c r="M95" s="14">
        <f t="shared" si="9"/>
        <v>1.3025000095000001</v>
      </c>
      <c r="N95" s="20">
        <f t="shared" si="6"/>
        <v>3.225026203337902E-4</v>
      </c>
      <c r="O95" s="14">
        <f t="shared" si="7"/>
        <v>5.2100000380000004</v>
      </c>
      <c r="P95" s="20">
        <f t="shared" si="8"/>
        <v>0.25</v>
      </c>
    </row>
    <row r="96" spans="1:16" x14ac:dyDescent="0.25">
      <c r="A96">
        <v>735032</v>
      </c>
      <c r="B96">
        <v>936</v>
      </c>
      <c r="C96">
        <v>108791</v>
      </c>
      <c r="D96" t="s">
        <v>13</v>
      </c>
      <c r="E96" t="s">
        <v>16</v>
      </c>
      <c r="F96" s="5">
        <v>32</v>
      </c>
      <c r="G96" s="5">
        <v>498</v>
      </c>
      <c r="H96" s="5">
        <v>0</v>
      </c>
      <c r="I96" s="8">
        <v>0</v>
      </c>
      <c r="J96" s="5">
        <v>1</v>
      </c>
      <c r="K96" s="5">
        <v>1</v>
      </c>
      <c r="L96" s="14">
        <f t="shared" si="5"/>
        <v>0</v>
      </c>
      <c r="M96" s="14" t="str">
        <f t="shared" si="9"/>
        <v xml:space="preserve"> </v>
      </c>
      <c r="N96" s="20">
        <f t="shared" si="6"/>
        <v>0</v>
      </c>
      <c r="O96" s="14">
        <f t="shared" si="7"/>
        <v>0</v>
      </c>
      <c r="P96" s="20">
        <f t="shared" si="8"/>
        <v>0</v>
      </c>
    </row>
    <row r="97" spans="1:16" x14ac:dyDescent="0.25">
      <c r="A97">
        <v>735033</v>
      </c>
      <c r="B97">
        <v>936</v>
      </c>
      <c r="C97">
        <v>108792</v>
      </c>
      <c r="D97" t="s">
        <v>13</v>
      </c>
      <c r="E97" t="s">
        <v>16</v>
      </c>
      <c r="F97" s="5">
        <v>36</v>
      </c>
      <c r="G97" s="5">
        <v>652</v>
      </c>
      <c r="H97" s="5">
        <v>0</v>
      </c>
      <c r="I97" s="8">
        <v>0</v>
      </c>
      <c r="J97" s="5">
        <v>0</v>
      </c>
      <c r="K97" s="5">
        <v>0</v>
      </c>
      <c r="L97" s="14">
        <f t="shared" si="5"/>
        <v>0</v>
      </c>
      <c r="M97" s="14" t="str">
        <f t="shared" si="9"/>
        <v xml:space="preserve"> </v>
      </c>
      <c r="N97" s="20">
        <f t="shared" si="6"/>
        <v>0</v>
      </c>
      <c r="O97" s="14" t="str">
        <f t="shared" si="7"/>
        <v xml:space="preserve"> </v>
      </c>
      <c r="P97" s="20">
        <f t="shared" si="8"/>
        <v>0</v>
      </c>
    </row>
    <row r="98" spans="1:16" x14ac:dyDescent="0.25">
      <c r="A98">
        <v>735043</v>
      </c>
      <c r="B98">
        <v>936</v>
      </c>
      <c r="C98">
        <v>108793</v>
      </c>
      <c r="D98" t="s">
        <v>13</v>
      </c>
      <c r="E98" t="s">
        <v>16</v>
      </c>
      <c r="F98" s="5">
        <v>63</v>
      </c>
      <c r="G98" s="5">
        <v>1357</v>
      </c>
      <c r="H98" s="5">
        <v>0</v>
      </c>
      <c r="I98" s="8">
        <v>0</v>
      </c>
      <c r="J98" s="5">
        <v>1</v>
      </c>
      <c r="K98" s="5">
        <v>1</v>
      </c>
      <c r="L98" s="14">
        <f t="shared" si="5"/>
        <v>0</v>
      </c>
      <c r="M98" s="14" t="str">
        <f t="shared" si="9"/>
        <v xml:space="preserve"> </v>
      </c>
      <c r="N98" s="20">
        <f t="shared" si="6"/>
        <v>0</v>
      </c>
      <c r="O98" s="14">
        <f t="shared" si="7"/>
        <v>0</v>
      </c>
      <c r="P98" s="20">
        <f t="shared" si="8"/>
        <v>0</v>
      </c>
    </row>
    <row r="99" spans="1:16" x14ac:dyDescent="0.25">
      <c r="A99">
        <v>735048</v>
      </c>
      <c r="B99">
        <v>936</v>
      </c>
      <c r="C99">
        <v>108794</v>
      </c>
      <c r="D99" t="s">
        <v>13</v>
      </c>
      <c r="E99" t="s">
        <v>16</v>
      </c>
      <c r="F99" s="5">
        <v>64</v>
      </c>
      <c r="G99" s="5">
        <v>1393</v>
      </c>
      <c r="H99" s="5">
        <v>0</v>
      </c>
      <c r="I99" s="8">
        <v>0</v>
      </c>
      <c r="J99" s="5">
        <v>1</v>
      </c>
      <c r="K99" s="5">
        <v>0</v>
      </c>
      <c r="L99" s="14">
        <f t="shared" si="5"/>
        <v>0</v>
      </c>
      <c r="M99" s="14" t="str">
        <f t="shared" si="9"/>
        <v xml:space="preserve"> </v>
      </c>
      <c r="N99" s="20">
        <f t="shared" si="6"/>
        <v>0</v>
      </c>
      <c r="O99" s="14" t="str">
        <f t="shared" si="7"/>
        <v xml:space="preserve"> </v>
      </c>
      <c r="P99" s="20">
        <f t="shared" si="8"/>
        <v>0</v>
      </c>
    </row>
    <row r="100" spans="1:16" x14ac:dyDescent="0.25">
      <c r="A100">
        <v>735065</v>
      </c>
      <c r="B100">
        <v>936</v>
      </c>
      <c r="C100">
        <v>108797</v>
      </c>
      <c r="D100" t="s">
        <v>14</v>
      </c>
      <c r="E100" t="s">
        <v>16</v>
      </c>
      <c r="F100" s="5">
        <v>7</v>
      </c>
      <c r="G100" s="5">
        <v>648</v>
      </c>
      <c r="H100" s="5">
        <v>0</v>
      </c>
      <c r="I100" s="8">
        <v>0</v>
      </c>
      <c r="J100" s="5">
        <v>1</v>
      </c>
      <c r="K100" s="5">
        <v>0</v>
      </c>
      <c r="L100" s="14">
        <f t="shared" si="5"/>
        <v>0</v>
      </c>
      <c r="M100" s="14" t="str">
        <f t="shared" si="9"/>
        <v xml:space="preserve"> </v>
      </c>
      <c r="N100" s="20">
        <f t="shared" si="6"/>
        <v>0</v>
      </c>
      <c r="O100" s="14" t="str">
        <f t="shared" si="7"/>
        <v xml:space="preserve"> </v>
      </c>
      <c r="P100" s="20">
        <f t="shared" si="8"/>
        <v>0</v>
      </c>
    </row>
    <row r="101" spans="1:16" x14ac:dyDescent="0.25">
      <c r="A101">
        <v>735109</v>
      </c>
      <c r="B101">
        <v>936</v>
      </c>
      <c r="C101">
        <v>108804</v>
      </c>
      <c r="D101" t="s">
        <v>14</v>
      </c>
      <c r="E101" t="s">
        <v>16</v>
      </c>
      <c r="F101" s="5">
        <v>21</v>
      </c>
      <c r="G101" s="5">
        <v>708</v>
      </c>
      <c r="H101" s="5">
        <v>0</v>
      </c>
      <c r="I101" s="8">
        <v>0</v>
      </c>
      <c r="J101" s="5">
        <v>1</v>
      </c>
      <c r="K101" s="5">
        <v>1</v>
      </c>
      <c r="L101" s="14">
        <f t="shared" si="5"/>
        <v>0</v>
      </c>
      <c r="M101" s="14" t="str">
        <f t="shared" si="9"/>
        <v xml:space="preserve"> </v>
      </c>
      <c r="N101" s="20">
        <f t="shared" si="6"/>
        <v>0</v>
      </c>
      <c r="O101" s="14">
        <f t="shared" si="7"/>
        <v>0</v>
      </c>
      <c r="P101" s="20">
        <f t="shared" si="8"/>
        <v>0</v>
      </c>
    </row>
    <row r="102" spans="1:16" x14ac:dyDescent="0.25">
      <c r="A102">
        <v>735140</v>
      </c>
      <c r="B102">
        <v>936</v>
      </c>
      <c r="C102">
        <v>108809</v>
      </c>
      <c r="D102" t="s">
        <v>14</v>
      </c>
      <c r="E102" t="s">
        <v>16</v>
      </c>
      <c r="F102" s="5">
        <v>26</v>
      </c>
      <c r="G102" s="5">
        <v>6907</v>
      </c>
      <c r="H102" s="5">
        <v>2</v>
      </c>
      <c r="I102" s="8">
        <v>2.3499999640000002</v>
      </c>
      <c r="J102" s="5">
        <v>1</v>
      </c>
      <c r="K102" s="5">
        <v>0</v>
      </c>
      <c r="L102" s="14">
        <f t="shared" si="5"/>
        <v>0.34023453945272913</v>
      </c>
      <c r="M102" s="14">
        <f t="shared" si="9"/>
        <v>1.1749999820000001</v>
      </c>
      <c r="N102" s="20">
        <f t="shared" si="6"/>
        <v>2.895613146083683E-4</v>
      </c>
      <c r="O102" s="14" t="str">
        <f t="shared" si="7"/>
        <v xml:space="preserve"> </v>
      </c>
      <c r="P102" s="20">
        <f t="shared" si="8"/>
        <v>0</v>
      </c>
    </row>
    <row r="103" spans="1:16" x14ac:dyDescent="0.25">
      <c r="A103">
        <v>735143</v>
      </c>
      <c r="B103">
        <v>936</v>
      </c>
      <c r="C103">
        <v>108810</v>
      </c>
      <c r="D103" t="s">
        <v>14</v>
      </c>
      <c r="E103" t="s">
        <v>16</v>
      </c>
      <c r="F103" s="5">
        <v>27</v>
      </c>
      <c r="G103" s="5">
        <v>39035</v>
      </c>
      <c r="H103" s="5">
        <v>13</v>
      </c>
      <c r="I103" s="8">
        <v>19.329999569999998</v>
      </c>
      <c r="J103" s="5">
        <v>1</v>
      </c>
      <c r="K103" s="5">
        <v>0</v>
      </c>
      <c r="L103" s="14">
        <f t="shared" si="5"/>
        <v>0.49519660740361204</v>
      </c>
      <c r="M103" s="14">
        <f t="shared" si="9"/>
        <v>1.4869230438461538</v>
      </c>
      <c r="N103" s="20">
        <f t="shared" si="6"/>
        <v>3.330344562572051E-4</v>
      </c>
      <c r="O103" s="14" t="str">
        <f t="shared" si="7"/>
        <v xml:space="preserve"> </v>
      </c>
      <c r="P103" s="20">
        <f t="shared" si="8"/>
        <v>0</v>
      </c>
    </row>
    <row r="104" spans="1:16" x14ac:dyDescent="0.25">
      <c r="A104">
        <v>735151</v>
      </c>
      <c r="B104">
        <v>936</v>
      </c>
      <c r="C104">
        <v>108811</v>
      </c>
      <c r="D104" t="s">
        <v>14</v>
      </c>
      <c r="E104" t="s">
        <v>16</v>
      </c>
      <c r="F104" s="5">
        <v>28</v>
      </c>
      <c r="G104" s="5">
        <v>926</v>
      </c>
      <c r="H104" s="5">
        <v>0</v>
      </c>
      <c r="I104" s="8">
        <v>0</v>
      </c>
      <c r="J104" s="5">
        <v>1</v>
      </c>
      <c r="K104" s="5">
        <v>0</v>
      </c>
      <c r="L104" s="14">
        <f t="shared" si="5"/>
        <v>0</v>
      </c>
      <c r="M104" s="14" t="str">
        <f t="shared" si="9"/>
        <v xml:space="preserve"> </v>
      </c>
      <c r="N104" s="20">
        <f t="shared" si="6"/>
        <v>0</v>
      </c>
      <c r="O104" s="14" t="str">
        <f t="shared" si="7"/>
        <v xml:space="preserve"> </v>
      </c>
      <c r="P104" s="20">
        <f t="shared" si="8"/>
        <v>0</v>
      </c>
    </row>
    <row r="105" spans="1:16" x14ac:dyDescent="0.25">
      <c r="A105">
        <v>735184</v>
      </c>
      <c r="B105">
        <v>936</v>
      </c>
      <c r="C105">
        <v>108817</v>
      </c>
      <c r="D105" t="s">
        <v>14</v>
      </c>
      <c r="E105" t="s">
        <v>16</v>
      </c>
      <c r="F105" s="5">
        <v>63</v>
      </c>
      <c r="G105" s="5">
        <v>4412</v>
      </c>
      <c r="H105" s="5">
        <v>1</v>
      </c>
      <c r="I105" s="8">
        <v>1.4500000479999999</v>
      </c>
      <c r="J105" s="5">
        <v>1</v>
      </c>
      <c r="K105" s="5">
        <v>0</v>
      </c>
      <c r="L105" s="14">
        <f t="shared" si="5"/>
        <v>0.32864914959202174</v>
      </c>
      <c r="M105" s="14">
        <f t="shared" si="9"/>
        <v>1.4500000479999999</v>
      </c>
      <c r="N105" s="20">
        <f t="shared" si="6"/>
        <v>2.2665457842248413E-4</v>
      </c>
      <c r="O105" s="14" t="str">
        <f t="shared" si="7"/>
        <v xml:space="preserve"> </v>
      </c>
      <c r="P105" s="20">
        <f t="shared" si="8"/>
        <v>0</v>
      </c>
    </row>
    <row r="106" spans="1:16" x14ac:dyDescent="0.25">
      <c r="A106">
        <v>735189</v>
      </c>
      <c r="B106">
        <v>936</v>
      </c>
      <c r="C106">
        <v>108818</v>
      </c>
      <c r="D106" t="s">
        <v>14</v>
      </c>
      <c r="E106" t="s">
        <v>16</v>
      </c>
      <c r="F106" s="5">
        <v>64</v>
      </c>
      <c r="G106" s="5">
        <v>9965</v>
      </c>
      <c r="H106" s="5">
        <v>3</v>
      </c>
      <c r="I106" s="8">
        <v>4.0500000719999996</v>
      </c>
      <c r="J106" s="5">
        <v>1</v>
      </c>
      <c r="K106" s="5">
        <v>0</v>
      </c>
      <c r="L106" s="14">
        <f t="shared" si="5"/>
        <v>0.40642248590065222</v>
      </c>
      <c r="M106" s="14">
        <f t="shared" si="9"/>
        <v>1.3500000239999999</v>
      </c>
      <c r="N106" s="20">
        <f t="shared" si="6"/>
        <v>3.0105368790767686E-4</v>
      </c>
      <c r="O106" s="14" t="str">
        <f t="shared" si="7"/>
        <v xml:space="preserve"> </v>
      </c>
      <c r="P106" s="20">
        <f t="shared" si="8"/>
        <v>0</v>
      </c>
    </row>
    <row r="107" spans="1:16" x14ac:dyDescent="0.25">
      <c r="A107">
        <v>735213</v>
      </c>
      <c r="B107">
        <v>936</v>
      </c>
      <c r="C107">
        <v>108822</v>
      </c>
      <c r="D107" t="s">
        <v>15</v>
      </c>
      <c r="E107" t="s">
        <v>16</v>
      </c>
      <c r="F107" s="5">
        <v>10</v>
      </c>
      <c r="G107" s="5">
        <v>73634</v>
      </c>
      <c r="H107" s="5">
        <v>23</v>
      </c>
      <c r="I107" s="8">
        <v>32.97999978</v>
      </c>
      <c r="J107" s="5">
        <v>1</v>
      </c>
      <c r="K107" s="5">
        <v>0</v>
      </c>
      <c r="L107" s="14">
        <f t="shared" si="5"/>
        <v>0.44789091696770517</v>
      </c>
      <c r="M107" s="14">
        <f t="shared" si="9"/>
        <v>1.4339130339130435</v>
      </c>
      <c r="N107" s="20">
        <f t="shared" si="6"/>
        <v>3.1235570524485969E-4</v>
      </c>
      <c r="O107" s="14" t="str">
        <f t="shared" si="7"/>
        <v xml:space="preserve"> </v>
      </c>
      <c r="P107" s="20">
        <f t="shared" si="8"/>
        <v>0</v>
      </c>
    </row>
    <row r="108" spans="1:16" x14ac:dyDescent="0.25">
      <c r="A108">
        <v>735220</v>
      </c>
      <c r="B108">
        <v>936</v>
      </c>
      <c r="C108">
        <v>108823</v>
      </c>
      <c r="D108" t="s">
        <v>15</v>
      </c>
      <c r="E108" t="s">
        <v>16</v>
      </c>
      <c r="F108" s="5">
        <v>15</v>
      </c>
      <c r="G108" s="5">
        <v>69708</v>
      </c>
      <c r="H108" s="5">
        <v>20</v>
      </c>
      <c r="I108" s="8">
        <v>31.28999949</v>
      </c>
      <c r="J108" s="5">
        <v>1</v>
      </c>
      <c r="K108" s="5">
        <v>0</v>
      </c>
      <c r="L108" s="14">
        <f t="shared" si="5"/>
        <v>0.44887243200206572</v>
      </c>
      <c r="M108" s="14">
        <f t="shared" si="9"/>
        <v>1.5644999744999999</v>
      </c>
      <c r="N108" s="20">
        <f t="shared" si="6"/>
        <v>2.8691111493659262E-4</v>
      </c>
      <c r="O108" s="14" t="str">
        <f t="shared" si="7"/>
        <v xml:space="preserve"> </v>
      </c>
      <c r="P108" s="20">
        <f t="shared" si="8"/>
        <v>0</v>
      </c>
    </row>
    <row r="109" spans="1:16" x14ac:dyDescent="0.25">
      <c r="A109">
        <v>735242</v>
      </c>
      <c r="B109">
        <v>936</v>
      </c>
      <c r="C109">
        <v>108826</v>
      </c>
      <c r="D109" t="s">
        <v>15</v>
      </c>
      <c r="E109" t="s">
        <v>16</v>
      </c>
      <c r="F109" s="5">
        <v>19</v>
      </c>
      <c r="G109" s="5">
        <v>530</v>
      </c>
      <c r="H109" s="5">
        <v>0</v>
      </c>
      <c r="I109" s="8">
        <v>0</v>
      </c>
      <c r="J109" s="5">
        <v>1</v>
      </c>
      <c r="K109" s="5">
        <v>0</v>
      </c>
      <c r="L109" s="14">
        <f t="shared" si="5"/>
        <v>0</v>
      </c>
      <c r="M109" s="14" t="str">
        <f t="shared" si="9"/>
        <v xml:space="preserve"> </v>
      </c>
      <c r="N109" s="20">
        <f t="shared" si="6"/>
        <v>0</v>
      </c>
      <c r="O109" s="14" t="str">
        <f t="shared" si="7"/>
        <v xml:space="preserve"> </v>
      </c>
      <c r="P109" s="20">
        <f t="shared" si="8"/>
        <v>0</v>
      </c>
    </row>
    <row r="110" spans="1:16" x14ac:dyDescent="0.25">
      <c r="A110">
        <v>735247</v>
      </c>
      <c r="B110">
        <v>936</v>
      </c>
      <c r="C110">
        <v>108827</v>
      </c>
      <c r="D110" t="s">
        <v>15</v>
      </c>
      <c r="E110" t="s">
        <v>16</v>
      </c>
      <c r="F110" s="5">
        <v>20</v>
      </c>
      <c r="G110" s="5">
        <v>14257</v>
      </c>
      <c r="H110" s="5">
        <v>6</v>
      </c>
      <c r="I110" s="8">
        <v>8.7899999619999996</v>
      </c>
      <c r="J110" s="5">
        <v>1</v>
      </c>
      <c r="K110" s="5">
        <v>0</v>
      </c>
      <c r="L110" s="14">
        <f t="shared" si="5"/>
        <v>0.61653924121484172</v>
      </c>
      <c r="M110" s="14">
        <f t="shared" si="9"/>
        <v>1.4649999936666667</v>
      </c>
      <c r="N110" s="20">
        <f t="shared" si="6"/>
        <v>4.2084590025952165E-4</v>
      </c>
      <c r="O110" s="14" t="str">
        <f t="shared" si="7"/>
        <v xml:space="preserve"> </v>
      </c>
      <c r="P110" s="20">
        <f t="shared" si="8"/>
        <v>0</v>
      </c>
    </row>
    <row r="111" spans="1:16" x14ac:dyDescent="0.25">
      <c r="A111">
        <v>735289</v>
      </c>
      <c r="B111">
        <v>936</v>
      </c>
      <c r="C111">
        <v>108834</v>
      </c>
      <c r="D111" t="s">
        <v>15</v>
      </c>
      <c r="E111" t="s">
        <v>16</v>
      </c>
      <c r="F111" s="5">
        <v>27</v>
      </c>
      <c r="G111" s="5">
        <v>20362</v>
      </c>
      <c r="H111" s="5">
        <v>5</v>
      </c>
      <c r="I111" s="8">
        <v>9.1199998860000004</v>
      </c>
      <c r="J111" s="5">
        <v>1</v>
      </c>
      <c r="K111" s="5">
        <v>1</v>
      </c>
      <c r="L111" s="14">
        <f t="shared" si="5"/>
        <v>0.44789312867105396</v>
      </c>
      <c r="M111" s="14">
        <f t="shared" si="9"/>
        <v>1.8239999772000002</v>
      </c>
      <c r="N111" s="20">
        <f t="shared" si="6"/>
        <v>2.4555544641980157E-4</v>
      </c>
      <c r="O111" s="14">
        <f t="shared" si="7"/>
        <v>9.1199998860000004</v>
      </c>
      <c r="P111" s="20">
        <f t="shared" si="8"/>
        <v>0.2</v>
      </c>
    </row>
    <row r="112" spans="1:16" x14ac:dyDescent="0.25">
      <c r="A112">
        <v>735290</v>
      </c>
      <c r="B112">
        <v>936</v>
      </c>
      <c r="C112">
        <v>108834</v>
      </c>
      <c r="D112" t="s">
        <v>15</v>
      </c>
      <c r="E112" t="s">
        <v>16</v>
      </c>
      <c r="F112" s="5">
        <v>27</v>
      </c>
      <c r="G112" s="5">
        <v>12215</v>
      </c>
      <c r="H112" s="5">
        <v>4</v>
      </c>
      <c r="I112" s="8">
        <v>6.26000011</v>
      </c>
      <c r="J112" s="5">
        <v>1</v>
      </c>
      <c r="K112" s="5">
        <v>0</v>
      </c>
      <c r="L112" s="14">
        <f t="shared" si="5"/>
        <v>0.51248465902578799</v>
      </c>
      <c r="M112" s="14">
        <f t="shared" si="9"/>
        <v>1.5650000275</v>
      </c>
      <c r="N112" s="20">
        <f t="shared" si="6"/>
        <v>3.2746623004502659E-4</v>
      </c>
      <c r="O112" s="14" t="str">
        <f t="shared" si="7"/>
        <v xml:space="preserve"> </v>
      </c>
      <c r="P112" s="20">
        <f t="shared" si="8"/>
        <v>0</v>
      </c>
    </row>
    <row r="113" spans="1:16" x14ac:dyDescent="0.25">
      <c r="A113">
        <v>735298</v>
      </c>
      <c r="B113">
        <v>936</v>
      </c>
      <c r="C113">
        <v>108836</v>
      </c>
      <c r="D113" t="s">
        <v>15</v>
      </c>
      <c r="E113" t="s">
        <v>16</v>
      </c>
      <c r="F113" s="5">
        <v>29</v>
      </c>
      <c r="G113" s="5">
        <v>85412</v>
      </c>
      <c r="H113" s="5">
        <v>28</v>
      </c>
      <c r="I113" s="8">
        <v>38.63999999</v>
      </c>
      <c r="J113" s="5">
        <v>2</v>
      </c>
      <c r="K113" s="5">
        <v>1</v>
      </c>
      <c r="L113" s="14">
        <f t="shared" si="5"/>
        <v>0.45239544782934482</v>
      </c>
      <c r="M113" s="14">
        <f t="shared" si="9"/>
        <v>1.3799999996428571</v>
      </c>
      <c r="N113" s="20">
        <f t="shared" si="6"/>
        <v>3.2782278836697421E-4</v>
      </c>
      <c r="O113" s="14">
        <f t="shared" si="7"/>
        <v>38.63999999</v>
      </c>
      <c r="P113" s="20">
        <f t="shared" si="8"/>
        <v>3.5714285714285712E-2</v>
      </c>
    </row>
    <row r="114" spans="1:16" x14ac:dyDescent="0.25">
      <c r="A114">
        <v>736869</v>
      </c>
      <c r="B114">
        <v>936</v>
      </c>
      <c r="C114">
        <v>109448</v>
      </c>
      <c r="D114" t="s">
        <v>11</v>
      </c>
      <c r="E114" t="s">
        <v>12</v>
      </c>
      <c r="F114" s="5">
        <v>2</v>
      </c>
      <c r="G114" s="5">
        <v>2338</v>
      </c>
      <c r="H114" s="5">
        <v>1</v>
      </c>
      <c r="I114" s="8">
        <v>0.23999999499999999</v>
      </c>
      <c r="J114" s="5">
        <v>1</v>
      </c>
      <c r="K114" s="5">
        <v>0</v>
      </c>
      <c r="L114" s="14">
        <f t="shared" si="5"/>
        <v>0.10265183704020529</v>
      </c>
      <c r="M114" s="14">
        <f t="shared" si="9"/>
        <v>0.23999999499999999</v>
      </c>
      <c r="N114" s="20">
        <f t="shared" si="6"/>
        <v>4.2771599657827201E-4</v>
      </c>
      <c r="O114" s="14" t="str">
        <f t="shared" si="7"/>
        <v xml:space="preserve"> </v>
      </c>
      <c r="P114" s="20">
        <f t="shared" si="8"/>
        <v>0</v>
      </c>
    </row>
    <row r="115" spans="1:16" x14ac:dyDescent="0.25">
      <c r="A115">
        <v>736890</v>
      </c>
      <c r="B115">
        <v>936</v>
      </c>
      <c r="C115">
        <v>109451</v>
      </c>
      <c r="D115" t="s">
        <v>11</v>
      </c>
      <c r="E115" t="s">
        <v>12</v>
      </c>
      <c r="F115" s="5">
        <v>15</v>
      </c>
      <c r="G115" s="5">
        <v>2522</v>
      </c>
      <c r="H115" s="5">
        <v>0</v>
      </c>
      <c r="I115" s="8">
        <v>0</v>
      </c>
      <c r="J115" s="5">
        <v>1</v>
      </c>
      <c r="K115" s="5">
        <v>0</v>
      </c>
      <c r="L115" s="14">
        <f t="shared" si="5"/>
        <v>0</v>
      </c>
      <c r="M115" s="14" t="str">
        <f t="shared" si="9"/>
        <v xml:space="preserve"> </v>
      </c>
      <c r="N115" s="20">
        <f t="shared" si="6"/>
        <v>0</v>
      </c>
      <c r="O115" s="14" t="str">
        <f t="shared" si="7"/>
        <v xml:space="preserve"> </v>
      </c>
      <c r="P115" s="20">
        <f t="shared" si="8"/>
        <v>0</v>
      </c>
    </row>
    <row r="116" spans="1:16" x14ac:dyDescent="0.25">
      <c r="A116">
        <v>736893</v>
      </c>
      <c r="B116">
        <v>936</v>
      </c>
      <c r="C116">
        <v>109452</v>
      </c>
      <c r="D116" t="s">
        <v>11</v>
      </c>
      <c r="E116" t="s">
        <v>12</v>
      </c>
      <c r="F116" s="5">
        <v>16</v>
      </c>
      <c r="G116" s="5">
        <v>3587</v>
      </c>
      <c r="H116" s="5">
        <v>0</v>
      </c>
      <c r="I116" s="8">
        <v>0</v>
      </c>
      <c r="J116" s="5">
        <v>1</v>
      </c>
      <c r="K116" s="5">
        <v>0</v>
      </c>
      <c r="L116" s="14">
        <f t="shared" si="5"/>
        <v>0</v>
      </c>
      <c r="M116" s="14" t="str">
        <f t="shared" si="9"/>
        <v xml:space="preserve"> </v>
      </c>
      <c r="N116" s="20">
        <f t="shared" si="6"/>
        <v>0</v>
      </c>
      <c r="O116" s="14" t="str">
        <f t="shared" si="7"/>
        <v xml:space="preserve"> </v>
      </c>
      <c r="P116" s="20">
        <f t="shared" si="8"/>
        <v>0</v>
      </c>
    </row>
    <row r="117" spans="1:16" x14ac:dyDescent="0.25">
      <c r="A117">
        <v>736977</v>
      </c>
      <c r="B117">
        <v>936</v>
      </c>
      <c r="C117">
        <v>109470</v>
      </c>
      <c r="D117" t="s">
        <v>11</v>
      </c>
      <c r="E117" t="s">
        <v>12</v>
      </c>
      <c r="F117" s="5">
        <v>27</v>
      </c>
      <c r="G117" s="5">
        <v>1273</v>
      </c>
      <c r="H117" s="5">
        <v>0</v>
      </c>
      <c r="I117" s="8">
        <v>0</v>
      </c>
      <c r="J117" s="5">
        <v>1</v>
      </c>
      <c r="K117" s="5">
        <v>0</v>
      </c>
      <c r="L117" s="14">
        <f t="shared" si="5"/>
        <v>0</v>
      </c>
      <c r="M117" s="14" t="str">
        <f t="shared" si="9"/>
        <v xml:space="preserve"> </v>
      </c>
      <c r="N117" s="20">
        <f t="shared" si="6"/>
        <v>0</v>
      </c>
      <c r="O117" s="14" t="str">
        <f t="shared" si="7"/>
        <v xml:space="preserve"> </v>
      </c>
      <c r="P117" s="20">
        <f t="shared" si="8"/>
        <v>0</v>
      </c>
    </row>
    <row r="118" spans="1:16" x14ac:dyDescent="0.25">
      <c r="A118">
        <v>736988</v>
      </c>
      <c r="B118">
        <v>936</v>
      </c>
      <c r="C118">
        <v>109472</v>
      </c>
      <c r="D118" t="s">
        <v>11</v>
      </c>
      <c r="E118" t="s">
        <v>12</v>
      </c>
      <c r="F118" s="5">
        <v>28</v>
      </c>
      <c r="G118" s="5">
        <v>3891</v>
      </c>
      <c r="H118" s="5">
        <v>1</v>
      </c>
      <c r="I118" s="8">
        <v>1.0900000329999999</v>
      </c>
      <c r="J118" s="5">
        <v>1</v>
      </c>
      <c r="K118" s="5">
        <v>0</v>
      </c>
      <c r="L118" s="14">
        <f t="shared" si="5"/>
        <v>0.28013365021845282</v>
      </c>
      <c r="M118" s="14">
        <f t="shared" si="9"/>
        <v>1.0900000329999999</v>
      </c>
      <c r="N118" s="20">
        <f t="shared" si="6"/>
        <v>2.5700334104343357E-4</v>
      </c>
      <c r="O118" s="14" t="str">
        <f t="shared" si="7"/>
        <v xml:space="preserve"> </v>
      </c>
      <c r="P118" s="20">
        <f t="shared" si="8"/>
        <v>0</v>
      </c>
    </row>
    <row r="119" spans="1:16" x14ac:dyDescent="0.25">
      <c r="A119">
        <v>736995</v>
      </c>
      <c r="B119">
        <v>936</v>
      </c>
      <c r="C119">
        <v>109473</v>
      </c>
      <c r="D119" t="s">
        <v>11</v>
      </c>
      <c r="E119" t="s">
        <v>12</v>
      </c>
      <c r="F119" s="5">
        <v>29</v>
      </c>
      <c r="G119" s="5">
        <v>1888</v>
      </c>
      <c r="H119" s="5">
        <v>0</v>
      </c>
      <c r="I119" s="8">
        <v>0</v>
      </c>
      <c r="J119" s="5">
        <v>1</v>
      </c>
      <c r="K119" s="5">
        <v>0</v>
      </c>
      <c r="L119" s="14">
        <f t="shared" si="5"/>
        <v>0</v>
      </c>
      <c r="M119" s="14" t="str">
        <f t="shared" si="9"/>
        <v xml:space="preserve"> </v>
      </c>
      <c r="N119" s="20">
        <f t="shared" si="6"/>
        <v>0</v>
      </c>
      <c r="O119" s="14" t="str">
        <f t="shared" si="7"/>
        <v xml:space="preserve"> </v>
      </c>
      <c r="P119" s="20">
        <f t="shared" si="8"/>
        <v>0</v>
      </c>
    </row>
    <row r="120" spans="1:16" x14ac:dyDescent="0.25">
      <c r="A120">
        <v>736997</v>
      </c>
      <c r="B120">
        <v>936</v>
      </c>
      <c r="C120">
        <v>109473</v>
      </c>
      <c r="D120" t="s">
        <v>11</v>
      </c>
      <c r="E120" t="s">
        <v>12</v>
      </c>
      <c r="F120" s="5">
        <v>29</v>
      </c>
      <c r="G120" s="5">
        <v>1895</v>
      </c>
      <c r="H120" s="5">
        <v>0</v>
      </c>
      <c r="I120" s="8">
        <v>0</v>
      </c>
      <c r="J120" s="5">
        <v>1</v>
      </c>
      <c r="K120" s="5">
        <v>0</v>
      </c>
      <c r="L120" s="14">
        <f t="shared" si="5"/>
        <v>0</v>
      </c>
      <c r="M120" s="14" t="str">
        <f t="shared" si="9"/>
        <v xml:space="preserve"> </v>
      </c>
      <c r="N120" s="20">
        <f t="shared" si="6"/>
        <v>0</v>
      </c>
      <c r="O120" s="14" t="str">
        <f t="shared" si="7"/>
        <v xml:space="preserve"> </v>
      </c>
      <c r="P120" s="20">
        <f t="shared" si="8"/>
        <v>0</v>
      </c>
    </row>
    <row r="121" spans="1:16" x14ac:dyDescent="0.25">
      <c r="A121">
        <v>737097</v>
      </c>
      <c r="B121">
        <v>936</v>
      </c>
      <c r="C121">
        <v>109498</v>
      </c>
      <c r="D121" t="s">
        <v>13</v>
      </c>
      <c r="E121" t="s">
        <v>12</v>
      </c>
      <c r="F121" s="5">
        <v>7</v>
      </c>
      <c r="G121" s="5">
        <v>715</v>
      </c>
      <c r="H121" s="5">
        <v>0</v>
      </c>
      <c r="I121" s="8">
        <v>0</v>
      </c>
      <c r="J121" s="5">
        <v>1</v>
      </c>
      <c r="K121" s="5">
        <v>0</v>
      </c>
      <c r="L121" s="14">
        <f t="shared" si="5"/>
        <v>0</v>
      </c>
      <c r="M121" s="14" t="str">
        <f t="shared" si="9"/>
        <v xml:space="preserve"> </v>
      </c>
      <c r="N121" s="20">
        <f t="shared" si="6"/>
        <v>0</v>
      </c>
      <c r="O121" s="14" t="str">
        <f t="shared" si="7"/>
        <v xml:space="preserve"> </v>
      </c>
      <c r="P121" s="20">
        <f t="shared" si="8"/>
        <v>0</v>
      </c>
    </row>
    <row r="122" spans="1:16" x14ac:dyDescent="0.25">
      <c r="A122">
        <v>737130</v>
      </c>
      <c r="B122">
        <v>936</v>
      </c>
      <c r="C122">
        <v>109507</v>
      </c>
      <c r="D122" t="s">
        <v>13</v>
      </c>
      <c r="E122" t="s">
        <v>12</v>
      </c>
      <c r="F122" s="5">
        <v>16</v>
      </c>
      <c r="G122" s="5">
        <v>11199</v>
      </c>
      <c r="H122" s="5">
        <v>2</v>
      </c>
      <c r="I122" s="8">
        <v>2.6800000669999999</v>
      </c>
      <c r="J122" s="5">
        <v>1</v>
      </c>
      <c r="K122" s="5">
        <v>0</v>
      </c>
      <c r="L122" s="14">
        <f t="shared" si="5"/>
        <v>0.23930708697205108</v>
      </c>
      <c r="M122" s="14">
        <f t="shared" si="9"/>
        <v>1.3400000335</v>
      </c>
      <c r="N122" s="20">
        <f t="shared" si="6"/>
        <v>1.7858737387266719E-4</v>
      </c>
      <c r="O122" s="14" t="str">
        <f t="shared" si="7"/>
        <v xml:space="preserve"> </v>
      </c>
      <c r="P122" s="20">
        <f t="shared" si="8"/>
        <v>0</v>
      </c>
    </row>
    <row r="123" spans="1:16" x14ac:dyDescent="0.25">
      <c r="A123">
        <v>737320</v>
      </c>
      <c r="B123">
        <v>936</v>
      </c>
      <c r="C123">
        <v>109553</v>
      </c>
      <c r="D123" t="s">
        <v>13</v>
      </c>
      <c r="E123" t="s">
        <v>12</v>
      </c>
      <c r="F123" s="5">
        <v>63</v>
      </c>
      <c r="G123" s="5">
        <v>5676</v>
      </c>
      <c r="H123" s="5">
        <v>2</v>
      </c>
      <c r="I123" s="8">
        <v>3.0099999899999998</v>
      </c>
      <c r="J123" s="5">
        <v>1</v>
      </c>
      <c r="K123" s="5">
        <v>0</v>
      </c>
      <c r="L123" s="14">
        <f t="shared" si="5"/>
        <v>0.53030302854122624</v>
      </c>
      <c r="M123" s="14">
        <f t="shared" si="9"/>
        <v>1.5049999949999999</v>
      </c>
      <c r="N123" s="20">
        <f t="shared" si="6"/>
        <v>3.5236081747709656E-4</v>
      </c>
      <c r="O123" s="14" t="str">
        <f t="shared" si="7"/>
        <v xml:space="preserve"> </v>
      </c>
      <c r="P123" s="20">
        <f t="shared" si="8"/>
        <v>0</v>
      </c>
    </row>
    <row r="124" spans="1:16" x14ac:dyDescent="0.25">
      <c r="A124">
        <v>737375</v>
      </c>
      <c r="B124">
        <v>936</v>
      </c>
      <c r="C124">
        <v>109565</v>
      </c>
      <c r="D124" t="s">
        <v>14</v>
      </c>
      <c r="E124" t="s">
        <v>12</v>
      </c>
      <c r="F124" s="5">
        <v>10</v>
      </c>
      <c r="G124" s="5">
        <v>1415</v>
      </c>
      <c r="H124" s="5">
        <v>0</v>
      </c>
      <c r="I124" s="8">
        <v>0</v>
      </c>
      <c r="J124" s="5">
        <v>1</v>
      </c>
      <c r="K124" s="5">
        <v>0</v>
      </c>
      <c r="L124" s="14">
        <f t="shared" si="5"/>
        <v>0</v>
      </c>
      <c r="M124" s="14" t="str">
        <f t="shared" si="9"/>
        <v xml:space="preserve"> </v>
      </c>
      <c r="N124" s="20">
        <f t="shared" si="6"/>
        <v>0</v>
      </c>
      <c r="O124" s="14" t="str">
        <f t="shared" si="7"/>
        <v xml:space="preserve"> </v>
      </c>
      <c r="P124" s="20">
        <f t="shared" si="8"/>
        <v>0</v>
      </c>
    </row>
    <row r="125" spans="1:16" x14ac:dyDescent="0.25">
      <c r="A125">
        <v>737524</v>
      </c>
      <c r="B125">
        <v>936</v>
      </c>
      <c r="C125">
        <v>109601</v>
      </c>
      <c r="D125" t="s">
        <v>14</v>
      </c>
      <c r="E125" t="s">
        <v>12</v>
      </c>
      <c r="F125" s="5">
        <v>30</v>
      </c>
      <c r="G125" s="5">
        <v>2148</v>
      </c>
      <c r="H125" s="5">
        <v>1</v>
      </c>
      <c r="I125" s="8">
        <v>1.5800000430000001</v>
      </c>
      <c r="J125" s="5">
        <v>1</v>
      </c>
      <c r="K125" s="5">
        <v>1</v>
      </c>
      <c r="L125" s="14">
        <f t="shared" si="5"/>
        <v>0.73556799022346364</v>
      </c>
      <c r="M125" s="14">
        <f t="shared" si="9"/>
        <v>1.5800000430000001</v>
      </c>
      <c r="N125" s="20">
        <f t="shared" si="6"/>
        <v>4.6554934823091247E-4</v>
      </c>
      <c r="O125" s="14">
        <f t="shared" si="7"/>
        <v>1.5800000430000001</v>
      </c>
      <c r="P125" s="20">
        <f t="shared" si="8"/>
        <v>1</v>
      </c>
    </row>
    <row r="126" spans="1:16" x14ac:dyDescent="0.25">
      <c r="A126">
        <v>737644</v>
      </c>
      <c r="B126">
        <v>936</v>
      </c>
      <c r="C126">
        <v>109629</v>
      </c>
      <c r="D126" t="s">
        <v>15</v>
      </c>
      <c r="E126" t="s">
        <v>12</v>
      </c>
      <c r="F126" s="5">
        <v>16</v>
      </c>
      <c r="G126" s="5">
        <v>45401</v>
      </c>
      <c r="H126" s="5">
        <v>10</v>
      </c>
      <c r="I126" s="8">
        <v>14.06000042</v>
      </c>
      <c r="J126" s="5">
        <v>1</v>
      </c>
      <c r="K126" s="5">
        <v>0</v>
      </c>
      <c r="L126" s="14">
        <f t="shared" si="5"/>
        <v>0.30968481795555158</v>
      </c>
      <c r="M126" s="14">
        <f t="shared" si="9"/>
        <v>1.4060000420000001</v>
      </c>
      <c r="N126" s="20">
        <f t="shared" si="6"/>
        <v>2.2025946565053632E-4</v>
      </c>
      <c r="O126" s="14" t="str">
        <f t="shared" si="7"/>
        <v xml:space="preserve"> </v>
      </c>
      <c r="P126" s="20">
        <f t="shared" si="8"/>
        <v>0</v>
      </c>
    </row>
    <row r="127" spans="1:16" x14ac:dyDescent="0.25">
      <c r="A127">
        <v>737657</v>
      </c>
      <c r="B127">
        <v>936</v>
      </c>
      <c r="C127">
        <v>109633</v>
      </c>
      <c r="D127" t="s">
        <v>15</v>
      </c>
      <c r="E127" t="s">
        <v>12</v>
      </c>
      <c r="F127" s="5">
        <v>18</v>
      </c>
      <c r="G127" s="5">
        <v>7478</v>
      </c>
      <c r="H127" s="5">
        <v>2</v>
      </c>
      <c r="I127" s="8">
        <v>2.9000000950000002</v>
      </c>
      <c r="J127" s="5">
        <v>1</v>
      </c>
      <c r="K127" s="5">
        <v>1</v>
      </c>
      <c r="L127" s="14">
        <f t="shared" si="5"/>
        <v>0.38780423843273609</v>
      </c>
      <c r="M127" s="14">
        <f t="shared" si="9"/>
        <v>1.4500000475000001</v>
      </c>
      <c r="N127" s="20">
        <f t="shared" si="6"/>
        <v>2.6745119015779618E-4</v>
      </c>
      <c r="O127" s="14">
        <f t="shared" si="7"/>
        <v>2.9000000950000002</v>
      </c>
      <c r="P127" s="20">
        <f t="shared" si="8"/>
        <v>0.5</v>
      </c>
    </row>
    <row r="128" spans="1:16" x14ac:dyDescent="0.25">
      <c r="A128">
        <v>737658</v>
      </c>
      <c r="B128">
        <v>936</v>
      </c>
      <c r="C128">
        <v>109633</v>
      </c>
      <c r="D128" t="s">
        <v>15</v>
      </c>
      <c r="E128" t="s">
        <v>12</v>
      </c>
      <c r="F128" s="5">
        <v>18</v>
      </c>
      <c r="G128" s="5">
        <v>4919</v>
      </c>
      <c r="H128" s="5">
        <v>1</v>
      </c>
      <c r="I128" s="8">
        <v>1.5900000329999999</v>
      </c>
      <c r="J128" s="5">
        <v>1</v>
      </c>
      <c r="K128" s="5">
        <v>0</v>
      </c>
      <c r="L128" s="14">
        <f t="shared" si="5"/>
        <v>0.3232364368774141</v>
      </c>
      <c r="M128" s="14">
        <f t="shared" si="9"/>
        <v>1.5900000329999999</v>
      </c>
      <c r="N128" s="20">
        <f t="shared" si="6"/>
        <v>2.0329335230737954E-4</v>
      </c>
      <c r="O128" s="14" t="str">
        <f t="shared" si="7"/>
        <v xml:space="preserve"> </v>
      </c>
      <c r="P128" s="20">
        <f t="shared" si="8"/>
        <v>0</v>
      </c>
    </row>
    <row r="129" spans="1:16" x14ac:dyDescent="0.25">
      <c r="A129">
        <v>737674</v>
      </c>
      <c r="B129">
        <v>936</v>
      </c>
      <c r="C129">
        <v>109637</v>
      </c>
      <c r="D129" t="s">
        <v>15</v>
      </c>
      <c r="E129" t="s">
        <v>12</v>
      </c>
      <c r="F129" s="5">
        <v>20</v>
      </c>
      <c r="G129" s="5">
        <v>533</v>
      </c>
      <c r="H129" s="5">
        <v>0</v>
      </c>
      <c r="I129" s="8">
        <v>0</v>
      </c>
      <c r="J129" s="5">
        <v>1</v>
      </c>
      <c r="K129" s="5">
        <v>1</v>
      </c>
      <c r="L129" s="14">
        <f t="shared" si="5"/>
        <v>0</v>
      </c>
      <c r="M129" s="14" t="str">
        <f t="shared" si="9"/>
        <v xml:space="preserve"> </v>
      </c>
      <c r="N129" s="20">
        <f t="shared" si="6"/>
        <v>0</v>
      </c>
      <c r="O129" s="14">
        <f t="shared" si="7"/>
        <v>0</v>
      </c>
      <c r="P129" s="20">
        <f t="shared" si="8"/>
        <v>0</v>
      </c>
    </row>
    <row r="130" spans="1:16" x14ac:dyDescent="0.25">
      <c r="A130">
        <v>737766</v>
      </c>
      <c r="B130">
        <v>936</v>
      </c>
      <c r="C130">
        <v>109659</v>
      </c>
      <c r="D130" t="s">
        <v>15</v>
      </c>
      <c r="E130" t="s">
        <v>12</v>
      </c>
      <c r="F130" s="5">
        <v>29</v>
      </c>
      <c r="G130" s="5">
        <v>1447</v>
      </c>
      <c r="H130" s="5">
        <v>0</v>
      </c>
      <c r="I130" s="8">
        <v>0</v>
      </c>
      <c r="J130" s="5">
        <v>1</v>
      </c>
      <c r="K130" s="5">
        <v>1</v>
      </c>
      <c r="L130" s="14">
        <f t="shared" si="5"/>
        <v>0</v>
      </c>
      <c r="M130" s="14" t="str">
        <f t="shared" si="9"/>
        <v xml:space="preserve"> </v>
      </c>
      <c r="N130" s="20">
        <f t="shared" si="6"/>
        <v>0</v>
      </c>
      <c r="O130" s="14">
        <f t="shared" si="7"/>
        <v>0</v>
      </c>
      <c r="P130" s="20">
        <f t="shared" si="8"/>
        <v>0</v>
      </c>
    </row>
    <row r="131" spans="1:16" x14ac:dyDescent="0.25">
      <c r="A131">
        <v>737896</v>
      </c>
      <c r="B131">
        <v>936</v>
      </c>
      <c r="C131">
        <v>109689</v>
      </c>
      <c r="D131" t="s">
        <v>11</v>
      </c>
      <c r="E131" t="s">
        <v>16</v>
      </c>
      <c r="F131" s="5">
        <v>16</v>
      </c>
      <c r="G131" s="5">
        <v>17553</v>
      </c>
      <c r="H131" s="5">
        <v>3</v>
      </c>
      <c r="I131" s="8">
        <v>4.5900001530000001</v>
      </c>
      <c r="J131" s="5">
        <v>1</v>
      </c>
      <c r="K131" s="5">
        <v>0</v>
      </c>
      <c r="L131" s="14">
        <f t="shared" ref="L131:L194" si="10">IF(G131=0,0,(I131/G131)*1000)</f>
        <v>0.26149377046658689</v>
      </c>
      <c r="M131" s="14">
        <f t="shared" si="9"/>
        <v>1.530000051</v>
      </c>
      <c r="N131" s="20">
        <f t="shared" ref="N131:N194" si="11">IF(G131=0,0,(H131/G131))</f>
        <v>1.7091095539224064E-4</v>
      </c>
      <c r="O131" s="14" t="str">
        <f t="shared" ref="O131:O194" si="12">IF(K131&gt;0, I131/K131, " ")</f>
        <v xml:space="preserve"> </v>
      </c>
      <c r="P131" s="20">
        <f t="shared" ref="P131:P194" si="13">IF(H131=0,0,(K131/H131))</f>
        <v>0</v>
      </c>
    </row>
    <row r="132" spans="1:16" x14ac:dyDescent="0.25">
      <c r="A132">
        <v>737931</v>
      </c>
      <c r="B132">
        <v>936</v>
      </c>
      <c r="C132">
        <v>109698</v>
      </c>
      <c r="D132" t="s">
        <v>11</v>
      </c>
      <c r="E132" t="s">
        <v>16</v>
      </c>
      <c r="F132" s="5">
        <v>20</v>
      </c>
      <c r="G132" s="5">
        <v>3343</v>
      </c>
      <c r="H132" s="5">
        <v>1</v>
      </c>
      <c r="I132" s="8">
        <v>0.540000021</v>
      </c>
      <c r="J132" s="5">
        <v>1</v>
      </c>
      <c r="K132" s="5">
        <v>0</v>
      </c>
      <c r="L132" s="14">
        <f t="shared" si="10"/>
        <v>0.16153156476218963</v>
      </c>
      <c r="M132" s="14">
        <f t="shared" si="9"/>
        <v>0.540000021</v>
      </c>
      <c r="N132" s="20">
        <f t="shared" si="11"/>
        <v>2.9913251570445708E-4</v>
      </c>
      <c r="O132" s="14" t="str">
        <f t="shared" si="12"/>
        <v xml:space="preserve"> </v>
      </c>
      <c r="P132" s="20">
        <f t="shared" si="13"/>
        <v>0</v>
      </c>
    </row>
    <row r="133" spans="1:16" x14ac:dyDescent="0.25">
      <c r="A133">
        <v>737961</v>
      </c>
      <c r="B133">
        <v>936</v>
      </c>
      <c r="C133">
        <v>109706</v>
      </c>
      <c r="D133" t="s">
        <v>11</v>
      </c>
      <c r="E133" t="s">
        <v>16</v>
      </c>
      <c r="F133" s="5">
        <v>23</v>
      </c>
      <c r="G133" s="5">
        <v>523</v>
      </c>
      <c r="H133" s="5">
        <v>0</v>
      </c>
      <c r="I133" s="8">
        <v>0</v>
      </c>
      <c r="J133" s="5">
        <v>1</v>
      </c>
      <c r="K133" s="5">
        <v>0</v>
      </c>
      <c r="L133" s="14">
        <f t="shared" si="10"/>
        <v>0</v>
      </c>
      <c r="M133" s="14" t="str">
        <f t="shared" ref="M133:M196" si="14">IF(H133&gt;0, I133/H133, " ")</f>
        <v xml:space="preserve"> </v>
      </c>
      <c r="N133" s="20">
        <f t="shared" si="11"/>
        <v>0</v>
      </c>
      <c r="O133" s="14" t="str">
        <f t="shared" si="12"/>
        <v xml:space="preserve"> </v>
      </c>
      <c r="P133" s="20">
        <f t="shared" si="13"/>
        <v>0</v>
      </c>
    </row>
    <row r="134" spans="1:16" x14ac:dyDescent="0.25">
      <c r="A134">
        <v>737995</v>
      </c>
      <c r="B134">
        <v>936</v>
      </c>
      <c r="C134">
        <v>109714</v>
      </c>
      <c r="D134" t="s">
        <v>11</v>
      </c>
      <c r="E134" t="s">
        <v>16</v>
      </c>
      <c r="F134" s="5">
        <v>26</v>
      </c>
      <c r="G134" s="5">
        <v>1873</v>
      </c>
      <c r="H134" s="5">
        <v>0</v>
      </c>
      <c r="I134" s="8">
        <v>0</v>
      </c>
      <c r="J134" s="5">
        <v>1</v>
      </c>
      <c r="K134" s="5">
        <v>0</v>
      </c>
      <c r="L134" s="14">
        <f t="shared" si="10"/>
        <v>0</v>
      </c>
      <c r="M134" s="14" t="str">
        <f t="shared" si="14"/>
        <v xml:space="preserve"> </v>
      </c>
      <c r="N134" s="20">
        <f t="shared" si="11"/>
        <v>0</v>
      </c>
      <c r="O134" s="14" t="str">
        <f t="shared" si="12"/>
        <v xml:space="preserve"> </v>
      </c>
      <c r="P134" s="20">
        <f t="shared" si="13"/>
        <v>0</v>
      </c>
    </row>
    <row r="135" spans="1:16" x14ac:dyDescent="0.25">
      <c r="A135">
        <v>738006</v>
      </c>
      <c r="B135">
        <v>936</v>
      </c>
      <c r="C135">
        <v>109717</v>
      </c>
      <c r="D135" t="s">
        <v>11</v>
      </c>
      <c r="E135" t="s">
        <v>16</v>
      </c>
      <c r="F135" s="5">
        <v>27</v>
      </c>
      <c r="G135" s="5">
        <v>34740</v>
      </c>
      <c r="H135" s="5">
        <v>7</v>
      </c>
      <c r="I135" s="8">
        <v>13.41000009</v>
      </c>
      <c r="J135" s="5">
        <v>1</v>
      </c>
      <c r="K135" s="5">
        <v>1</v>
      </c>
      <c r="L135" s="14">
        <f t="shared" si="10"/>
        <v>0.38601036528497407</v>
      </c>
      <c r="M135" s="14">
        <f t="shared" si="14"/>
        <v>1.9157142985714286</v>
      </c>
      <c r="N135" s="20">
        <f t="shared" si="11"/>
        <v>2.0149683362118595E-4</v>
      </c>
      <c r="O135" s="14">
        <f t="shared" si="12"/>
        <v>13.41000009</v>
      </c>
      <c r="P135" s="20">
        <f t="shared" si="13"/>
        <v>0.14285714285714285</v>
      </c>
    </row>
    <row r="136" spans="1:16" x14ac:dyDescent="0.25">
      <c r="A136">
        <v>738067</v>
      </c>
      <c r="B136">
        <v>936</v>
      </c>
      <c r="C136">
        <v>109731</v>
      </c>
      <c r="D136" t="s">
        <v>11</v>
      </c>
      <c r="E136" t="s">
        <v>16</v>
      </c>
      <c r="F136" s="5">
        <v>32</v>
      </c>
      <c r="G136" s="5">
        <v>658</v>
      </c>
      <c r="H136" s="5">
        <v>0</v>
      </c>
      <c r="I136" s="8">
        <v>0</v>
      </c>
      <c r="J136" s="5">
        <v>1</v>
      </c>
      <c r="K136" s="5">
        <v>0</v>
      </c>
      <c r="L136" s="14">
        <f t="shared" si="10"/>
        <v>0</v>
      </c>
      <c r="M136" s="14" t="str">
        <f t="shared" si="14"/>
        <v xml:space="preserve"> </v>
      </c>
      <c r="N136" s="20">
        <f t="shared" si="11"/>
        <v>0</v>
      </c>
      <c r="O136" s="14" t="str">
        <f t="shared" si="12"/>
        <v xml:space="preserve"> </v>
      </c>
      <c r="P136" s="20">
        <f t="shared" si="13"/>
        <v>0</v>
      </c>
    </row>
    <row r="137" spans="1:16" x14ac:dyDescent="0.25">
      <c r="A137">
        <v>738098</v>
      </c>
      <c r="B137">
        <v>936</v>
      </c>
      <c r="C137">
        <v>109738</v>
      </c>
      <c r="D137" t="s">
        <v>11</v>
      </c>
      <c r="E137" t="s">
        <v>16</v>
      </c>
      <c r="F137" s="5">
        <v>64</v>
      </c>
      <c r="G137" s="5">
        <v>1539</v>
      </c>
      <c r="H137" s="5">
        <v>0</v>
      </c>
      <c r="I137" s="8">
        <v>0</v>
      </c>
      <c r="J137" s="5">
        <v>1</v>
      </c>
      <c r="K137" s="5">
        <v>0</v>
      </c>
      <c r="L137" s="14">
        <f t="shared" si="10"/>
        <v>0</v>
      </c>
      <c r="M137" s="14" t="str">
        <f t="shared" si="14"/>
        <v xml:space="preserve"> </v>
      </c>
      <c r="N137" s="20">
        <f t="shared" si="11"/>
        <v>0</v>
      </c>
      <c r="O137" s="14" t="str">
        <f t="shared" si="12"/>
        <v xml:space="preserve"> </v>
      </c>
      <c r="P137" s="20">
        <f t="shared" si="13"/>
        <v>0</v>
      </c>
    </row>
    <row r="138" spans="1:16" x14ac:dyDescent="0.25">
      <c r="A138">
        <v>738307</v>
      </c>
      <c r="B138">
        <v>936</v>
      </c>
      <c r="C138">
        <v>109788</v>
      </c>
      <c r="D138" t="s">
        <v>13</v>
      </c>
      <c r="E138" t="s">
        <v>16</v>
      </c>
      <c r="F138" s="5">
        <v>31</v>
      </c>
      <c r="G138" s="5">
        <v>3010</v>
      </c>
      <c r="H138" s="5">
        <v>1</v>
      </c>
      <c r="I138" s="8">
        <v>0.86000001400000003</v>
      </c>
      <c r="J138" s="5">
        <v>1</v>
      </c>
      <c r="K138" s="5">
        <v>1</v>
      </c>
      <c r="L138" s="14">
        <f t="shared" si="10"/>
        <v>0.28571429036544849</v>
      </c>
      <c r="M138" s="14">
        <f t="shared" si="14"/>
        <v>0.86000001400000003</v>
      </c>
      <c r="N138" s="20">
        <f t="shared" si="11"/>
        <v>3.3222591362126248E-4</v>
      </c>
      <c r="O138" s="14">
        <f t="shared" si="12"/>
        <v>0.86000001400000003</v>
      </c>
      <c r="P138" s="20">
        <f t="shared" si="13"/>
        <v>1</v>
      </c>
    </row>
    <row r="139" spans="1:16" x14ac:dyDescent="0.25">
      <c r="A139">
        <v>738389</v>
      </c>
      <c r="B139">
        <v>936</v>
      </c>
      <c r="C139">
        <v>109808</v>
      </c>
      <c r="D139" t="s">
        <v>14</v>
      </c>
      <c r="E139" t="s">
        <v>16</v>
      </c>
      <c r="F139" s="5">
        <v>10</v>
      </c>
      <c r="G139" s="5">
        <v>27081</v>
      </c>
      <c r="H139" s="5">
        <v>9</v>
      </c>
      <c r="I139" s="8">
        <v>10.77000046</v>
      </c>
      <c r="J139" s="5">
        <v>1</v>
      </c>
      <c r="K139" s="5">
        <v>1</v>
      </c>
      <c r="L139" s="14">
        <f t="shared" si="10"/>
        <v>0.39769581847051438</v>
      </c>
      <c r="M139" s="14">
        <f t="shared" si="14"/>
        <v>1.1966667177777779</v>
      </c>
      <c r="N139" s="20">
        <f t="shared" si="11"/>
        <v>3.3233632436025255E-4</v>
      </c>
      <c r="O139" s="14">
        <f t="shared" si="12"/>
        <v>10.77000046</v>
      </c>
      <c r="P139" s="20">
        <f t="shared" si="13"/>
        <v>0.1111111111111111</v>
      </c>
    </row>
    <row r="140" spans="1:16" x14ac:dyDescent="0.25">
      <c r="A140">
        <v>738408</v>
      </c>
      <c r="B140">
        <v>936</v>
      </c>
      <c r="C140">
        <v>109813</v>
      </c>
      <c r="D140" t="s">
        <v>14</v>
      </c>
      <c r="E140" t="s">
        <v>16</v>
      </c>
      <c r="F140" s="5">
        <v>16</v>
      </c>
      <c r="G140" s="5">
        <v>20233</v>
      </c>
      <c r="H140" s="5">
        <v>4</v>
      </c>
      <c r="I140" s="8">
        <v>5.5900001530000001</v>
      </c>
      <c r="J140" s="5">
        <v>3</v>
      </c>
      <c r="K140" s="5">
        <v>0</v>
      </c>
      <c r="L140" s="14">
        <f t="shared" si="10"/>
        <v>0.27628133015370931</v>
      </c>
      <c r="M140" s="14">
        <f t="shared" si="14"/>
        <v>1.39750003825</v>
      </c>
      <c r="N140" s="20">
        <f t="shared" si="11"/>
        <v>1.9769683190826867E-4</v>
      </c>
      <c r="O140" s="14" t="str">
        <f t="shared" si="12"/>
        <v xml:space="preserve"> </v>
      </c>
      <c r="P140" s="20">
        <f t="shared" si="13"/>
        <v>0</v>
      </c>
    </row>
    <row r="141" spans="1:16" x14ac:dyDescent="0.25">
      <c r="A141">
        <v>738413</v>
      </c>
      <c r="B141">
        <v>936</v>
      </c>
      <c r="C141">
        <v>109813</v>
      </c>
      <c r="D141" t="s">
        <v>14</v>
      </c>
      <c r="E141" t="s">
        <v>16</v>
      </c>
      <c r="F141" s="5">
        <v>16</v>
      </c>
      <c r="G141" s="5">
        <v>147159</v>
      </c>
      <c r="H141" s="5">
        <v>36</v>
      </c>
      <c r="I141" s="8">
        <v>58.160000439999997</v>
      </c>
      <c r="J141" s="5">
        <v>3</v>
      </c>
      <c r="K141" s="5">
        <v>1</v>
      </c>
      <c r="L141" s="14">
        <f t="shared" si="10"/>
        <v>0.39521877995909188</v>
      </c>
      <c r="M141" s="14">
        <f t="shared" si="14"/>
        <v>1.6155555677777778</v>
      </c>
      <c r="N141" s="20">
        <f t="shared" si="11"/>
        <v>2.4463335575805763E-4</v>
      </c>
      <c r="O141" s="14">
        <f t="shared" si="12"/>
        <v>58.160000439999997</v>
      </c>
      <c r="P141" s="20">
        <f t="shared" si="13"/>
        <v>2.7777777777777776E-2</v>
      </c>
    </row>
    <row r="142" spans="1:16" x14ac:dyDescent="0.25">
      <c r="A142">
        <v>738423</v>
      </c>
      <c r="B142">
        <v>936</v>
      </c>
      <c r="C142">
        <v>109816</v>
      </c>
      <c r="D142" t="s">
        <v>14</v>
      </c>
      <c r="E142" t="s">
        <v>16</v>
      </c>
      <c r="F142" s="5">
        <v>18</v>
      </c>
      <c r="G142" s="5">
        <v>21664</v>
      </c>
      <c r="H142" s="5">
        <v>7</v>
      </c>
      <c r="I142" s="8">
        <v>10.61999977</v>
      </c>
      <c r="J142" s="5">
        <v>1</v>
      </c>
      <c r="K142" s="5">
        <v>1</v>
      </c>
      <c r="L142" s="14">
        <f t="shared" si="10"/>
        <v>0.49021416959010333</v>
      </c>
      <c r="M142" s="14">
        <f t="shared" si="14"/>
        <v>1.5171428242857143</v>
      </c>
      <c r="N142" s="20">
        <f t="shared" si="11"/>
        <v>3.2311669128508124E-4</v>
      </c>
      <c r="O142" s="14">
        <f t="shared" si="12"/>
        <v>10.61999977</v>
      </c>
      <c r="P142" s="20">
        <f t="shared" si="13"/>
        <v>0.14285714285714285</v>
      </c>
    </row>
    <row r="143" spans="1:16" x14ac:dyDescent="0.25">
      <c r="A143">
        <v>738436</v>
      </c>
      <c r="B143">
        <v>936</v>
      </c>
      <c r="C143">
        <v>109820</v>
      </c>
      <c r="D143" t="s">
        <v>14</v>
      </c>
      <c r="E143" t="s">
        <v>16</v>
      </c>
      <c r="F143" s="5">
        <v>19</v>
      </c>
      <c r="G143" s="5">
        <v>9112</v>
      </c>
      <c r="H143" s="5">
        <v>4</v>
      </c>
      <c r="I143" s="8">
        <v>5.4600000380000004</v>
      </c>
      <c r="J143" s="5">
        <v>1</v>
      </c>
      <c r="K143" s="5">
        <v>1</v>
      </c>
      <c r="L143" s="14">
        <f t="shared" si="10"/>
        <v>0.59920983735733102</v>
      </c>
      <c r="M143" s="14">
        <f t="shared" si="14"/>
        <v>1.3650000095000001</v>
      </c>
      <c r="N143" s="20">
        <f t="shared" si="11"/>
        <v>4.3898156277436348E-4</v>
      </c>
      <c r="O143" s="14">
        <f t="shared" si="12"/>
        <v>5.4600000380000004</v>
      </c>
      <c r="P143" s="20">
        <f t="shared" si="13"/>
        <v>0.25</v>
      </c>
    </row>
    <row r="144" spans="1:16" x14ac:dyDescent="0.25">
      <c r="A144">
        <v>738463</v>
      </c>
      <c r="B144">
        <v>936</v>
      </c>
      <c r="C144">
        <v>109826</v>
      </c>
      <c r="D144" t="s">
        <v>14</v>
      </c>
      <c r="E144" t="s">
        <v>16</v>
      </c>
      <c r="F144" s="5">
        <v>21</v>
      </c>
      <c r="G144" s="5">
        <v>542</v>
      </c>
      <c r="H144" s="5">
        <v>0</v>
      </c>
      <c r="I144" s="8">
        <v>0</v>
      </c>
      <c r="J144" s="5">
        <v>1</v>
      </c>
      <c r="K144" s="5">
        <v>0</v>
      </c>
      <c r="L144" s="14">
        <f t="shared" si="10"/>
        <v>0</v>
      </c>
      <c r="M144" s="14" t="str">
        <f t="shared" si="14"/>
        <v xml:space="preserve"> </v>
      </c>
      <c r="N144" s="20">
        <f t="shared" si="11"/>
        <v>0</v>
      </c>
      <c r="O144" s="14" t="str">
        <f t="shared" si="12"/>
        <v xml:space="preserve"> </v>
      </c>
      <c r="P144" s="20">
        <f t="shared" si="13"/>
        <v>0</v>
      </c>
    </row>
    <row r="145" spans="1:16" x14ac:dyDescent="0.25">
      <c r="A145">
        <v>738528</v>
      </c>
      <c r="B145">
        <v>936</v>
      </c>
      <c r="C145">
        <v>109839</v>
      </c>
      <c r="D145" t="s">
        <v>14</v>
      </c>
      <c r="E145" t="s">
        <v>16</v>
      </c>
      <c r="F145" s="5">
        <v>30</v>
      </c>
      <c r="G145" s="5">
        <v>402</v>
      </c>
      <c r="H145" s="5">
        <v>0</v>
      </c>
      <c r="I145" s="8">
        <v>0</v>
      </c>
      <c r="J145" s="5">
        <v>1</v>
      </c>
      <c r="K145" s="5">
        <v>1</v>
      </c>
      <c r="L145" s="14">
        <f t="shared" si="10"/>
        <v>0</v>
      </c>
      <c r="M145" s="14" t="str">
        <f t="shared" si="14"/>
        <v xml:space="preserve"> </v>
      </c>
      <c r="N145" s="20">
        <f t="shared" si="11"/>
        <v>0</v>
      </c>
      <c r="O145" s="14">
        <f t="shared" si="12"/>
        <v>0</v>
      </c>
      <c r="P145" s="20">
        <f t="shared" si="13"/>
        <v>0</v>
      </c>
    </row>
    <row r="146" spans="1:16" x14ac:dyDescent="0.25">
      <c r="A146">
        <v>738560</v>
      </c>
      <c r="B146">
        <v>936</v>
      </c>
      <c r="C146">
        <v>109844</v>
      </c>
      <c r="D146" t="s">
        <v>14</v>
      </c>
      <c r="E146" t="s">
        <v>16</v>
      </c>
      <c r="F146" s="5">
        <v>64</v>
      </c>
      <c r="G146" s="5">
        <v>1338</v>
      </c>
      <c r="H146" s="5">
        <v>0</v>
      </c>
      <c r="I146" s="8">
        <v>0</v>
      </c>
      <c r="J146" s="5">
        <v>1</v>
      </c>
      <c r="K146" s="5">
        <v>0</v>
      </c>
      <c r="L146" s="14">
        <f t="shared" si="10"/>
        <v>0</v>
      </c>
      <c r="M146" s="14" t="str">
        <f t="shared" si="14"/>
        <v xml:space="preserve"> </v>
      </c>
      <c r="N146" s="20">
        <f t="shared" si="11"/>
        <v>0</v>
      </c>
      <c r="O146" s="14" t="str">
        <f t="shared" si="12"/>
        <v xml:space="preserve"> </v>
      </c>
      <c r="P146" s="20">
        <f t="shared" si="13"/>
        <v>0</v>
      </c>
    </row>
    <row r="147" spans="1:16" x14ac:dyDescent="0.25">
      <c r="A147">
        <v>738582</v>
      </c>
      <c r="B147">
        <v>936</v>
      </c>
      <c r="C147">
        <v>109848</v>
      </c>
      <c r="D147" t="s">
        <v>15</v>
      </c>
      <c r="E147" t="s">
        <v>16</v>
      </c>
      <c r="F147" s="5">
        <v>10</v>
      </c>
      <c r="G147" s="5">
        <v>46150</v>
      </c>
      <c r="H147" s="5">
        <v>15</v>
      </c>
      <c r="I147" s="8">
        <v>20.17999983</v>
      </c>
      <c r="J147" s="5">
        <v>1</v>
      </c>
      <c r="K147" s="5">
        <v>1</v>
      </c>
      <c r="L147" s="14">
        <f t="shared" si="10"/>
        <v>0.43726976879739976</v>
      </c>
      <c r="M147" s="14">
        <f t="shared" si="14"/>
        <v>1.3453333219999999</v>
      </c>
      <c r="N147" s="20">
        <f t="shared" si="11"/>
        <v>3.250270855904659E-4</v>
      </c>
      <c r="O147" s="14">
        <f t="shared" si="12"/>
        <v>20.17999983</v>
      </c>
      <c r="P147" s="20">
        <f t="shared" si="13"/>
        <v>6.6666666666666666E-2</v>
      </c>
    </row>
    <row r="148" spans="1:16" x14ac:dyDescent="0.25">
      <c r="A148">
        <v>738592</v>
      </c>
      <c r="B148">
        <v>936</v>
      </c>
      <c r="C148">
        <v>109850</v>
      </c>
      <c r="D148" t="s">
        <v>15</v>
      </c>
      <c r="E148" t="s">
        <v>16</v>
      </c>
      <c r="F148" s="5">
        <v>16</v>
      </c>
      <c r="G148" s="5">
        <v>493821</v>
      </c>
      <c r="H148" s="5">
        <v>116</v>
      </c>
      <c r="I148" s="8">
        <v>176.37999769999999</v>
      </c>
      <c r="J148" s="5">
        <v>4</v>
      </c>
      <c r="K148" s="5">
        <v>1</v>
      </c>
      <c r="L148" s="14">
        <f t="shared" si="10"/>
        <v>0.3571739510875398</v>
      </c>
      <c r="M148" s="14">
        <f t="shared" si="14"/>
        <v>1.520517221551724</v>
      </c>
      <c r="N148" s="20">
        <f t="shared" si="11"/>
        <v>2.3490293041405691E-4</v>
      </c>
      <c r="O148" s="14">
        <f t="shared" si="12"/>
        <v>176.37999769999999</v>
      </c>
      <c r="P148" s="20">
        <f t="shared" si="13"/>
        <v>8.6206896551724137E-3</v>
      </c>
    </row>
    <row r="149" spans="1:16" x14ac:dyDescent="0.25">
      <c r="A149">
        <v>738593</v>
      </c>
      <c r="B149">
        <v>936</v>
      </c>
      <c r="C149">
        <v>109850</v>
      </c>
      <c r="D149" t="s">
        <v>15</v>
      </c>
      <c r="E149" t="s">
        <v>16</v>
      </c>
      <c r="F149" s="5">
        <v>16</v>
      </c>
      <c r="G149" s="5">
        <v>92011</v>
      </c>
      <c r="H149" s="5">
        <v>27</v>
      </c>
      <c r="I149" s="8">
        <v>34.390000460000003</v>
      </c>
      <c r="J149" s="5">
        <v>2</v>
      </c>
      <c r="K149" s="5">
        <v>1</v>
      </c>
      <c r="L149" s="14">
        <f t="shared" si="10"/>
        <v>0.37375966417058837</v>
      </c>
      <c r="M149" s="14">
        <f t="shared" si="14"/>
        <v>1.2737037207407409</v>
      </c>
      <c r="N149" s="20">
        <f t="shared" si="11"/>
        <v>2.9344317527252176E-4</v>
      </c>
      <c r="O149" s="14">
        <f t="shared" si="12"/>
        <v>34.390000460000003</v>
      </c>
      <c r="P149" s="20">
        <f t="shared" si="13"/>
        <v>3.7037037037037035E-2</v>
      </c>
    </row>
    <row r="150" spans="1:16" x14ac:dyDescent="0.25">
      <c r="A150">
        <v>738598</v>
      </c>
      <c r="B150">
        <v>936</v>
      </c>
      <c r="C150">
        <v>109851</v>
      </c>
      <c r="D150" t="s">
        <v>15</v>
      </c>
      <c r="E150" t="s">
        <v>16</v>
      </c>
      <c r="F150" s="5">
        <v>18</v>
      </c>
      <c r="G150" s="5">
        <v>12956</v>
      </c>
      <c r="H150" s="5">
        <v>4</v>
      </c>
      <c r="I150" s="8">
        <v>5.4900000100000002</v>
      </c>
      <c r="J150" s="5">
        <v>1</v>
      </c>
      <c r="K150" s="5">
        <v>1</v>
      </c>
      <c r="L150" s="14">
        <f t="shared" si="10"/>
        <v>0.42374189641864773</v>
      </c>
      <c r="M150" s="14">
        <f t="shared" si="14"/>
        <v>1.3725000025</v>
      </c>
      <c r="N150" s="20">
        <f t="shared" si="11"/>
        <v>3.0873726458783575E-4</v>
      </c>
      <c r="O150" s="14">
        <f t="shared" si="12"/>
        <v>5.4900000100000002</v>
      </c>
      <c r="P150" s="20">
        <f t="shared" si="13"/>
        <v>0.25</v>
      </c>
    </row>
    <row r="151" spans="1:16" x14ac:dyDescent="0.25">
      <c r="A151">
        <v>738606</v>
      </c>
      <c r="B151">
        <v>936</v>
      </c>
      <c r="C151">
        <v>109852</v>
      </c>
      <c r="D151" t="s">
        <v>15</v>
      </c>
      <c r="E151" t="s">
        <v>16</v>
      </c>
      <c r="F151" s="5">
        <v>19</v>
      </c>
      <c r="G151" s="5">
        <v>529</v>
      </c>
      <c r="H151" s="5">
        <v>0</v>
      </c>
      <c r="I151" s="8">
        <v>0</v>
      </c>
      <c r="J151" s="5">
        <v>1</v>
      </c>
      <c r="K151" s="5">
        <v>0</v>
      </c>
      <c r="L151" s="14">
        <f t="shared" si="10"/>
        <v>0</v>
      </c>
      <c r="M151" s="14" t="str">
        <f t="shared" si="14"/>
        <v xml:space="preserve"> </v>
      </c>
      <c r="N151" s="20">
        <f t="shared" si="11"/>
        <v>0</v>
      </c>
      <c r="O151" s="14" t="str">
        <f t="shared" si="12"/>
        <v xml:space="preserve"> </v>
      </c>
      <c r="P151" s="20">
        <f t="shared" si="13"/>
        <v>0</v>
      </c>
    </row>
    <row r="152" spans="1:16" x14ac:dyDescent="0.25">
      <c r="A152">
        <v>738637</v>
      </c>
      <c r="B152">
        <v>936</v>
      </c>
      <c r="C152">
        <v>109857</v>
      </c>
      <c r="D152" t="s">
        <v>15</v>
      </c>
      <c r="E152" t="s">
        <v>16</v>
      </c>
      <c r="F152" s="5">
        <v>24</v>
      </c>
      <c r="G152" s="5">
        <v>944</v>
      </c>
      <c r="H152" s="5">
        <v>1</v>
      </c>
      <c r="I152" s="8">
        <v>1.4199999569999999</v>
      </c>
      <c r="J152" s="5">
        <v>1</v>
      </c>
      <c r="K152" s="5">
        <v>0</v>
      </c>
      <c r="L152" s="14">
        <f t="shared" si="10"/>
        <v>1.5042372425847457</v>
      </c>
      <c r="M152" s="14">
        <f t="shared" si="14"/>
        <v>1.4199999569999999</v>
      </c>
      <c r="N152" s="20">
        <f t="shared" si="11"/>
        <v>1.0593220338983051E-3</v>
      </c>
      <c r="O152" s="14" t="str">
        <f t="shared" si="12"/>
        <v xml:space="preserve"> </v>
      </c>
      <c r="P152" s="20">
        <f t="shared" si="13"/>
        <v>0</v>
      </c>
    </row>
    <row r="153" spans="1:16" x14ac:dyDescent="0.25">
      <c r="A153">
        <v>738648</v>
      </c>
      <c r="B153">
        <v>936</v>
      </c>
      <c r="C153">
        <v>109859</v>
      </c>
      <c r="D153" t="s">
        <v>15</v>
      </c>
      <c r="E153" t="s">
        <v>16</v>
      </c>
      <c r="F153" s="5">
        <v>26</v>
      </c>
      <c r="G153" s="5">
        <v>111090</v>
      </c>
      <c r="H153" s="5">
        <v>38</v>
      </c>
      <c r="I153" s="8">
        <v>51.97000027</v>
      </c>
      <c r="J153" s="5">
        <v>5</v>
      </c>
      <c r="K153" s="5">
        <v>1</v>
      </c>
      <c r="L153" s="14">
        <f t="shared" si="10"/>
        <v>0.46781888801872357</v>
      </c>
      <c r="M153" s="14">
        <f t="shared" si="14"/>
        <v>1.3676315860526316</v>
      </c>
      <c r="N153" s="20">
        <f t="shared" si="11"/>
        <v>3.4206499234854621E-4</v>
      </c>
      <c r="O153" s="14">
        <f t="shared" si="12"/>
        <v>51.97000027</v>
      </c>
      <c r="P153" s="20">
        <f t="shared" si="13"/>
        <v>2.6315789473684209E-2</v>
      </c>
    </row>
    <row r="154" spans="1:16" x14ac:dyDescent="0.25">
      <c r="A154">
        <v>747212</v>
      </c>
      <c r="B154">
        <v>936</v>
      </c>
      <c r="C154">
        <v>110836</v>
      </c>
      <c r="D154" t="s">
        <v>11</v>
      </c>
      <c r="E154" t="s">
        <v>12</v>
      </c>
      <c r="F154" s="5">
        <v>10</v>
      </c>
      <c r="G154" s="5">
        <v>7208</v>
      </c>
      <c r="H154" s="5">
        <v>2</v>
      </c>
      <c r="I154" s="8">
        <v>3.1900000569999998</v>
      </c>
      <c r="J154" s="5">
        <v>1</v>
      </c>
      <c r="K154" s="5">
        <v>0</v>
      </c>
      <c r="L154" s="14">
        <f t="shared" si="10"/>
        <v>0.44256382588790233</v>
      </c>
      <c r="M154" s="14">
        <f t="shared" si="14"/>
        <v>1.5950000284999999</v>
      </c>
      <c r="N154" s="20">
        <f t="shared" si="11"/>
        <v>2.7746947835738069E-4</v>
      </c>
      <c r="O154" s="14" t="str">
        <f t="shared" si="12"/>
        <v xml:space="preserve"> </v>
      </c>
      <c r="P154" s="20">
        <f t="shared" si="13"/>
        <v>0</v>
      </c>
    </row>
    <row r="155" spans="1:16" x14ac:dyDescent="0.25">
      <c r="A155">
        <v>747213</v>
      </c>
      <c r="B155">
        <v>936</v>
      </c>
      <c r="C155">
        <v>110836</v>
      </c>
      <c r="D155" t="s">
        <v>11</v>
      </c>
      <c r="E155" t="s">
        <v>12</v>
      </c>
      <c r="F155" s="5">
        <v>10</v>
      </c>
      <c r="G155" s="5">
        <v>1746</v>
      </c>
      <c r="H155" s="5">
        <v>0</v>
      </c>
      <c r="I155" s="8">
        <v>0</v>
      </c>
      <c r="J155" s="5">
        <v>1</v>
      </c>
      <c r="K155" s="5">
        <v>0</v>
      </c>
      <c r="L155" s="14">
        <f t="shared" si="10"/>
        <v>0</v>
      </c>
      <c r="M155" s="14" t="str">
        <f t="shared" si="14"/>
        <v xml:space="preserve"> </v>
      </c>
      <c r="N155" s="20">
        <f t="shared" si="11"/>
        <v>0</v>
      </c>
      <c r="O155" s="14" t="str">
        <f t="shared" si="12"/>
        <v xml:space="preserve"> </v>
      </c>
      <c r="P155" s="20">
        <f t="shared" si="13"/>
        <v>0</v>
      </c>
    </row>
    <row r="156" spans="1:16" x14ac:dyDescent="0.25">
      <c r="A156">
        <v>747220</v>
      </c>
      <c r="B156">
        <v>936</v>
      </c>
      <c r="C156">
        <v>110837</v>
      </c>
      <c r="D156" t="s">
        <v>11</v>
      </c>
      <c r="E156" t="s">
        <v>12</v>
      </c>
      <c r="F156" s="5">
        <v>15</v>
      </c>
      <c r="G156" s="5">
        <v>2474</v>
      </c>
      <c r="H156" s="5">
        <v>0</v>
      </c>
      <c r="I156" s="8">
        <v>0</v>
      </c>
      <c r="J156" s="5">
        <v>2</v>
      </c>
      <c r="K156" s="5">
        <v>2</v>
      </c>
      <c r="L156" s="14">
        <f t="shared" si="10"/>
        <v>0</v>
      </c>
      <c r="M156" s="14" t="str">
        <f t="shared" si="14"/>
        <v xml:space="preserve"> </v>
      </c>
      <c r="N156" s="20">
        <f t="shared" si="11"/>
        <v>0</v>
      </c>
      <c r="O156" s="14">
        <f t="shared" si="12"/>
        <v>0</v>
      </c>
      <c r="P156" s="20">
        <f t="shared" si="13"/>
        <v>0</v>
      </c>
    </row>
    <row r="157" spans="1:16" x14ac:dyDescent="0.25">
      <c r="A157">
        <v>747222</v>
      </c>
      <c r="B157">
        <v>936</v>
      </c>
      <c r="C157">
        <v>110838</v>
      </c>
      <c r="D157" t="s">
        <v>11</v>
      </c>
      <c r="E157" t="s">
        <v>12</v>
      </c>
      <c r="F157" s="5">
        <v>16</v>
      </c>
      <c r="G157" s="5">
        <v>12489</v>
      </c>
      <c r="H157" s="5">
        <v>2</v>
      </c>
      <c r="I157" s="8">
        <v>1.960000038</v>
      </c>
      <c r="J157" s="5">
        <v>1</v>
      </c>
      <c r="K157" s="5">
        <v>0</v>
      </c>
      <c r="L157" s="14">
        <f t="shared" si="10"/>
        <v>0.15693810857554646</v>
      </c>
      <c r="M157" s="14">
        <f t="shared" si="14"/>
        <v>0.980000019</v>
      </c>
      <c r="N157" s="20">
        <f t="shared" si="11"/>
        <v>1.6014092401313155E-4</v>
      </c>
      <c r="O157" s="14" t="str">
        <f t="shared" si="12"/>
        <v xml:space="preserve"> </v>
      </c>
      <c r="P157" s="20">
        <f t="shared" si="13"/>
        <v>0</v>
      </c>
    </row>
    <row r="158" spans="1:16" x14ac:dyDescent="0.25">
      <c r="A158">
        <v>747223</v>
      </c>
      <c r="B158">
        <v>936</v>
      </c>
      <c r="C158">
        <v>110838</v>
      </c>
      <c r="D158" t="s">
        <v>11</v>
      </c>
      <c r="E158" t="s">
        <v>12</v>
      </c>
      <c r="F158" s="5">
        <v>16</v>
      </c>
      <c r="G158" s="5">
        <v>8032</v>
      </c>
      <c r="H158" s="5">
        <v>1</v>
      </c>
      <c r="I158" s="8">
        <v>0.60000002399999997</v>
      </c>
      <c r="J158" s="5">
        <v>2</v>
      </c>
      <c r="K158" s="5">
        <v>0</v>
      </c>
      <c r="L158" s="14">
        <f t="shared" si="10"/>
        <v>7.4701198207171318E-2</v>
      </c>
      <c r="M158" s="14">
        <f t="shared" si="14"/>
        <v>0.60000002399999997</v>
      </c>
      <c r="N158" s="20">
        <f t="shared" si="11"/>
        <v>1.2450199203187251E-4</v>
      </c>
      <c r="O158" s="14" t="str">
        <f t="shared" si="12"/>
        <v xml:space="preserve"> </v>
      </c>
      <c r="P158" s="20">
        <f t="shared" si="13"/>
        <v>0</v>
      </c>
    </row>
    <row r="159" spans="1:16" x14ac:dyDescent="0.25">
      <c r="A159">
        <v>747248</v>
      </c>
      <c r="B159">
        <v>936</v>
      </c>
      <c r="C159">
        <v>110842</v>
      </c>
      <c r="D159" t="s">
        <v>11</v>
      </c>
      <c r="E159" t="s">
        <v>12</v>
      </c>
      <c r="F159" s="5">
        <v>21</v>
      </c>
      <c r="G159" s="5">
        <v>472</v>
      </c>
      <c r="H159" s="5">
        <v>0</v>
      </c>
      <c r="I159" s="8">
        <v>0</v>
      </c>
      <c r="J159" s="5">
        <v>1</v>
      </c>
      <c r="K159" s="5">
        <v>1</v>
      </c>
      <c r="L159" s="14">
        <f t="shared" si="10"/>
        <v>0</v>
      </c>
      <c r="M159" s="14" t="str">
        <f t="shared" si="14"/>
        <v xml:space="preserve"> </v>
      </c>
      <c r="N159" s="20">
        <f t="shared" si="11"/>
        <v>0</v>
      </c>
      <c r="O159" s="14">
        <f t="shared" si="12"/>
        <v>0</v>
      </c>
      <c r="P159" s="20">
        <f t="shared" si="13"/>
        <v>0</v>
      </c>
    </row>
    <row r="160" spans="1:16" x14ac:dyDescent="0.25">
      <c r="A160">
        <v>747332</v>
      </c>
      <c r="B160">
        <v>936</v>
      </c>
      <c r="C160">
        <v>110856</v>
      </c>
      <c r="D160" t="s">
        <v>11</v>
      </c>
      <c r="E160" t="s">
        <v>12</v>
      </c>
      <c r="F160" s="5">
        <v>64</v>
      </c>
      <c r="G160" s="5">
        <v>792</v>
      </c>
      <c r="H160" s="5">
        <v>0</v>
      </c>
      <c r="I160" s="8">
        <v>0</v>
      </c>
      <c r="J160" s="5">
        <v>1</v>
      </c>
      <c r="K160" s="5">
        <v>1</v>
      </c>
      <c r="L160" s="14">
        <f t="shared" si="10"/>
        <v>0</v>
      </c>
      <c r="M160" s="14" t="str">
        <f t="shared" si="14"/>
        <v xml:space="preserve"> </v>
      </c>
      <c r="N160" s="20">
        <f t="shared" si="11"/>
        <v>0</v>
      </c>
      <c r="O160" s="14">
        <f t="shared" si="12"/>
        <v>0</v>
      </c>
      <c r="P160" s="20">
        <f t="shared" si="13"/>
        <v>0</v>
      </c>
    </row>
    <row r="161" spans="1:16" x14ac:dyDescent="0.25">
      <c r="A161">
        <v>747362</v>
      </c>
      <c r="B161">
        <v>936</v>
      </c>
      <c r="C161">
        <v>110861</v>
      </c>
      <c r="D161" t="s">
        <v>13</v>
      </c>
      <c r="E161" t="s">
        <v>12</v>
      </c>
      <c r="F161" s="5">
        <v>15</v>
      </c>
      <c r="G161" s="5">
        <v>4607</v>
      </c>
      <c r="H161" s="5">
        <v>1</v>
      </c>
      <c r="I161" s="8">
        <v>1.1499999759999999</v>
      </c>
      <c r="J161" s="5">
        <v>1</v>
      </c>
      <c r="K161" s="5">
        <v>1</v>
      </c>
      <c r="L161" s="14">
        <f t="shared" si="10"/>
        <v>0.24962013805079225</v>
      </c>
      <c r="M161" s="14">
        <f t="shared" si="14"/>
        <v>1.1499999759999999</v>
      </c>
      <c r="N161" s="20">
        <f t="shared" si="11"/>
        <v>2.1706099413935315E-4</v>
      </c>
      <c r="O161" s="14">
        <f t="shared" si="12"/>
        <v>1.1499999759999999</v>
      </c>
      <c r="P161" s="20">
        <f t="shared" si="13"/>
        <v>1</v>
      </c>
    </row>
    <row r="162" spans="1:16" x14ac:dyDescent="0.25">
      <c r="A162">
        <v>747369</v>
      </c>
      <c r="B162">
        <v>936</v>
      </c>
      <c r="C162">
        <v>110862</v>
      </c>
      <c r="D162" t="s">
        <v>13</v>
      </c>
      <c r="E162" t="s">
        <v>12</v>
      </c>
      <c r="F162" s="5">
        <v>16</v>
      </c>
      <c r="G162" s="5">
        <v>13355</v>
      </c>
      <c r="H162" s="5">
        <v>2</v>
      </c>
      <c r="I162" s="8">
        <v>3.1800000669999999</v>
      </c>
      <c r="J162" s="5">
        <v>1</v>
      </c>
      <c r="K162" s="5">
        <v>1</v>
      </c>
      <c r="L162" s="14">
        <f t="shared" si="10"/>
        <v>0.23811307128416323</v>
      </c>
      <c r="M162" s="14">
        <f t="shared" si="14"/>
        <v>1.5900000335</v>
      </c>
      <c r="N162" s="20">
        <f t="shared" si="11"/>
        <v>1.4975664545114188E-4</v>
      </c>
      <c r="O162" s="14">
        <f t="shared" si="12"/>
        <v>3.1800000669999999</v>
      </c>
      <c r="P162" s="20">
        <f t="shared" si="13"/>
        <v>0.5</v>
      </c>
    </row>
    <row r="163" spans="1:16" x14ac:dyDescent="0.25">
      <c r="A163">
        <v>747370</v>
      </c>
      <c r="B163">
        <v>936</v>
      </c>
      <c r="C163">
        <v>110862</v>
      </c>
      <c r="D163" t="s">
        <v>13</v>
      </c>
      <c r="E163" t="s">
        <v>12</v>
      </c>
      <c r="F163" s="5">
        <v>16</v>
      </c>
      <c r="G163" s="5">
        <v>2936</v>
      </c>
      <c r="H163" s="5">
        <v>0</v>
      </c>
      <c r="I163" s="8">
        <v>0</v>
      </c>
      <c r="J163" s="5">
        <v>1</v>
      </c>
      <c r="K163" s="5">
        <v>0</v>
      </c>
      <c r="L163" s="14">
        <f t="shared" si="10"/>
        <v>0</v>
      </c>
      <c r="M163" s="14" t="str">
        <f t="shared" si="14"/>
        <v xml:space="preserve"> </v>
      </c>
      <c r="N163" s="20">
        <f t="shared" si="11"/>
        <v>0</v>
      </c>
      <c r="O163" s="14" t="str">
        <f t="shared" si="12"/>
        <v xml:space="preserve"> </v>
      </c>
      <c r="P163" s="20">
        <f t="shared" si="13"/>
        <v>0</v>
      </c>
    </row>
    <row r="164" spans="1:16" x14ac:dyDescent="0.25">
      <c r="A164">
        <v>747401</v>
      </c>
      <c r="B164">
        <v>936</v>
      </c>
      <c r="C164">
        <v>110867</v>
      </c>
      <c r="D164" t="s">
        <v>13</v>
      </c>
      <c r="E164" t="s">
        <v>12</v>
      </c>
      <c r="F164" s="5">
        <v>22</v>
      </c>
      <c r="G164" s="5">
        <v>2793</v>
      </c>
      <c r="H164" s="5">
        <v>1</v>
      </c>
      <c r="I164" s="8">
        <v>0.980000019</v>
      </c>
      <c r="J164" s="5">
        <v>1</v>
      </c>
      <c r="K164" s="5">
        <v>1</v>
      </c>
      <c r="L164" s="14">
        <f t="shared" si="10"/>
        <v>0.35087719978517723</v>
      </c>
      <c r="M164" s="14">
        <f t="shared" si="14"/>
        <v>0.980000019</v>
      </c>
      <c r="N164" s="20">
        <f t="shared" si="11"/>
        <v>3.5803795202291446E-4</v>
      </c>
      <c r="O164" s="14">
        <f t="shared" si="12"/>
        <v>0.980000019</v>
      </c>
      <c r="P164" s="20">
        <f t="shared" si="13"/>
        <v>1</v>
      </c>
    </row>
    <row r="165" spans="1:16" x14ac:dyDescent="0.25">
      <c r="A165">
        <v>747435</v>
      </c>
      <c r="B165">
        <v>936</v>
      </c>
      <c r="C165">
        <v>110873</v>
      </c>
      <c r="D165" t="s">
        <v>13</v>
      </c>
      <c r="E165" t="s">
        <v>12</v>
      </c>
      <c r="F165" s="5">
        <v>28</v>
      </c>
      <c r="G165" s="5">
        <v>1032</v>
      </c>
      <c r="H165" s="5">
        <v>0</v>
      </c>
      <c r="I165" s="8">
        <v>0</v>
      </c>
      <c r="J165" s="5">
        <v>1</v>
      </c>
      <c r="K165" s="5">
        <v>0</v>
      </c>
      <c r="L165" s="14">
        <f t="shared" si="10"/>
        <v>0</v>
      </c>
      <c r="M165" s="14" t="str">
        <f t="shared" si="14"/>
        <v xml:space="preserve"> </v>
      </c>
      <c r="N165" s="20">
        <f t="shared" si="11"/>
        <v>0</v>
      </c>
      <c r="O165" s="14" t="str">
        <f t="shared" si="12"/>
        <v xml:space="preserve"> </v>
      </c>
      <c r="P165" s="20">
        <f t="shared" si="13"/>
        <v>0</v>
      </c>
    </row>
    <row r="166" spans="1:16" x14ac:dyDescent="0.25">
      <c r="A166">
        <v>747439</v>
      </c>
      <c r="B166">
        <v>936</v>
      </c>
      <c r="C166">
        <v>110874</v>
      </c>
      <c r="D166" t="s">
        <v>13</v>
      </c>
      <c r="E166" t="s">
        <v>12</v>
      </c>
      <c r="F166" s="5">
        <v>29</v>
      </c>
      <c r="G166" s="5">
        <v>1662</v>
      </c>
      <c r="H166" s="5">
        <v>0</v>
      </c>
      <c r="I166" s="8">
        <v>0</v>
      </c>
      <c r="J166" s="5">
        <v>1</v>
      </c>
      <c r="K166" s="5">
        <v>1</v>
      </c>
      <c r="L166" s="14">
        <f t="shared" si="10"/>
        <v>0</v>
      </c>
      <c r="M166" s="14" t="str">
        <f t="shared" si="14"/>
        <v xml:space="preserve"> </v>
      </c>
      <c r="N166" s="20">
        <f t="shared" si="11"/>
        <v>0</v>
      </c>
      <c r="O166" s="14">
        <f t="shared" si="12"/>
        <v>0</v>
      </c>
      <c r="P166" s="20">
        <f t="shared" si="13"/>
        <v>0</v>
      </c>
    </row>
    <row r="167" spans="1:16" x14ac:dyDescent="0.25">
      <c r="A167">
        <v>747489</v>
      </c>
      <c r="B167">
        <v>936</v>
      </c>
      <c r="C167">
        <v>110882</v>
      </c>
      <c r="D167" t="s">
        <v>14</v>
      </c>
      <c r="E167" t="s">
        <v>12</v>
      </c>
      <c r="F167" s="5">
        <v>2</v>
      </c>
      <c r="G167" s="5">
        <v>4016</v>
      </c>
      <c r="H167" s="5">
        <v>2</v>
      </c>
      <c r="I167" s="8">
        <v>1.480000049</v>
      </c>
      <c r="J167" s="5">
        <v>1</v>
      </c>
      <c r="K167" s="5">
        <v>1</v>
      </c>
      <c r="L167" s="14">
        <f t="shared" si="10"/>
        <v>0.36852590861553786</v>
      </c>
      <c r="M167" s="14">
        <f t="shared" si="14"/>
        <v>0.74000002450000002</v>
      </c>
      <c r="N167" s="20">
        <f t="shared" si="11"/>
        <v>4.9800796812749003E-4</v>
      </c>
      <c r="O167" s="14">
        <f t="shared" si="12"/>
        <v>1.480000049</v>
      </c>
      <c r="P167" s="20">
        <f t="shared" si="13"/>
        <v>0.5</v>
      </c>
    </row>
    <row r="168" spans="1:16" x14ac:dyDescent="0.25">
      <c r="A168">
        <v>747514</v>
      </c>
      <c r="B168">
        <v>936</v>
      </c>
      <c r="C168">
        <v>110886</v>
      </c>
      <c r="D168" t="s">
        <v>14</v>
      </c>
      <c r="E168" t="s">
        <v>12</v>
      </c>
      <c r="F168" s="5">
        <v>16</v>
      </c>
      <c r="G168" s="5">
        <v>14843</v>
      </c>
      <c r="H168" s="5">
        <v>3</v>
      </c>
      <c r="I168" s="8">
        <v>2.9399999380000001</v>
      </c>
      <c r="J168" s="5">
        <v>1</v>
      </c>
      <c r="K168" s="5">
        <v>1</v>
      </c>
      <c r="L168" s="14">
        <f t="shared" si="10"/>
        <v>0.19807316162500843</v>
      </c>
      <c r="M168" s="14">
        <f t="shared" si="14"/>
        <v>0.97999997933333338</v>
      </c>
      <c r="N168" s="20">
        <f t="shared" si="11"/>
        <v>2.021154753082261E-4</v>
      </c>
      <c r="O168" s="14">
        <f t="shared" si="12"/>
        <v>2.9399999380000001</v>
      </c>
      <c r="P168" s="20">
        <f t="shared" si="13"/>
        <v>0.33333333333333331</v>
      </c>
    </row>
    <row r="169" spans="1:16" x14ac:dyDescent="0.25">
      <c r="A169">
        <v>747645</v>
      </c>
      <c r="B169">
        <v>936</v>
      </c>
      <c r="C169">
        <v>110908</v>
      </c>
      <c r="D169" t="s">
        <v>15</v>
      </c>
      <c r="E169" t="s">
        <v>12</v>
      </c>
      <c r="F169" s="5">
        <v>10</v>
      </c>
      <c r="G169" s="5">
        <v>9674</v>
      </c>
      <c r="H169" s="5">
        <v>3</v>
      </c>
      <c r="I169" s="8">
        <v>4.6000000239999999</v>
      </c>
      <c r="J169" s="5">
        <v>1</v>
      </c>
      <c r="K169" s="5">
        <v>1</v>
      </c>
      <c r="L169" s="14">
        <f t="shared" si="10"/>
        <v>0.47550134628902213</v>
      </c>
      <c r="M169" s="14">
        <f t="shared" si="14"/>
        <v>1.5333333413333332</v>
      </c>
      <c r="N169" s="20">
        <f t="shared" si="11"/>
        <v>3.1010957204879059E-4</v>
      </c>
      <c r="O169" s="14">
        <f t="shared" si="12"/>
        <v>4.6000000239999999</v>
      </c>
      <c r="P169" s="20">
        <f t="shared" si="13"/>
        <v>0.33333333333333331</v>
      </c>
    </row>
    <row r="170" spans="1:16" x14ac:dyDescent="0.25">
      <c r="A170">
        <v>747659</v>
      </c>
      <c r="B170">
        <v>936</v>
      </c>
      <c r="C170">
        <v>110910</v>
      </c>
      <c r="D170" t="s">
        <v>15</v>
      </c>
      <c r="E170" t="s">
        <v>12</v>
      </c>
      <c r="F170" s="5">
        <v>16</v>
      </c>
      <c r="G170" s="5">
        <v>12186</v>
      </c>
      <c r="H170" s="5">
        <v>2</v>
      </c>
      <c r="I170" s="8">
        <v>2.6699999569999999</v>
      </c>
      <c r="J170" s="5">
        <v>1</v>
      </c>
      <c r="K170" s="5">
        <v>0</v>
      </c>
      <c r="L170" s="14">
        <f t="shared" si="10"/>
        <v>0.21910388618086329</v>
      </c>
      <c r="M170" s="14">
        <f t="shared" si="14"/>
        <v>1.3349999785</v>
      </c>
      <c r="N170" s="20">
        <f t="shared" si="11"/>
        <v>1.6412276382734285E-4</v>
      </c>
      <c r="O170" s="14" t="str">
        <f t="shared" si="12"/>
        <v xml:space="preserve"> </v>
      </c>
      <c r="P170" s="20">
        <f t="shared" si="13"/>
        <v>0</v>
      </c>
    </row>
    <row r="171" spans="1:16" x14ac:dyDescent="0.25">
      <c r="A171">
        <v>747675</v>
      </c>
      <c r="B171">
        <v>936</v>
      </c>
      <c r="C171">
        <v>110913</v>
      </c>
      <c r="D171" t="s">
        <v>15</v>
      </c>
      <c r="E171" t="s">
        <v>12</v>
      </c>
      <c r="F171" s="5">
        <v>20</v>
      </c>
      <c r="G171" s="5">
        <v>673</v>
      </c>
      <c r="H171" s="5">
        <v>0</v>
      </c>
      <c r="I171" s="8">
        <v>0</v>
      </c>
      <c r="J171" s="5">
        <v>1</v>
      </c>
      <c r="K171" s="5">
        <v>0</v>
      </c>
      <c r="L171" s="14">
        <f t="shared" si="10"/>
        <v>0</v>
      </c>
      <c r="M171" s="14" t="str">
        <f t="shared" si="14"/>
        <v xml:space="preserve"> </v>
      </c>
      <c r="N171" s="20">
        <f t="shared" si="11"/>
        <v>0</v>
      </c>
      <c r="O171" s="14" t="str">
        <f t="shared" si="12"/>
        <v xml:space="preserve"> </v>
      </c>
      <c r="P171" s="20">
        <f t="shared" si="13"/>
        <v>0</v>
      </c>
    </row>
    <row r="172" spans="1:16" x14ac:dyDescent="0.25">
      <c r="A172">
        <v>747678</v>
      </c>
      <c r="B172">
        <v>936</v>
      </c>
      <c r="C172">
        <v>110914</v>
      </c>
      <c r="D172" t="s">
        <v>15</v>
      </c>
      <c r="E172" t="s">
        <v>12</v>
      </c>
      <c r="F172" s="5">
        <v>21</v>
      </c>
      <c r="G172" s="5">
        <v>370</v>
      </c>
      <c r="H172" s="5">
        <v>0</v>
      </c>
      <c r="I172" s="8">
        <v>0</v>
      </c>
      <c r="J172" s="5">
        <v>1</v>
      </c>
      <c r="K172" s="5">
        <v>1</v>
      </c>
      <c r="L172" s="14">
        <f t="shared" si="10"/>
        <v>0</v>
      </c>
      <c r="M172" s="14" t="str">
        <f t="shared" si="14"/>
        <v xml:space="preserve"> </v>
      </c>
      <c r="N172" s="20">
        <f t="shared" si="11"/>
        <v>0</v>
      </c>
      <c r="O172" s="14">
        <f t="shared" si="12"/>
        <v>0</v>
      </c>
      <c r="P172" s="20">
        <f t="shared" si="13"/>
        <v>0</v>
      </c>
    </row>
    <row r="173" spans="1:16" x14ac:dyDescent="0.25">
      <c r="A173">
        <v>747712</v>
      </c>
      <c r="B173">
        <v>936</v>
      </c>
      <c r="C173">
        <v>110919</v>
      </c>
      <c r="D173" t="s">
        <v>15</v>
      </c>
      <c r="E173" t="s">
        <v>12</v>
      </c>
      <c r="F173" s="5">
        <v>26</v>
      </c>
      <c r="G173" s="5">
        <v>450</v>
      </c>
      <c r="H173" s="5">
        <v>0</v>
      </c>
      <c r="I173" s="8">
        <v>0</v>
      </c>
      <c r="J173" s="5">
        <v>1</v>
      </c>
      <c r="K173" s="5">
        <v>1</v>
      </c>
      <c r="L173" s="14">
        <f t="shared" si="10"/>
        <v>0</v>
      </c>
      <c r="M173" s="14" t="str">
        <f t="shared" si="14"/>
        <v xml:space="preserve"> </v>
      </c>
      <c r="N173" s="20">
        <f t="shared" si="11"/>
        <v>0</v>
      </c>
      <c r="O173" s="14">
        <f t="shared" si="12"/>
        <v>0</v>
      </c>
      <c r="P173" s="20">
        <f t="shared" si="13"/>
        <v>0</v>
      </c>
    </row>
    <row r="174" spans="1:16" x14ac:dyDescent="0.25">
      <c r="A174">
        <v>747790</v>
      </c>
      <c r="B174">
        <v>936</v>
      </c>
      <c r="C174">
        <v>110932</v>
      </c>
      <c r="D174" t="s">
        <v>11</v>
      </c>
      <c r="E174" t="s">
        <v>16</v>
      </c>
      <c r="F174" s="5">
        <v>10</v>
      </c>
      <c r="G174" s="5">
        <v>2077</v>
      </c>
      <c r="H174" s="5">
        <v>0</v>
      </c>
      <c r="I174" s="8">
        <v>0</v>
      </c>
      <c r="J174" s="5">
        <v>1</v>
      </c>
      <c r="K174" s="5">
        <v>1</v>
      </c>
      <c r="L174" s="14">
        <f t="shared" si="10"/>
        <v>0</v>
      </c>
      <c r="M174" s="14" t="str">
        <f t="shared" si="14"/>
        <v xml:space="preserve"> </v>
      </c>
      <c r="N174" s="20">
        <f t="shared" si="11"/>
        <v>0</v>
      </c>
      <c r="O174" s="14">
        <f t="shared" si="12"/>
        <v>0</v>
      </c>
      <c r="P174" s="20">
        <f t="shared" si="13"/>
        <v>0</v>
      </c>
    </row>
    <row r="175" spans="1:16" x14ac:dyDescent="0.25">
      <c r="A175">
        <v>747791</v>
      </c>
      <c r="B175">
        <v>936</v>
      </c>
      <c r="C175">
        <v>110932</v>
      </c>
      <c r="D175" t="s">
        <v>11</v>
      </c>
      <c r="E175" t="s">
        <v>16</v>
      </c>
      <c r="F175" s="5">
        <v>10</v>
      </c>
      <c r="G175" s="5">
        <v>31393</v>
      </c>
      <c r="H175" s="5">
        <v>8</v>
      </c>
      <c r="I175" s="8">
        <v>10.96000051</v>
      </c>
      <c r="J175" s="5">
        <v>1</v>
      </c>
      <c r="K175" s="5">
        <v>1</v>
      </c>
      <c r="L175" s="14">
        <f t="shared" si="10"/>
        <v>0.34912243207084381</v>
      </c>
      <c r="M175" s="14">
        <f t="shared" si="14"/>
        <v>1.3700000637500001</v>
      </c>
      <c r="N175" s="20">
        <f t="shared" si="11"/>
        <v>2.5483388016436787E-4</v>
      </c>
      <c r="O175" s="14">
        <f t="shared" si="12"/>
        <v>10.96000051</v>
      </c>
      <c r="P175" s="20">
        <f t="shared" si="13"/>
        <v>0.125</v>
      </c>
    </row>
    <row r="176" spans="1:16" x14ac:dyDescent="0.25">
      <c r="A176">
        <v>747795</v>
      </c>
      <c r="B176">
        <v>936</v>
      </c>
      <c r="C176">
        <v>110933</v>
      </c>
      <c r="D176" t="s">
        <v>11</v>
      </c>
      <c r="E176" t="s">
        <v>16</v>
      </c>
      <c r="F176" s="5">
        <v>15</v>
      </c>
      <c r="G176" s="5">
        <v>8410</v>
      </c>
      <c r="H176" s="5">
        <v>2</v>
      </c>
      <c r="I176" s="8">
        <v>2.3599998950000001</v>
      </c>
      <c r="J176" s="5">
        <v>1</v>
      </c>
      <c r="K176" s="5">
        <v>1</v>
      </c>
      <c r="L176" s="14">
        <f t="shared" si="10"/>
        <v>0.28061829904875146</v>
      </c>
      <c r="M176" s="14">
        <f t="shared" si="14"/>
        <v>1.1799999475</v>
      </c>
      <c r="N176" s="20">
        <f t="shared" si="11"/>
        <v>2.3781212841854935E-4</v>
      </c>
      <c r="O176" s="14">
        <f t="shared" si="12"/>
        <v>2.3599998950000001</v>
      </c>
      <c r="P176" s="20">
        <f t="shared" si="13"/>
        <v>0.5</v>
      </c>
    </row>
    <row r="177" spans="1:16" x14ac:dyDescent="0.25">
      <c r="A177">
        <v>747798</v>
      </c>
      <c r="B177">
        <v>936</v>
      </c>
      <c r="C177">
        <v>110934</v>
      </c>
      <c r="D177" t="s">
        <v>11</v>
      </c>
      <c r="E177" t="s">
        <v>16</v>
      </c>
      <c r="F177" s="5">
        <v>16</v>
      </c>
      <c r="G177" s="5">
        <v>25884</v>
      </c>
      <c r="H177" s="5">
        <v>5</v>
      </c>
      <c r="I177" s="8">
        <v>7.3500001429999999</v>
      </c>
      <c r="J177" s="5">
        <v>1</v>
      </c>
      <c r="K177" s="5">
        <v>0</v>
      </c>
      <c r="L177" s="14">
        <f t="shared" si="10"/>
        <v>0.28395920812084685</v>
      </c>
      <c r="M177" s="14">
        <f t="shared" si="14"/>
        <v>1.4700000285999999</v>
      </c>
      <c r="N177" s="20">
        <f t="shared" si="11"/>
        <v>1.9316952557564519E-4</v>
      </c>
      <c r="O177" s="14" t="str">
        <f t="shared" si="12"/>
        <v xml:space="preserve"> </v>
      </c>
      <c r="P177" s="20">
        <f t="shared" si="13"/>
        <v>0</v>
      </c>
    </row>
    <row r="178" spans="1:16" x14ac:dyDescent="0.25">
      <c r="A178">
        <v>747824</v>
      </c>
      <c r="B178">
        <v>936</v>
      </c>
      <c r="C178">
        <v>110938</v>
      </c>
      <c r="D178" t="s">
        <v>11</v>
      </c>
      <c r="E178" t="s">
        <v>16</v>
      </c>
      <c r="F178" s="5">
        <v>21</v>
      </c>
      <c r="G178" s="5">
        <v>608</v>
      </c>
      <c r="H178" s="5">
        <v>0</v>
      </c>
      <c r="I178" s="8">
        <v>0</v>
      </c>
      <c r="J178" s="5">
        <v>1</v>
      </c>
      <c r="K178" s="5">
        <v>1</v>
      </c>
      <c r="L178" s="14">
        <f t="shared" si="10"/>
        <v>0</v>
      </c>
      <c r="M178" s="14" t="str">
        <f t="shared" si="14"/>
        <v xml:space="preserve"> </v>
      </c>
      <c r="N178" s="20">
        <f t="shared" si="11"/>
        <v>0</v>
      </c>
      <c r="O178" s="14">
        <f t="shared" si="12"/>
        <v>0</v>
      </c>
      <c r="P178" s="20">
        <f t="shared" si="13"/>
        <v>0</v>
      </c>
    </row>
    <row r="179" spans="1:16" x14ac:dyDescent="0.25">
      <c r="A179">
        <v>747828</v>
      </c>
      <c r="B179">
        <v>936</v>
      </c>
      <c r="C179">
        <v>110939</v>
      </c>
      <c r="D179" t="s">
        <v>11</v>
      </c>
      <c r="E179" t="s">
        <v>16</v>
      </c>
      <c r="F179" s="5">
        <v>22</v>
      </c>
      <c r="G179" s="5">
        <v>28488</v>
      </c>
      <c r="H179" s="5">
        <v>10</v>
      </c>
      <c r="I179" s="8">
        <v>9.3400000330000008</v>
      </c>
      <c r="J179" s="5">
        <v>1</v>
      </c>
      <c r="K179" s="5">
        <v>0</v>
      </c>
      <c r="L179" s="14">
        <f t="shared" si="10"/>
        <v>0.32785734460123567</v>
      </c>
      <c r="M179" s="14">
        <f t="shared" si="14"/>
        <v>0.9340000033000001</v>
      </c>
      <c r="N179" s="20">
        <f t="shared" si="11"/>
        <v>3.5102499297950013E-4</v>
      </c>
      <c r="O179" s="14" t="str">
        <f t="shared" si="12"/>
        <v xml:space="preserve"> </v>
      </c>
      <c r="P179" s="20">
        <f t="shared" si="13"/>
        <v>0</v>
      </c>
    </row>
    <row r="180" spans="1:16" x14ac:dyDescent="0.25">
      <c r="A180">
        <v>747852</v>
      </c>
      <c r="B180">
        <v>936</v>
      </c>
      <c r="C180">
        <v>110943</v>
      </c>
      <c r="D180" t="s">
        <v>11</v>
      </c>
      <c r="E180" t="s">
        <v>16</v>
      </c>
      <c r="F180" s="5">
        <v>26</v>
      </c>
      <c r="G180" s="5">
        <v>10126</v>
      </c>
      <c r="H180" s="5">
        <v>3</v>
      </c>
      <c r="I180" s="8">
        <v>4.6199998860000004</v>
      </c>
      <c r="J180" s="5">
        <v>1</v>
      </c>
      <c r="K180" s="5">
        <v>0</v>
      </c>
      <c r="L180" s="14">
        <f t="shared" si="10"/>
        <v>0.45625122318783334</v>
      </c>
      <c r="M180" s="14">
        <f t="shared" si="14"/>
        <v>1.5399999620000002</v>
      </c>
      <c r="N180" s="20">
        <f t="shared" si="11"/>
        <v>2.962670353545329E-4</v>
      </c>
      <c r="O180" s="14" t="str">
        <f t="shared" si="12"/>
        <v xml:space="preserve"> </v>
      </c>
      <c r="P180" s="20">
        <f t="shared" si="13"/>
        <v>0</v>
      </c>
    </row>
    <row r="181" spans="1:16" x14ac:dyDescent="0.25">
      <c r="A181">
        <v>747859</v>
      </c>
      <c r="B181">
        <v>936</v>
      </c>
      <c r="C181">
        <v>110944</v>
      </c>
      <c r="D181" t="s">
        <v>11</v>
      </c>
      <c r="E181" t="s">
        <v>16</v>
      </c>
      <c r="F181" s="5">
        <v>27</v>
      </c>
      <c r="G181" s="5">
        <v>22572</v>
      </c>
      <c r="H181" s="5">
        <v>5</v>
      </c>
      <c r="I181" s="8">
        <v>8.5</v>
      </c>
      <c r="J181" s="5">
        <v>1</v>
      </c>
      <c r="K181" s="5">
        <v>0</v>
      </c>
      <c r="L181" s="14">
        <f t="shared" si="10"/>
        <v>0.37657274499379767</v>
      </c>
      <c r="M181" s="14">
        <f t="shared" si="14"/>
        <v>1.7</v>
      </c>
      <c r="N181" s="20">
        <f t="shared" si="11"/>
        <v>2.2151337940811626E-4</v>
      </c>
      <c r="O181" s="14" t="str">
        <f t="shared" si="12"/>
        <v xml:space="preserve"> </v>
      </c>
      <c r="P181" s="20">
        <f t="shared" si="13"/>
        <v>0</v>
      </c>
    </row>
    <row r="182" spans="1:16" x14ac:dyDescent="0.25">
      <c r="A182">
        <v>747863</v>
      </c>
      <c r="B182">
        <v>936</v>
      </c>
      <c r="C182">
        <v>110944</v>
      </c>
      <c r="D182" t="s">
        <v>11</v>
      </c>
      <c r="E182" t="s">
        <v>16</v>
      </c>
      <c r="F182" s="5">
        <v>27</v>
      </c>
      <c r="G182" s="5">
        <v>1955</v>
      </c>
      <c r="H182" s="5">
        <v>0</v>
      </c>
      <c r="I182" s="8">
        <v>0</v>
      </c>
      <c r="J182" s="5">
        <v>1</v>
      </c>
      <c r="K182" s="5">
        <v>1</v>
      </c>
      <c r="L182" s="14">
        <f t="shared" si="10"/>
        <v>0</v>
      </c>
      <c r="M182" s="14" t="str">
        <f t="shared" si="14"/>
        <v xml:space="preserve"> </v>
      </c>
      <c r="N182" s="20">
        <f t="shared" si="11"/>
        <v>0</v>
      </c>
      <c r="O182" s="14">
        <f t="shared" si="12"/>
        <v>0</v>
      </c>
      <c r="P182" s="20">
        <f t="shared" si="13"/>
        <v>0</v>
      </c>
    </row>
    <row r="183" spans="1:16" x14ac:dyDescent="0.25">
      <c r="A183">
        <v>747879</v>
      </c>
      <c r="B183">
        <v>936</v>
      </c>
      <c r="C183">
        <v>110947</v>
      </c>
      <c r="D183" t="s">
        <v>11</v>
      </c>
      <c r="E183" t="s">
        <v>16</v>
      </c>
      <c r="F183" s="5">
        <v>30</v>
      </c>
      <c r="G183" s="5">
        <v>493</v>
      </c>
      <c r="H183" s="5">
        <v>0</v>
      </c>
      <c r="I183" s="8">
        <v>0</v>
      </c>
      <c r="J183" s="5">
        <v>1</v>
      </c>
      <c r="K183" s="5">
        <v>0</v>
      </c>
      <c r="L183" s="14">
        <f t="shared" si="10"/>
        <v>0</v>
      </c>
      <c r="M183" s="14" t="str">
        <f t="shared" si="14"/>
        <v xml:space="preserve"> </v>
      </c>
      <c r="N183" s="20">
        <f t="shared" si="11"/>
        <v>0</v>
      </c>
      <c r="O183" s="14" t="str">
        <f t="shared" si="12"/>
        <v xml:space="preserve"> </v>
      </c>
      <c r="P183" s="20">
        <f t="shared" si="13"/>
        <v>0</v>
      </c>
    </row>
    <row r="184" spans="1:16" x14ac:dyDescent="0.25">
      <c r="A184">
        <v>747903</v>
      </c>
      <c r="B184">
        <v>936</v>
      </c>
      <c r="C184">
        <v>110951</v>
      </c>
      <c r="D184" t="s">
        <v>11</v>
      </c>
      <c r="E184" t="s">
        <v>16</v>
      </c>
      <c r="F184" s="5">
        <v>63</v>
      </c>
      <c r="G184" s="5">
        <v>1491</v>
      </c>
      <c r="H184" s="5">
        <v>0</v>
      </c>
      <c r="I184" s="8">
        <v>0</v>
      </c>
      <c r="J184" s="5">
        <v>1</v>
      </c>
      <c r="K184" s="5">
        <v>1</v>
      </c>
      <c r="L184" s="14">
        <f t="shared" si="10"/>
        <v>0</v>
      </c>
      <c r="M184" s="14" t="str">
        <f t="shared" si="14"/>
        <v xml:space="preserve"> </v>
      </c>
      <c r="N184" s="20">
        <f t="shared" si="11"/>
        <v>0</v>
      </c>
      <c r="O184" s="14">
        <f t="shared" si="12"/>
        <v>0</v>
      </c>
      <c r="P184" s="20">
        <f t="shared" si="13"/>
        <v>0</v>
      </c>
    </row>
    <row r="185" spans="1:16" x14ac:dyDescent="0.25">
      <c r="A185">
        <v>747911</v>
      </c>
      <c r="B185">
        <v>936</v>
      </c>
      <c r="C185">
        <v>110952</v>
      </c>
      <c r="D185" t="s">
        <v>11</v>
      </c>
      <c r="E185" t="s">
        <v>16</v>
      </c>
      <c r="F185" s="5">
        <v>64</v>
      </c>
      <c r="G185" s="5">
        <v>1495</v>
      </c>
      <c r="H185" s="5">
        <v>0</v>
      </c>
      <c r="I185" s="8">
        <v>0</v>
      </c>
      <c r="J185" s="5">
        <v>1</v>
      </c>
      <c r="K185" s="5">
        <v>1</v>
      </c>
      <c r="L185" s="14">
        <f t="shared" si="10"/>
        <v>0</v>
      </c>
      <c r="M185" s="14" t="str">
        <f t="shared" si="14"/>
        <v xml:space="preserve"> </v>
      </c>
      <c r="N185" s="20">
        <f t="shared" si="11"/>
        <v>0</v>
      </c>
      <c r="O185" s="14">
        <f t="shared" si="12"/>
        <v>0</v>
      </c>
      <c r="P185" s="20">
        <f t="shared" si="13"/>
        <v>0</v>
      </c>
    </row>
    <row r="186" spans="1:16" x14ac:dyDescent="0.25">
      <c r="A186">
        <v>747968</v>
      </c>
      <c r="B186">
        <v>936</v>
      </c>
      <c r="C186">
        <v>110962</v>
      </c>
      <c r="D186" t="s">
        <v>13</v>
      </c>
      <c r="E186" t="s">
        <v>16</v>
      </c>
      <c r="F186" s="5">
        <v>21</v>
      </c>
      <c r="G186" s="5">
        <v>512</v>
      </c>
      <c r="H186" s="5">
        <v>0</v>
      </c>
      <c r="I186" s="8">
        <v>0</v>
      </c>
      <c r="J186" s="5">
        <v>0</v>
      </c>
      <c r="K186" s="5">
        <v>0</v>
      </c>
      <c r="L186" s="14">
        <f t="shared" si="10"/>
        <v>0</v>
      </c>
      <c r="M186" s="14" t="str">
        <f t="shared" si="14"/>
        <v xml:space="preserve"> </v>
      </c>
      <c r="N186" s="20">
        <f t="shared" si="11"/>
        <v>0</v>
      </c>
      <c r="O186" s="14" t="str">
        <f t="shared" si="12"/>
        <v xml:space="preserve"> </v>
      </c>
      <c r="P186" s="20">
        <f t="shared" si="13"/>
        <v>0</v>
      </c>
    </row>
    <row r="187" spans="1:16" x14ac:dyDescent="0.25">
      <c r="A187">
        <v>747991</v>
      </c>
      <c r="B187">
        <v>936</v>
      </c>
      <c r="C187">
        <v>110966</v>
      </c>
      <c r="D187" t="s">
        <v>13</v>
      </c>
      <c r="E187" t="s">
        <v>16</v>
      </c>
      <c r="F187" s="5">
        <v>25</v>
      </c>
      <c r="G187" s="5">
        <v>4868</v>
      </c>
      <c r="H187" s="5">
        <v>2</v>
      </c>
      <c r="I187" s="8">
        <v>2.420000076</v>
      </c>
      <c r="J187" s="5">
        <v>1</v>
      </c>
      <c r="K187" s="5">
        <v>0</v>
      </c>
      <c r="L187" s="14">
        <f t="shared" si="10"/>
        <v>0.49712409120788831</v>
      </c>
      <c r="M187" s="14">
        <f t="shared" si="14"/>
        <v>1.210000038</v>
      </c>
      <c r="N187" s="20">
        <f t="shared" si="11"/>
        <v>4.1084634346754312E-4</v>
      </c>
      <c r="O187" s="14" t="str">
        <f t="shared" si="12"/>
        <v xml:space="preserve"> </v>
      </c>
      <c r="P187" s="20">
        <f t="shared" si="13"/>
        <v>0</v>
      </c>
    </row>
    <row r="188" spans="1:16" x14ac:dyDescent="0.25">
      <c r="A188">
        <v>748000</v>
      </c>
      <c r="B188">
        <v>936</v>
      </c>
      <c r="C188">
        <v>110967</v>
      </c>
      <c r="D188" t="s">
        <v>13</v>
      </c>
      <c r="E188" t="s">
        <v>16</v>
      </c>
      <c r="F188" s="5">
        <v>26</v>
      </c>
      <c r="G188" s="5">
        <v>6585</v>
      </c>
      <c r="H188" s="5">
        <v>2</v>
      </c>
      <c r="I188" s="8">
        <v>2.9500000480000002</v>
      </c>
      <c r="J188" s="5">
        <v>1</v>
      </c>
      <c r="K188" s="5">
        <v>0</v>
      </c>
      <c r="L188" s="14">
        <f t="shared" si="10"/>
        <v>0.44798785846621109</v>
      </c>
      <c r="M188" s="14">
        <f t="shared" si="14"/>
        <v>1.4750000240000001</v>
      </c>
      <c r="N188" s="20">
        <f t="shared" si="11"/>
        <v>3.0372057706909645E-4</v>
      </c>
      <c r="O188" s="14" t="str">
        <f t="shared" si="12"/>
        <v xml:space="preserve"> </v>
      </c>
      <c r="P188" s="20">
        <f t="shared" si="13"/>
        <v>0</v>
      </c>
    </row>
    <row r="189" spans="1:16" x14ac:dyDescent="0.25">
      <c r="A189">
        <v>748007</v>
      </c>
      <c r="B189">
        <v>936</v>
      </c>
      <c r="C189">
        <v>110968</v>
      </c>
      <c r="D189" t="s">
        <v>13</v>
      </c>
      <c r="E189" t="s">
        <v>16</v>
      </c>
      <c r="F189" s="5">
        <v>27</v>
      </c>
      <c r="G189" s="5">
        <v>10164</v>
      </c>
      <c r="H189" s="5">
        <v>2</v>
      </c>
      <c r="I189" s="8">
        <v>3.7200000289999999</v>
      </c>
      <c r="J189" s="5">
        <v>1</v>
      </c>
      <c r="K189" s="5">
        <v>1</v>
      </c>
      <c r="L189" s="14">
        <f t="shared" si="10"/>
        <v>0.36599764157811882</v>
      </c>
      <c r="M189" s="14">
        <f t="shared" si="14"/>
        <v>1.8600000145</v>
      </c>
      <c r="N189" s="20">
        <f t="shared" si="11"/>
        <v>1.9677292404565131E-4</v>
      </c>
      <c r="O189" s="14">
        <f t="shared" si="12"/>
        <v>3.7200000289999999</v>
      </c>
      <c r="P189" s="20">
        <f t="shared" si="13"/>
        <v>0.5</v>
      </c>
    </row>
    <row r="190" spans="1:16" x14ac:dyDescent="0.25">
      <c r="A190">
        <v>748014</v>
      </c>
      <c r="B190">
        <v>936</v>
      </c>
      <c r="C190">
        <v>110970</v>
      </c>
      <c r="D190" t="s">
        <v>13</v>
      </c>
      <c r="E190" t="s">
        <v>16</v>
      </c>
      <c r="F190" s="5">
        <v>29</v>
      </c>
      <c r="G190" s="5">
        <v>11182</v>
      </c>
      <c r="H190" s="5">
        <v>4</v>
      </c>
      <c r="I190" s="8">
        <v>4.4499998090000004</v>
      </c>
      <c r="J190" s="5">
        <v>1</v>
      </c>
      <c r="K190" s="5">
        <v>0</v>
      </c>
      <c r="L190" s="14">
        <f t="shared" si="10"/>
        <v>0.39796099168306209</v>
      </c>
      <c r="M190" s="14">
        <f t="shared" si="14"/>
        <v>1.1124999522500001</v>
      </c>
      <c r="N190" s="20">
        <f t="shared" si="11"/>
        <v>3.5771776068681808E-4</v>
      </c>
      <c r="O190" s="14" t="str">
        <f t="shared" si="12"/>
        <v xml:space="preserve"> </v>
      </c>
      <c r="P190" s="20">
        <f t="shared" si="13"/>
        <v>0</v>
      </c>
    </row>
    <row r="191" spans="1:16" x14ac:dyDescent="0.25">
      <c r="A191">
        <v>748045</v>
      </c>
      <c r="B191">
        <v>936</v>
      </c>
      <c r="C191">
        <v>110975</v>
      </c>
      <c r="D191" t="s">
        <v>13</v>
      </c>
      <c r="E191" t="s">
        <v>16</v>
      </c>
      <c r="F191" s="5">
        <v>63</v>
      </c>
      <c r="G191" s="5">
        <v>1238</v>
      </c>
      <c r="H191" s="5">
        <v>0</v>
      </c>
      <c r="I191" s="8">
        <v>0</v>
      </c>
      <c r="J191" s="5">
        <v>1</v>
      </c>
      <c r="K191" s="5">
        <v>0</v>
      </c>
      <c r="L191" s="14">
        <f t="shared" si="10"/>
        <v>0</v>
      </c>
      <c r="M191" s="14" t="str">
        <f t="shared" si="14"/>
        <v xml:space="preserve"> </v>
      </c>
      <c r="N191" s="20">
        <f t="shared" si="11"/>
        <v>0</v>
      </c>
      <c r="O191" s="14" t="str">
        <f t="shared" si="12"/>
        <v xml:space="preserve"> </v>
      </c>
      <c r="P191" s="20">
        <f t="shared" si="13"/>
        <v>0</v>
      </c>
    </row>
    <row r="192" spans="1:16" x14ac:dyDescent="0.25">
      <c r="A192">
        <v>748086</v>
      </c>
      <c r="B192">
        <v>936</v>
      </c>
      <c r="C192">
        <v>110982</v>
      </c>
      <c r="D192" t="s">
        <v>14</v>
      </c>
      <c r="E192" t="s">
        <v>16</v>
      </c>
      <c r="F192" s="5">
        <v>16</v>
      </c>
      <c r="G192" s="5">
        <v>34127</v>
      </c>
      <c r="H192" s="5">
        <v>8</v>
      </c>
      <c r="I192" s="8">
        <v>13.07000017</v>
      </c>
      <c r="J192" s="5">
        <v>1</v>
      </c>
      <c r="K192" s="5">
        <v>0</v>
      </c>
      <c r="L192" s="14">
        <f t="shared" si="10"/>
        <v>0.38298122219943154</v>
      </c>
      <c r="M192" s="14">
        <f t="shared" si="14"/>
        <v>1.63375002125</v>
      </c>
      <c r="N192" s="20">
        <f t="shared" si="11"/>
        <v>2.3441849561930435E-4</v>
      </c>
      <c r="O192" s="14" t="str">
        <f t="shared" si="12"/>
        <v xml:space="preserve"> </v>
      </c>
      <c r="P192" s="20">
        <f t="shared" si="13"/>
        <v>0</v>
      </c>
    </row>
    <row r="193" spans="1:16" x14ac:dyDescent="0.25">
      <c r="A193">
        <v>748087</v>
      </c>
      <c r="B193">
        <v>936</v>
      </c>
      <c r="C193">
        <v>110982</v>
      </c>
      <c r="D193" t="s">
        <v>14</v>
      </c>
      <c r="E193" t="s">
        <v>16</v>
      </c>
      <c r="F193" s="5">
        <v>16</v>
      </c>
      <c r="G193" s="5">
        <v>29466</v>
      </c>
      <c r="H193" s="5">
        <v>7</v>
      </c>
      <c r="I193" s="8">
        <v>10.849999670000001</v>
      </c>
      <c r="J193" s="5">
        <v>2</v>
      </c>
      <c r="K193" s="5">
        <v>0</v>
      </c>
      <c r="L193" s="14">
        <f t="shared" si="10"/>
        <v>0.36822098927577551</v>
      </c>
      <c r="M193" s="14">
        <f t="shared" si="14"/>
        <v>1.5499999528571429</v>
      </c>
      <c r="N193" s="20">
        <f t="shared" si="11"/>
        <v>2.3756193579040251E-4</v>
      </c>
      <c r="O193" s="14" t="str">
        <f t="shared" si="12"/>
        <v xml:space="preserve"> </v>
      </c>
      <c r="P193" s="20">
        <f t="shared" si="13"/>
        <v>0</v>
      </c>
    </row>
    <row r="194" spans="1:16" x14ac:dyDescent="0.25">
      <c r="A194">
        <v>748089</v>
      </c>
      <c r="B194">
        <v>936</v>
      </c>
      <c r="C194">
        <v>110982</v>
      </c>
      <c r="D194" t="s">
        <v>14</v>
      </c>
      <c r="E194" t="s">
        <v>16</v>
      </c>
      <c r="F194" s="5">
        <v>16</v>
      </c>
      <c r="G194" s="5">
        <v>38759</v>
      </c>
      <c r="H194" s="5">
        <v>9</v>
      </c>
      <c r="I194" s="8">
        <v>10.849999670000001</v>
      </c>
      <c r="J194" s="5">
        <v>1</v>
      </c>
      <c r="K194" s="5">
        <v>0</v>
      </c>
      <c r="L194" s="14">
        <f t="shared" si="10"/>
        <v>0.27993497432854303</v>
      </c>
      <c r="M194" s="14">
        <f t="shared" si="14"/>
        <v>1.2055555188888889</v>
      </c>
      <c r="N194" s="20">
        <f t="shared" si="11"/>
        <v>2.3220413323357157E-4</v>
      </c>
      <c r="O194" s="14" t="str">
        <f t="shared" si="12"/>
        <v xml:space="preserve"> </v>
      </c>
      <c r="P194" s="20">
        <f t="shared" si="13"/>
        <v>0</v>
      </c>
    </row>
    <row r="195" spans="1:16" x14ac:dyDescent="0.25">
      <c r="A195">
        <v>748091</v>
      </c>
      <c r="B195">
        <v>936</v>
      </c>
      <c r="C195">
        <v>110982</v>
      </c>
      <c r="D195" t="s">
        <v>14</v>
      </c>
      <c r="E195" t="s">
        <v>16</v>
      </c>
      <c r="F195" s="5">
        <v>16</v>
      </c>
      <c r="G195" s="5">
        <v>41720</v>
      </c>
      <c r="H195" s="5">
        <v>10</v>
      </c>
      <c r="I195" s="8">
        <v>12.06000006</v>
      </c>
      <c r="J195" s="5">
        <v>1</v>
      </c>
      <c r="K195" s="5">
        <v>1</v>
      </c>
      <c r="L195" s="14">
        <f t="shared" ref="L195:L258" si="15">IF(G195=0,0,(I195/G195)*1000)</f>
        <v>0.28906999185043147</v>
      </c>
      <c r="M195" s="14">
        <f t="shared" si="14"/>
        <v>1.206000006</v>
      </c>
      <c r="N195" s="20">
        <f t="shared" ref="N195:N258" si="16">IF(G195=0,0,(H195/G195))</f>
        <v>2.3969319271332693E-4</v>
      </c>
      <c r="O195" s="14">
        <f t="shared" ref="O195:O258" si="17">IF(K195&gt;0, I195/K195, " ")</f>
        <v>12.06000006</v>
      </c>
      <c r="P195" s="20">
        <f t="shared" ref="P195:P258" si="18">IF(H195=0,0,(K195/H195))</f>
        <v>0.1</v>
      </c>
    </row>
    <row r="196" spans="1:16" x14ac:dyDescent="0.25">
      <c r="A196">
        <v>748225</v>
      </c>
      <c r="B196">
        <v>936</v>
      </c>
      <c r="C196">
        <v>111005</v>
      </c>
      <c r="D196" t="s">
        <v>15</v>
      </c>
      <c r="E196" t="s">
        <v>16</v>
      </c>
      <c r="F196" s="5">
        <v>15</v>
      </c>
      <c r="G196" s="5">
        <v>18602</v>
      </c>
      <c r="H196" s="5">
        <v>5</v>
      </c>
      <c r="I196" s="8">
        <v>8.8600001339999999</v>
      </c>
      <c r="J196" s="5">
        <v>1</v>
      </c>
      <c r="K196" s="5">
        <v>0</v>
      </c>
      <c r="L196" s="14">
        <f t="shared" si="15"/>
        <v>0.47629287893774863</v>
      </c>
      <c r="M196" s="14">
        <f t="shared" si="14"/>
        <v>1.7720000268</v>
      </c>
      <c r="N196" s="20">
        <f t="shared" si="16"/>
        <v>2.6878830233308245E-4</v>
      </c>
      <c r="O196" s="14" t="str">
        <f t="shared" si="17"/>
        <v xml:space="preserve"> </v>
      </c>
      <c r="P196" s="20">
        <f t="shared" si="18"/>
        <v>0</v>
      </c>
    </row>
    <row r="197" spans="1:16" x14ac:dyDescent="0.25">
      <c r="A197">
        <v>748230</v>
      </c>
      <c r="B197">
        <v>936</v>
      </c>
      <c r="C197">
        <v>111006</v>
      </c>
      <c r="D197" t="s">
        <v>15</v>
      </c>
      <c r="E197" t="s">
        <v>16</v>
      </c>
      <c r="F197" s="5">
        <v>16</v>
      </c>
      <c r="G197" s="5">
        <v>83929</v>
      </c>
      <c r="H197" s="5">
        <v>21</v>
      </c>
      <c r="I197" s="8">
        <v>27.729999540000001</v>
      </c>
      <c r="J197" s="5">
        <v>4</v>
      </c>
      <c r="K197" s="5">
        <v>1</v>
      </c>
      <c r="L197" s="14">
        <f t="shared" si="15"/>
        <v>0.33039830737885595</v>
      </c>
      <c r="M197" s="14">
        <f t="shared" ref="M197:M260" si="19">IF(H197&gt;0, I197/H197, " ")</f>
        <v>1.3204761685714286</v>
      </c>
      <c r="N197" s="20">
        <f t="shared" si="16"/>
        <v>2.5021148828176194E-4</v>
      </c>
      <c r="O197" s="14">
        <f t="shared" si="17"/>
        <v>27.729999540000001</v>
      </c>
      <c r="P197" s="20">
        <f t="shared" si="18"/>
        <v>4.7619047619047616E-2</v>
      </c>
    </row>
    <row r="198" spans="1:16" x14ac:dyDescent="0.25">
      <c r="A198">
        <v>748231</v>
      </c>
      <c r="B198">
        <v>936</v>
      </c>
      <c r="C198">
        <v>111006</v>
      </c>
      <c r="D198" t="s">
        <v>15</v>
      </c>
      <c r="E198" t="s">
        <v>16</v>
      </c>
      <c r="F198" s="5">
        <v>16</v>
      </c>
      <c r="G198" s="5">
        <v>25194</v>
      </c>
      <c r="H198" s="5">
        <v>6</v>
      </c>
      <c r="I198" s="8">
        <v>7.3499999049999998</v>
      </c>
      <c r="J198" s="5">
        <v>1</v>
      </c>
      <c r="K198" s="5">
        <v>0</v>
      </c>
      <c r="L198" s="14">
        <f t="shared" si="15"/>
        <v>0.29173612387870124</v>
      </c>
      <c r="M198" s="14">
        <f t="shared" si="19"/>
        <v>1.2249999841666666</v>
      </c>
      <c r="N198" s="20">
        <f t="shared" si="16"/>
        <v>2.3815194093831864E-4</v>
      </c>
      <c r="O198" s="14" t="str">
        <f t="shared" si="17"/>
        <v xml:space="preserve"> </v>
      </c>
      <c r="P198" s="20">
        <f t="shared" si="18"/>
        <v>0</v>
      </c>
    </row>
    <row r="199" spans="1:16" x14ac:dyDescent="0.25">
      <c r="A199">
        <v>748233</v>
      </c>
      <c r="B199">
        <v>936</v>
      </c>
      <c r="C199">
        <v>111006</v>
      </c>
      <c r="D199" t="s">
        <v>15</v>
      </c>
      <c r="E199" t="s">
        <v>16</v>
      </c>
      <c r="F199" s="5">
        <v>16</v>
      </c>
      <c r="G199" s="5">
        <v>78627</v>
      </c>
      <c r="H199" s="5">
        <v>19</v>
      </c>
      <c r="I199" s="8">
        <v>26.530000449999999</v>
      </c>
      <c r="J199" s="5">
        <v>1</v>
      </c>
      <c r="K199" s="5">
        <v>0</v>
      </c>
      <c r="L199" s="14">
        <f t="shared" si="15"/>
        <v>0.33741590611367595</v>
      </c>
      <c r="M199" s="14">
        <f t="shared" si="19"/>
        <v>1.3963158131578948</v>
      </c>
      <c r="N199" s="20">
        <f t="shared" si="16"/>
        <v>2.4164727129357601E-4</v>
      </c>
      <c r="O199" s="14" t="str">
        <f t="shared" si="17"/>
        <v xml:space="preserve"> </v>
      </c>
      <c r="P199" s="20">
        <f t="shared" si="18"/>
        <v>0</v>
      </c>
    </row>
    <row r="200" spans="1:16" x14ac:dyDescent="0.25">
      <c r="A200">
        <v>748235</v>
      </c>
      <c r="B200">
        <v>936</v>
      </c>
      <c r="C200">
        <v>111006</v>
      </c>
      <c r="D200" t="s">
        <v>15</v>
      </c>
      <c r="E200" t="s">
        <v>16</v>
      </c>
      <c r="F200" s="5">
        <v>16</v>
      </c>
      <c r="G200" s="5">
        <v>102695</v>
      </c>
      <c r="H200" s="5">
        <v>25</v>
      </c>
      <c r="I200" s="8">
        <v>39.42999983</v>
      </c>
      <c r="J200" s="5">
        <v>3</v>
      </c>
      <c r="K200" s="5">
        <v>0</v>
      </c>
      <c r="L200" s="14">
        <f t="shared" si="15"/>
        <v>0.38395247899118751</v>
      </c>
      <c r="M200" s="14">
        <f t="shared" si="19"/>
        <v>1.5771999932</v>
      </c>
      <c r="N200" s="20">
        <f t="shared" si="16"/>
        <v>2.4343931057987245E-4</v>
      </c>
      <c r="O200" s="14" t="str">
        <f t="shared" si="17"/>
        <v xml:space="preserve"> </v>
      </c>
      <c r="P200" s="20">
        <f t="shared" si="18"/>
        <v>0</v>
      </c>
    </row>
    <row r="201" spans="1:16" x14ac:dyDescent="0.25">
      <c r="A201">
        <v>748294</v>
      </c>
      <c r="B201">
        <v>936</v>
      </c>
      <c r="C201">
        <v>111016</v>
      </c>
      <c r="D201" t="s">
        <v>15</v>
      </c>
      <c r="E201" t="s">
        <v>16</v>
      </c>
      <c r="F201" s="5">
        <v>27</v>
      </c>
      <c r="G201" s="5">
        <v>82827</v>
      </c>
      <c r="H201" s="5">
        <v>24</v>
      </c>
      <c r="I201" s="8">
        <v>47.930000309999997</v>
      </c>
      <c r="J201" s="5">
        <v>3</v>
      </c>
      <c r="K201" s="5">
        <v>0</v>
      </c>
      <c r="L201" s="14">
        <f t="shared" si="15"/>
        <v>0.57867603933499945</v>
      </c>
      <c r="M201" s="14">
        <f t="shared" si="19"/>
        <v>1.9970833462499999</v>
      </c>
      <c r="N201" s="20">
        <f t="shared" si="16"/>
        <v>2.8976058531638235E-4</v>
      </c>
      <c r="O201" s="14" t="str">
        <f t="shared" si="17"/>
        <v xml:space="preserve"> </v>
      </c>
      <c r="P201" s="20">
        <f t="shared" si="18"/>
        <v>0</v>
      </c>
    </row>
    <row r="202" spans="1:16" x14ac:dyDescent="0.25">
      <c r="A202">
        <v>748295</v>
      </c>
      <c r="B202">
        <v>936</v>
      </c>
      <c r="C202">
        <v>111016</v>
      </c>
      <c r="D202" t="s">
        <v>15</v>
      </c>
      <c r="E202" t="s">
        <v>16</v>
      </c>
      <c r="F202" s="5">
        <v>27</v>
      </c>
      <c r="G202" s="5">
        <v>9240</v>
      </c>
      <c r="H202" s="5">
        <v>3</v>
      </c>
      <c r="I202" s="8">
        <v>6.0399999619999996</v>
      </c>
      <c r="J202" s="5">
        <v>1</v>
      </c>
      <c r="K202" s="5">
        <v>0</v>
      </c>
      <c r="L202" s="14">
        <f t="shared" si="15"/>
        <v>0.65367964956709956</v>
      </c>
      <c r="M202" s="14">
        <f t="shared" si="19"/>
        <v>2.0133333206666664</v>
      </c>
      <c r="N202" s="20">
        <f t="shared" si="16"/>
        <v>3.2467532467532468E-4</v>
      </c>
      <c r="O202" s="14" t="str">
        <f t="shared" si="17"/>
        <v xml:space="preserve"> </v>
      </c>
      <c r="P202" s="20">
        <f t="shared" si="18"/>
        <v>0</v>
      </c>
    </row>
    <row r="203" spans="1:16" x14ac:dyDescent="0.25">
      <c r="A203">
        <v>748303</v>
      </c>
      <c r="B203">
        <v>936</v>
      </c>
      <c r="C203">
        <v>111018</v>
      </c>
      <c r="D203" t="s">
        <v>15</v>
      </c>
      <c r="E203" t="s">
        <v>16</v>
      </c>
      <c r="F203" s="5">
        <v>29</v>
      </c>
      <c r="G203" s="5">
        <v>7706</v>
      </c>
      <c r="H203" s="5">
        <v>2</v>
      </c>
      <c r="I203" s="8">
        <v>2.369999886</v>
      </c>
      <c r="J203" s="5">
        <v>1</v>
      </c>
      <c r="K203" s="5">
        <v>0</v>
      </c>
      <c r="L203" s="14">
        <f t="shared" si="15"/>
        <v>0.30755254165585261</v>
      </c>
      <c r="M203" s="14">
        <f t="shared" si="19"/>
        <v>1.184999943</v>
      </c>
      <c r="N203" s="20">
        <f t="shared" si="16"/>
        <v>2.5953802232026989E-4</v>
      </c>
      <c r="O203" s="14" t="str">
        <f t="shared" si="17"/>
        <v xml:space="preserve"> </v>
      </c>
      <c r="P203" s="20">
        <f t="shared" si="18"/>
        <v>0</v>
      </c>
    </row>
    <row r="204" spans="1:16" x14ac:dyDescent="0.25">
      <c r="A204">
        <v>748314</v>
      </c>
      <c r="B204">
        <v>936</v>
      </c>
      <c r="C204">
        <v>111020</v>
      </c>
      <c r="D204" t="s">
        <v>15</v>
      </c>
      <c r="E204" t="s">
        <v>16</v>
      </c>
      <c r="F204" s="5">
        <v>31</v>
      </c>
      <c r="G204" s="5">
        <v>7821</v>
      </c>
      <c r="H204" s="5">
        <v>4</v>
      </c>
      <c r="I204" s="8">
        <v>6.3400001530000001</v>
      </c>
      <c r="J204" s="5">
        <v>1</v>
      </c>
      <c r="K204" s="5">
        <v>1</v>
      </c>
      <c r="L204" s="14">
        <f t="shared" si="15"/>
        <v>0.81063804539061501</v>
      </c>
      <c r="M204" s="14">
        <f t="shared" si="19"/>
        <v>1.58500003825</v>
      </c>
      <c r="N204" s="20">
        <f t="shared" si="16"/>
        <v>5.1144354941823301E-4</v>
      </c>
      <c r="O204" s="14">
        <f t="shared" si="17"/>
        <v>6.3400001530000001</v>
      </c>
      <c r="P204" s="20">
        <f t="shared" si="18"/>
        <v>0.25</v>
      </c>
    </row>
    <row r="205" spans="1:16" x14ac:dyDescent="0.25">
      <c r="A205">
        <v>748341</v>
      </c>
      <c r="B205">
        <v>936</v>
      </c>
      <c r="C205">
        <v>111024</v>
      </c>
      <c r="D205" t="s">
        <v>15</v>
      </c>
      <c r="E205" t="s">
        <v>16</v>
      </c>
      <c r="F205" s="5">
        <v>64</v>
      </c>
      <c r="G205" s="5">
        <v>1363</v>
      </c>
      <c r="H205" s="5">
        <v>0</v>
      </c>
      <c r="I205" s="8">
        <v>0</v>
      </c>
      <c r="J205" s="5">
        <v>1</v>
      </c>
      <c r="K205" s="5">
        <v>1</v>
      </c>
      <c r="L205" s="14">
        <f t="shared" si="15"/>
        <v>0</v>
      </c>
      <c r="M205" s="14" t="str">
        <f t="shared" si="19"/>
        <v xml:space="preserve"> </v>
      </c>
      <c r="N205" s="20">
        <f t="shared" si="16"/>
        <v>0</v>
      </c>
      <c r="O205" s="14">
        <f t="shared" si="17"/>
        <v>0</v>
      </c>
      <c r="P205" s="20">
        <f t="shared" si="18"/>
        <v>0</v>
      </c>
    </row>
    <row r="206" spans="1:16" x14ac:dyDescent="0.25">
      <c r="A206">
        <v>776318</v>
      </c>
      <c r="B206">
        <v>936</v>
      </c>
      <c r="C206">
        <v>115484</v>
      </c>
      <c r="D206" t="s">
        <v>15</v>
      </c>
      <c r="E206" t="s">
        <v>16</v>
      </c>
      <c r="F206" s="5">
        <v>15</v>
      </c>
      <c r="G206" s="5">
        <v>3569</v>
      </c>
      <c r="H206" s="5">
        <v>0</v>
      </c>
      <c r="I206" s="8">
        <v>0</v>
      </c>
      <c r="J206" s="5">
        <v>1</v>
      </c>
      <c r="K206" s="5">
        <v>1</v>
      </c>
      <c r="L206" s="14">
        <f t="shared" si="15"/>
        <v>0</v>
      </c>
      <c r="M206" s="14" t="str">
        <f t="shared" si="19"/>
        <v xml:space="preserve"> </v>
      </c>
      <c r="N206" s="20">
        <f t="shared" si="16"/>
        <v>0</v>
      </c>
      <c r="O206" s="14">
        <f t="shared" si="17"/>
        <v>0</v>
      </c>
      <c r="P206" s="20">
        <f t="shared" si="18"/>
        <v>0</v>
      </c>
    </row>
    <row r="207" spans="1:16" x14ac:dyDescent="0.25">
      <c r="A207">
        <v>776322</v>
      </c>
      <c r="B207">
        <v>936</v>
      </c>
      <c r="C207">
        <v>115485</v>
      </c>
      <c r="D207" t="s">
        <v>15</v>
      </c>
      <c r="E207" t="s">
        <v>16</v>
      </c>
      <c r="F207" s="5">
        <v>16</v>
      </c>
      <c r="G207" s="5">
        <v>119063</v>
      </c>
      <c r="H207" s="5">
        <v>34</v>
      </c>
      <c r="I207" s="8">
        <v>53.219999489999999</v>
      </c>
      <c r="J207" s="5">
        <v>1</v>
      </c>
      <c r="K207" s="5">
        <v>0</v>
      </c>
      <c r="L207" s="14">
        <f t="shared" si="15"/>
        <v>0.44699024457640074</v>
      </c>
      <c r="M207" s="14">
        <f t="shared" si="19"/>
        <v>1.5652941026470588</v>
      </c>
      <c r="N207" s="20">
        <f t="shared" si="16"/>
        <v>2.8556310524680212E-4</v>
      </c>
      <c r="O207" s="14" t="str">
        <f t="shared" si="17"/>
        <v xml:space="preserve"> </v>
      </c>
      <c r="P207" s="20">
        <f t="shared" si="18"/>
        <v>0</v>
      </c>
    </row>
    <row r="208" spans="1:16" x14ac:dyDescent="0.25">
      <c r="A208">
        <v>776323</v>
      </c>
      <c r="B208">
        <v>936</v>
      </c>
      <c r="C208">
        <v>115485</v>
      </c>
      <c r="D208" t="s">
        <v>15</v>
      </c>
      <c r="E208" t="s">
        <v>16</v>
      </c>
      <c r="F208" s="5">
        <v>16</v>
      </c>
      <c r="G208" s="5">
        <v>99078</v>
      </c>
      <c r="H208" s="5">
        <v>23</v>
      </c>
      <c r="I208" s="8">
        <v>35.799999479999997</v>
      </c>
      <c r="J208" s="5">
        <v>2</v>
      </c>
      <c r="K208" s="5">
        <v>0</v>
      </c>
      <c r="L208" s="14">
        <f t="shared" si="15"/>
        <v>0.36133147096227214</v>
      </c>
      <c r="M208" s="14">
        <f t="shared" si="19"/>
        <v>1.5565217165217391</v>
      </c>
      <c r="N208" s="20">
        <f t="shared" si="16"/>
        <v>2.3214033387835846E-4</v>
      </c>
      <c r="O208" s="14" t="str">
        <f t="shared" si="17"/>
        <v xml:space="preserve"> </v>
      </c>
      <c r="P208" s="20">
        <f t="shared" si="18"/>
        <v>0</v>
      </c>
    </row>
    <row r="209" spans="1:16" x14ac:dyDescent="0.25">
      <c r="A209">
        <v>776325</v>
      </c>
      <c r="B209">
        <v>936</v>
      </c>
      <c r="C209">
        <v>115485</v>
      </c>
      <c r="D209" t="s">
        <v>15</v>
      </c>
      <c r="E209" t="s">
        <v>16</v>
      </c>
      <c r="F209" s="5">
        <v>16</v>
      </c>
      <c r="G209" s="5">
        <v>452398</v>
      </c>
      <c r="H209" s="5">
        <v>114</v>
      </c>
      <c r="I209" s="8">
        <v>180.22000120000001</v>
      </c>
      <c r="J209" s="5">
        <v>1</v>
      </c>
      <c r="K209" s="5">
        <v>0</v>
      </c>
      <c r="L209" s="14">
        <f t="shared" si="15"/>
        <v>0.39836604317437302</v>
      </c>
      <c r="M209" s="14">
        <f t="shared" si="19"/>
        <v>1.5808772035087721</v>
      </c>
      <c r="N209" s="20">
        <f t="shared" si="16"/>
        <v>2.5199050393679903E-4</v>
      </c>
      <c r="O209" s="14" t="str">
        <f t="shared" si="17"/>
        <v xml:space="preserve"> </v>
      </c>
      <c r="P209" s="20">
        <f t="shared" si="18"/>
        <v>0</v>
      </c>
    </row>
    <row r="210" spans="1:16" x14ac:dyDescent="0.25">
      <c r="A210">
        <v>776334</v>
      </c>
      <c r="B210">
        <v>936</v>
      </c>
      <c r="C210">
        <v>115487</v>
      </c>
      <c r="D210" t="s">
        <v>15</v>
      </c>
      <c r="E210" t="s">
        <v>16</v>
      </c>
      <c r="F210" s="5">
        <v>10</v>
      </c>
      <c r="G210" s="5">
        <v>191223</v>
      </c>
      <c r="H210" s="5">
        <v>48</v>
      </c>
      <c r="I210" s="8">
        <v>76.41000056</v>
      </c>
      <c r="J210" s="5">
        <v>1</v>
      </c>
      <c r="K210" s="5">
        <v>0</v>
      </c>
      <c r="L210" s="14">
        <f t="shared" si="15"/>
        <v>0.39958582680953653</v>
      </c>
      <c r="M210" s="14">
        <f t="shared" si="19"/>
        <v>1.5918750116666667</v>
      </c>
      <c r="N210" s="20">
        <f t="shared" si="16"/>
        <v>2.5101582968575954E-4</v>
      </c>
      <c r="O210" s="14" t="str">
        <f t="shared" si="17"/>
        <v xml:space="preserve"> </v>
      </c>
      <c r="P210" s="20">
        <f t="shared" si="18"/>
        <v>0</v>
      </c>
    </row>
    <row r="211" spans="1:16" x14ac:dyDescent="0.25">
      <c r="A211">
        <v>776336</v>
      </c>
      <c r="B211">
        <v>936</v>
      </c>
      <c r="C211">
        <v>115487</v>
      </c>
      <c r="D211" t="s">
        <v>15</v>
      </c>
      <c r="E211" t="s">
        <v>16</v>
      </c>
      <c r="F211" s="5">
        <v>10</v>
      </c>
      <c r="G211" s="5">
        <v>22216</v>
      </c>
      <c r="H211" s="5">
        <v>6</v>
      </c>
      <c r="I211" s="8">
        <v>9.5499999520000003</v>
      </c>
      <c r="J211" s="5">
        <v>1</v>
      </c>
      <c r="K211" s="5">
        <v>0</v>
      </c>
      <c r="L211" s="14">
        <f t="shared" si="15"/>
        <v>0.42987036154123159</v>
      </c>
      <c r="M211" s="14">
        <f t="shared" si="19"/>
        <v>1.5916666586666668</v>
      </c>
      <c r="N211" s="20">
        <f t="shared" si="16"/>
        <v>2.7007562117392869E-4</v>
      </c>
      <c r="O211" s="14" t="str">
        <f t="shared" si="17"/>
        <v xml:space="preserve"> </v>
      </c>
      <c r="P211" s="20">
        <f t="shared" si="18"/>
        <v>0</v>
      </c>
    </row>
    <row r="212" spans="1:16" x14ac:dyDescent="0.25">
      <c r="A212">
        <v>776338</v>
      </c>
      <c r="B212">
        <v>936</v>
      </c>
      <c r="C212">
        <v>115487</v>
      </c>
      <c r="D212" t="s">
        <v>15</v>
      </c>
      <c r="E212" t="s">
        <v>16</v>
      </c>
      <c r="F212" s="5">
        <v>10</v>
      </c>
      <c r="G212" s="5">
        <v>48291</v>
      </c>
      <c r="H212" s="5">
        <v>11</v>
      </c>
      <c r="I212" s="8">
        <v>18.019999980000001</v>
      </c>
      <c r="J212" s="5">
        <v>1</v>
      </c>
      <c r="K212" s="5">
        <v>0</v>
      </c>
      <c r="L212" s="14">
        <f t="shared" si="15"/>
        <v>0.37315441759334039</v>
      </c>
      <c r="M212" s="14">
        <f t="shared" si="19"/>
        <v>1.6381818163636366</v>
      </c>
      <c r="N212" s="20">
        <f t="shared" si="16"/>
        <v>2.2778571576484232E-4</v>
      </c>
      <c r="O212" s="14" t="str">
        <f t="shared" si="17"/>
        <v xml:space="preserve"> </v>
      </c>
      <c r="P212" s="20">
        <f t="shared" si="18"/>
        <v>0</v>
      </c>
    </row>
    <row r="213" spans="1:16" x14ac:dyDescent="0.25">
      <c r="A213">
        <v>776353</v>
      </c>
      <c r="B213">
        <v>936</v>
      </c>
      <c r="C213">
        <v>115490</v>
      </c>
      <c r="D213" t="s">
        <v>14</v>
      </c>
      <c r="E213" t="s">
        <v>16</v>
      </c>
      <c r="F213" s="5">
        <v>63</v>
      </c>
      <c r="G213" s="5">
        <v>27559</v>
      </c>
      <c r="H213" s="5">
        <v>8</v>
      </c>
      <c r="I213" s="8">
        <v>13.37</v>
      </c>
      <c r="J213" s="5">
        <v>1</v>
      </c>
      <c r="K213" s="5">
        <v>0</v>
      </c>
      <c r="L213" s="14">
        <f t="shared" si="15"/>
        <v>0.48514097028194053</v>
      </c>
      <c r="M213" s="14">
        <f t="shared" si="19"/>
        <v>1.6712499999999999</v>
      </c>
      <c r="N213" s="20">
        <f t="shared" si="16"/>
        <v>2.9028629485830401E-4</v>
      </c>
      <c r="O213" s="14" t="str">
        <f t="shared" si="17"/>
        <v xml:space="preserve"> </v>
      </c>
      <c r="P213" s="20">
        <f t="shared" si="18"/>
        <v>0</v>
      </c>
    </row>
    <row r="214" spans="1:16" x14ac:dyDescent="0.25">
      <c r="A214">
        <v>776373</v>
      </c>
      <c r="B214">
        <v>936</v>
      </c>
      <c r="C214">
        <v>115493</v>
      </c>
      <c r="D214" t="s">
        <v>15</v>
      </c>
      <c r="E214" t="s">
        <v>16</v>
      </c>
      <c r="F214" s="5">
        <v>25</v>
      </c>
      <c r="G214" s="5">
        <v>10194</v>
      </c>
      <c r="H214" s="5">
        <v>4</v>
      </c>
      <c r="I214" s="8">
        <v>4.5900000329999999</v>
      </c>
      <c r="J214" s="5">
        <v>2</v>
      </c>
      <c r="K214" s="5">
        <v>1</v>
      </c>
      <c r="L214" s="14">
        <f t="shared" si="15"/>
        <v>0.45026486492054146</v>
      </c>
      <c r="M214" s="14">
        <f t="shared" si="19"/>
        <v>1.14750000825</v>
      </c>
      <c r="N214" s="20">
        <f t="shared" si="16"/>
        <v>3.9238767902687857E-4</v>
      </c>
      <c r="O214" s="14">
        <f t="shared" si="17"/>
        <v>4.5900000329999999</v>
      </c>
      <c r="P214" s="20">
        <f t="shared" si="18"/>
        <v>0.25</v>
      </c>
    </row>
    <row r="215" spans="1:16" x14ac:dyDescent="0.25">
      <c r="A215">
        <v>776383</v>
      </c>
      <c r="B215">
        <v>936</v>
      </c>
      <c r="C215">
        <v>115495</v>
      </c>
      <c r="D215" t="s">
        <v>15</v>
      </c>
      <c r="E215" t="s">
        <v>16</v>
      </c>
      <c r="F215" s="5">
        <v>23</v>
      </c>
      <c r="G215" s="5">
        <v>1168</v>
      </c>
      <c r="H215" s="5">
        <v>0</v>
      </c>
      <c r="I215" s="8">
        <v>0</v>
      </c>
      <c r="J215" s="5">
        <v>1</v>
      </c>
      <c r="K215" s="5">
        <v>1</v>
      </c>
      <c r="L215" s="14">
        <f t="shared" si="15"/>
        <v>0</v>
      </c>
      <c r="M215" s="14" t="str">
        <f t="shared" si="19"/>
        <v xml:space="preserve"> </v>
      </c>
      <c r="N215" s="20">
        <f t="shared" si="16"/>
        <v>0</v>
      </c>
      <c r="O215" s="14">
        <f t="shared" si="17"/>
        <v>0</v>
      </c>
      <c r="P215" s="20">
        <f t="shared" si="18"/>
        <v>0</v>
      </c>
    </row>
    <row r="216" spans="1:16" x14ac:dyDescent="0.25">
      <c r="A216">
        <v>776405</v>
      </c>
      <c r="B216">
        <v>936</v>
      </c>
      <c r="C216">
        <v>115498</v>
      </c>
      <c r="D216" t="s">
        <v>15</v>
      </c>
      <c r="E216" t="s">
        <v>16</v>
      </c>
      <c r="F216" s="5">
        <v>21</v>
      </c>
      <c r="G216" s="5">
        <v>40126</v>
      </c>
      <c r="H216" s="5">
        <v>16</v>
      </c>
      <c r="I216" s="8">
        <v>25.86000001</v>
      </c>
      <c r="J216" s="5">
        <v>1</v>
      </c>
      <c r="K216" s="5">
        <v>0</v>
      </c>
      <c r="L216" s="14">
        <f t="shared" si="15"/>
        <v>0.64446992000199366</v>
      </c>
      <c r="M216" s="14">
        <f t="shared" si="19"/>
        <v>1.616250000625</v>
      </c>
      <c r="N216" s="20">
        <f t="shared" si="16"/>
        <v>3.9874395653690872E-4</v>
      </c>
      <c r="O216" s="14" t="str">
        <f t="shared" si="17"/>
        <v xml:space="preserve"> </v>
      </c>
      <c r="P216" s="20">
        <f t="shared" si="18"/>
        <v>0</v>
      </c>
    </row>
    <row r="217" spans="1:16" x14ac:dyDescent="0.25">
      <c r="A217">
        <v>776416</v>
      </c>
      <c r="B217">
        <v>936</v>
      </c>
      <c r="C217">
        <v>115500</v>
      </c>
      <c r="D217" t="s">
        <v>15</v>
      </c>
      <c r="E217" t="s">
        <v>16</v>
      </c>
      <c r="F217" s="5">
        <v>19</v>
      </c>
      <c r="G217" s="5">
        <v>3659</v>
      </c>
      <c r="H217" s="5">
        <v>1</v>
      </c>
      <c r="I217" s="8">
        <v>0.49000000999999999</v>
      </c>
      <c r="J217" s="5">
        <v>1</v>
      </c>
      <c r="K217" s="5">
        <v>1</v>
      </c>
      <c r="L217" s="14">
        <f t="shared" si="15"/>
        <v>0.13391637332604536</v>
      </c>
      <c r="M217" s="14">
        <f t="shared" si="19"/>
        <v>0.49000000999999999</v>
      </c>
      <c r="N217" s="20">
        <f t="shared" si="16"/>
        <v>2.7329871549603714E-4</v>
      </c>
      <c r="O217" s="14">
        <f t="shared" si="17"/>
        <v>0.49000000999999999</v>
      </c>
      <c r="P217" s="20">
        <f t="shared" si="18"/>
        <v>1</v>
      </c>
    </row>
    <row r="218" spans="1:16" x14ac:dyDescent="0.25">
      <c r="A218">
        <v>776430</v>
      </c>
      <c r="B218">
        <v>936</v>
      </c>
      <c r="C218">
        <v>115503</v>
      </c>
      <c r="D218" t="s">
        <v>11</v>
      </c>
      <c r="E218" t="s">
        <v>12</v>
      </c>
      <c r="F218" s="5">
        <v>10</v>
      </c>
      <c r="G218" s="5">
        <v>3200</v>
      </c>
      <c r="H218" s="5">
        <v>0</v>
      </c>
      <c r="I218" s="8">
        <v>0</v>
      </c>
      <c r="J218" s="5">
        <v>1</v>
      </c>
      <c r="K218" s="5">
        <v>0</v>
      </c>
      <c r="L218" s="14">
        <f t="shared" si="15"/>
        <v>0</v>
      </c>
      <c r="M218" s="14" t="str">
        <f t="shared" si="19"/>
        <v xml:space="preserve"> </v>
      </c>
      <c r="N218" s="20">
        <f t="shared" si="16"/>
        <v>0</v>
      </c>
      <c r="O218" s="14" t="str">
        <f t="shared" si="17"/>
        <v xml:space="preserve"> </v>
      </c>
      <c r="P218" s="20">
        <f t="shared" si="18"/>
        <v>0</v>
      </c>
    </row>
    <row r="219" spans="1:16" x14ac:dyDescent="0.25">
      <c r="A219">
        <v>776464</v>
      </c>
      <c r="B219">
        <v>936</v>
      </c>
      <c r="C219">
        <v>115508</v>
      </c>
      <c r="D219" t="s">
        <v>15</v>
      </c>
      <c r="E219" t="s">
        <v>16</v>
      </c>
      <c r="F219" s="5">
        <v>29</v>
      </c>
      <c r="G219" s="5">
        <v>7550</v>
      </c>
      <c r="H219" s="5">
        <v>1</v>
      </c>
      <c r="I219" s="8">
        <v>1.6799999480000001</v>
      </c>
      <c r="J219" s="5">
        <v>1</v>
      </c>
      <c r="K219" s="5">
        <v>1</v>
      </c>
      <c r="L219" s="14">
        <f t="shared" si="15"/>
        <v>0.2225165494039735</v>
      </c>
      <c r="M219" s="14">
        <f t="shared" si="19"/>
        <v>1.6799999480000001</v>
      </c>
      <c r="N219" s="20">
        <f t="shared" si="16"/>
        <v>1.3245033112582781E-4</v>
      </c>
      <c r="O219" s="14">
        <f t="shared" si="17"/>
        <v>1.6799999480000001</v>
      </c>
      <c r="P219" s="20">
        <f t="shared" si="18"/>
        <v>1</v>
      </c>
    </row>
    <row r="220" spans="1:16" x14ac:dyDescent="0.25">
      <c r="A220">
        <v>776469</v>
      </c>
      <c r="B220">
        <v>936</v>
      </c>
      <c r="C220">
        <v>115509</v>
      </c>
      <c r="D220" t="s">
        <v>15</v>
      </c>
      <c r="E220" t="s">
        <v>16</v>
      </c>
      <c r="F220" s="5">
        <v>28</v>
      </c>
      <c r="G220" s="5">
        <v>45397</v>
      </c>
      <c r="H220" s="5">
        <v>15</v>
      </c>
      <c r="I220" s="8">
        <v>25.419999359999998</v>
      </c>
      <c r="J220" s="5">
        <v>1</v>
      </c>
      <c r="K220" s="5">
        <v>1</v>
      </c>
      <c r="L220" s="14">
        <f t="shared" si="15"/>
        <v>0.55994888120360364</v>
      </c>
      <c r="M220" s="14">
        <f t="shared" si="19"/>
        <v>1.6946666239999999</v>
      </c>
      <c r="N220" s="20">
        <f t="shared" si="16"/>
        <v>3.3041830957992817E-4</v>
      </c>
      <c r="O220" s="14">
        <f t="shared" si="17"/>
        <v>25.419999359999998</v>
      </c>
      <c r="P220" s="20">
        <f t="shared" si="18"/>
        <v>6.6666666666666666E-2</v>
      </c>
    </row>
    <row r="221" spans="1:16" x14ac:dyDescent="0.25">
      <c r="A221">
        <v>776473</v>
      </c>
      <c r="B221">
        <v>936</v>
      </c>
      <c r="C221">
        <v>115510</v>
      </c>
      <c r="D221" t="s">
        <v>11</v>
      </c>
      <c r="E221" t="s">
        <v>12</v>
      </c>
      <c r="F221" s="5">
        <v>16</v>
      </c>
      <c r="G221" s="5">
        <v>23086</v>
      </c>
      <c r="H221" s="5">
        <v>2</v>
      </c>
      <c r="I221" s="8">
        <v>3.3100000619999999</v>
      </c>
      <c r="J221" s="5">
        <v>1</v>
      </c>
      <c r="K221" s="5">
        <v>1</v>
      </c>
      <c r="L221" s="14">
        <f t="shared" si="15"/>
        <v>0.14337694108983801</v>
      </c>
      <c r="M221" s="14">
        <f t="shared" si="19"/>
        <v>1.6550000309999999</v>
      </c>
      <c r="N221" s="20">
        <f t="shared" si="16"/>
        <v>8.6632591180802222E-5</v>
      </c>
      <c r="O221" s="14">
        <f t="shared" si="17"/>
        <v>3.3100000619999999</v>
      </c>
      <c r="P221" s="20">
        <f t="shared" si="18"/>
        <v>0.5</v>
      </c>
    </row>
    <row r="222" spans="1:16" x14ac:dyDescent="0.25">
      <c r="A222">
        <v>776475</v>
      </c>
      <c r="B222">
        <v>936</v>
      </c>
      <c r="C222">
        <v>115510</v>
      </c>
      <c r="D222" t="s">
        <v>11</v>
      </c>
      <c r="E222" t="s">
        <v>12</v>
      </c>
      <c r="F222" s="5">
        <v>16</v>
      </c>
      <c r="G222" s="5">
        <v>16425</v>
      </c>
      <c r="H222" s="5">
        <v>1</v>
      </c>
      <c r="I222" s="8">
        <v>1.5499999520000001</v>
      </c>
      <c r="J222" s="5">
        <v>1</v>
      </c>
      <c r="K222" s="5">
        <v>0</v>
      </c>
      <c r="L222" s="14">
        <f t="shared" si="15"/>
        <v>9.4368338021308978E-2</v>
      </c>
      <c r="M222" s="14">
        <f t="shared" si="19"/>
        <v>1.5499999520000001</v>
      </c>
      <c r="N222" s="20">
        <f t="shared" si="16"/>
        <v>6.0882800608828003E-5</v>
      </c>
      <c r="O222" s="14" t="str">
        <f t="shared" si="17"/>
        <v xml:space="preserve"> </v>
      </c>
      <c r="P222" s="20">
        <f t="shared" si="18"/>
        <v>0</v>
      </c>
    </row>
    <row r="223" spans="1:16" x14ac:dyDescent="0.25">
      <c r="A223">
        <v>776476</v>
      </c>
      <c r="B223">
        <v>936</v>
      </c>
      <c r="C223">
        <v>115510</v>
      </c>
      <c r="D223" t="s">
        <v>11</v>
      </c>
      <c r="E223" t="s">
        <v>12</v>
      </c>
      <c r="F223" s="5">
        <v>16</v>
      </c>
      <c r="G223" s="5">
        <v>43756</v>
      </c>
      <c r="H223" s="5">
        <v>5</v>
      </c>
      <c r="I223" s="8">
        <v>5.4399999379999997</v>
      </c>
      <c r="J223" s="5">
        <v>0</v>
      </c>
      <c r="K223" s="5">
        <v>0</v>
      </c>
      <c r="L223" s="14">
        <f t="shared" si="15"/>
        <v>0.12432580532955481</v>
      </c>
      <c r="M223" s="14">
        <f t="shared" si="19"/>
        <v>1.0879999875999999</v>
      </c>
      <c r="N223" s="20">
        <f t="shared" si="16"/>
        <v>1.1427004296553616E-4</v>
      </c>
      <c r="O223" s="14" t="str">
        <f t="shared" si="17"/>
        <v xml:space="preserve"> </v>
      </c>
      <c r="P223" s="20">
        <f t="shared" si="18"/>
        <v>0</v>
      </c>
    </row>
    <row r="224" spans="1:16" x14ac:dyDescent="0.25">
      <c r="A224">
        <v>776477</v>
      </c>
      <c r="B224">
        <v>936</v>
      </c>
      <c r="C224">
        <v>115510</v>
      </c>
      <c r="D224" t="s">
        <v>11</v>
      </c>
      <c r="E224" t="s">
        <v>12</v>
      </c>
      <c r="F224" s="5">
        <v>16</v>
      </c>
      <c r="G224" s="5">
        <v>9982</v>
      </c>
      <c r="H224" s="5">
        <v>0</v>
      </c>
      <c r="I224" s="8">
        <v>0</v>
      </c>
      <c r="J224" s="5">
        <v>1</v>
      </c>
      <c r="K224" s="5">
        <v>0</v>
      </c>
      <c r="L224" s="14">
        <f t="shared" si="15"/>
        <v>0</v>
      </c>
      <c r="M224" s="14" t="str">
        <f t="shared" si="19"/>
        <v xml:space="preserve"> </v>
      </c>
      <c r="N224" s="20">
        <f t="shared" si="16"/>
        <v>0</v>
      </c>
      <c r="O224" s="14" t="str">
        <f t="shared" si="17"/>
        <v xml:space="preserve"> </v>
      </c>
      <c r="P224" s="20">
        <f t="shared" si="18"/>
        <v>0</v>
      </c>
    </row>
    <row r="225" spans="1:16" x14ac:dyDescent="0.25">
      <c r="A225">
        <v>776489</v>
      </c>
      <c r="B225">
        <v>936</v>
      </c>
      <c r="C225">
        <v>115512</v>
      </c>
      <c r="D225" t="s">
        <v>15</v>
      </c>
      <c r="E225" t="s">
        <v>16</v>
      </c>
      <c r="F225" s="5">
        <v>26</v>
      </c>
      <c r="G225" s="5">
        <v>175389</v>
      </c>
      <c r="H225" s="5">
        <v>55</v>
      </c>
      <c r="I225" s="8">
        <v>81.609997870000001</v>
      </c>
      <c r="J225" s="5">
        <v>1</v>
      </c>
      <c r="K225" s="5">
        <v>0</v>
      </c>
      <c r="L225" s="14">
        <f t="shared" si="15"/>
        <v>0.46530853058059513</v>
      </c>
      <c r="M225" s="14">
        <f t="shared" si="19"/>
        <v>1.4838181430909092</v>
      </c>
      <c r="N225" s="20">
        <f t="shared" si="16"/>
        <v>3.1358865151178236E-4</v>
      </c>
      <c r="O225" s="14" t="str">
        <f t="shared" si="17"/>
        <v xml:space="preserve"> </v>
      </c>
      <c r="P225" s="20">
        <f t="shared" si="18"/>
        <v>0</v>
      </c>
    </row>
    <row r="226" spans="1:16" x14ac:dyDescent="0.25">
      <c r="A226">
        <v>776494</v>
      </c>
      <c r="B226">
        <v>936</v>
      </c>
      <c r="C226">
        <v>115513</v>
      </c>
      <c r="D226" t="s">
        <v>11</v>
      </c>
      <c r="E226" t="s">
        <v>12</v>
      </c>
      <c r="F226" s="5">
        <v>15</v>
      </c>
      <c r="G226" s="5">
        <v>7015</v>
      </c>
      <c r="H226" s="5">
        <v>0</v>
      </c>
      <c r="I226" s="8">
        <v>0</v>
      </c>
      <c r="J226" s="5">
        <v>1</v>
      </c>
      <c r="K226" s="5">
        <v>0</v>
      </c>
      <c r="L226" s="14">
        <f t="shared" si="15"/>
        <v>0</v>
      </c>
      <c r="M226" s="14" t="str">
        <f t="shared" si="19"/>
        <v xml:space="preserve"> </v>
      </c>
      <c r="N226" s="20">
        <f t="shared" si="16"/>
        <v>0</v>
      </c>
      <c r="O226" s="14" t="str">
        <f t="shared" si="17"/>
        <v xml:space="preserve"> </v>
      </c>
      <c r="P226" s="20">
        <f t="shared" si="18"/>
        <v>0</v>
      </c>
    </row>
    <row r="227" spans="1:16" x14ac:dyDescent="0.25">
      <c r="A227">
        <v>776515</v>
      </c>
      <c r="B227">
        <v>936</v>
      </c>
      <c r="C227">
        <v>115517</v>
      </c>
      <c r="D227" t="s">
        <v>15</v>
      </c>
      <c r="E227" t="s">
        <v>16</v>
      </c>
      <c r="F227" s="5">
        <v>65</v>
      </c>
      <c r="G227" s="5">
        <v>12706</v>
      </c>
      <c r="H227" s="5">
        <v>3</v>
      </c>
      <c r="I227" s="8">
        <v>4.98999989</v>
      </c>
      <c r="J227" s="5">
        <v>1</v>
      </c>
      <c r="K227" s="5">
        <v>1</v>
      </c>
      <c r="L227" s="14">
        <f t="shared" si="15"/>
        <v>0.39272783645521803</v>
      </c>
      <c r="M227" s="14">
        <f t="shared" si="19"/>
        <v>1.6633332966666667</v>
      </c>
      <c r="N227" s="20">
        <f t="shared" si="16"/>
        <v>2.3610892491736187E-4</v>
      </c>
      <c r="O227" s="14">
        <f t="shared" si="17"/>
        <v>4.98999989</v>
      </c>
      <c r="P227" s="20">
        <f t="shared" si="18"/>
        <v>0.33333333333333331</v>
      </c>
    </row>
    <row r="228" spans="1:16" x14ac:dyDescent="0.25">
      <c r="A228">
        <v>776519</v>
      </c>
      <c r="B228">
        <v>936</v>
      </c>
      <c r="C228">
        <v>115517</v>
      </c>
      <c r="D228" t="s">
        <v>15</v>
      </c>
      <c r="E228" t="s">
        <v>16</v>
      </c>
      <c r="F228" s="5">
        <v>65</v>
      </c>
      <c r="G228" s="5">
        <v>70702</v>
      </c>
      <c r="H228" s="5">
        <v>20</v>
      </c>
      <c r="I228" s="8">
        <v>31.709999799999999</v>
      </c>
      <c r="J228" s="5">
        <v>1</v>
      </c>
      <c r="K228" s="5">
        <v>0</v>
      </c>
      <c r="L228" s="14">
        <f t="shared" si="15"/>
        <v>0.44850216118355918</v>
      </c>
      <c r="M228" s="14">
        <f t="shared" si="19"/>
        <v>1.58549999</v>
      </c>
      <c r="N228" s="20">
        <f t="shared" si="16"/>
        <v>2.8287742920992336E-4</v>
      </c>
      <c r="O228" s="14" t="str">
        <f t="shared" si="17"/>
        <v xml:space="preserve"> </v>
      </c>
      <c r="P228" s="20">
        <f t="shared" si="18"/>
        <v>0</v>
      </c>
    </row>
    <row r="229" spans="1:16" x14ac:dyDescent="0.25">
      <c r="A229">
        <v>776533</v>
      </c>
      <c r="B229">
        <v>936</v>
      </c>
      <c r="C229">
        <v>115520</v>
      </c>
      <c r="D229" t="s">
        <v>15</v>
      </c>
      <c r="E229" t="s">
        <v>16</v>
      </c>
      <c r="F229" s="5">
        <v>63</v>
      </c>
      <c r="G229" s="5">
        <v>63927</v>
      </c>
      <c r="H229" s="5">
        <v>16</v>
      </c>
      <c r="I229" s="8">
        <v>25.520000459999999</v>
      </c>
      <c r="J229" s="5">
        <v>2</v>
      </c>
      <c r="K229" s="5">
        <v>0</v>
      </c>
      <c r="L229" s="14">
        <f t="shared" si="15"/>
        <v>0.39920535079074565</v>
      </c>
      <c r="M229" s="14">
        <f t="shared" si="19"/>
        <v>1.5950000287499999</v>
      </c>
      <c r="N229" s="20">
        <f t="shared" si="16"/>
        <v>2.5028548187776685E-4</v>
      </c>
      <c r="O229" s="14" t="str">
        <f t="shared" si="17"/>
        <v xml:space="preserve"> </v>
      </c>
      <c r="P229" s="20">
        <f t="shared" si="18"/>
        <v>0</v>
      </c>
    </row>
    <row r="230" spans="1:16" x14ac:dyDescent="0.25">
      <c r="A230">
        <v>776534</v>
      </c>
      <c r="B230">
        <v>936</v>
      </c>
      <c r="C230">
        <v>115520</v>
      </c>
      <c r="D230" t="s">
        <v>15</v>
      </c>
      <c r="E230" t="s">
        <v>16</v>
      </c>
      <c r="F230" s="5">
        <v>63</v>
      </c>
      <c r="G230" s="5">
        <v>15105</v>
      </c>
      <c r="H230" s="5">
        <v>3</v>
      </c>
      <c r="I230" s="8">
        <v>4.2599999899999998</v>
      </c>
      <c r="J230" s="5">
        <v>1</v>
      </c>
      <c r="K230" s="5">
        <v>0</v>
      </c>
      <c r="L230" s="14">
        <f t="shared" si="15"/>
        <v>0.28202581860311154</v>
      </c>
      <c r="M230" s="14">
        <f t="shared" si="19"/>
        <v>1.4199999966666665</v>
      </c>
      <c r="N230" s="20">
        <f t="shared" si="16"/>
        <v>1.9860973187686197E-4</v>
      </c>
      <c r="O230" s="14" t="str">
        <f t="shared" si="17"/>
        <v xml:space="preserve"> </v>
      </c>
      <c r="P230" s="20">
        <f t="shared" si="18"/>
        <v>0</v>
      </c>
    </row>
    <row r="231" spans="1:16" x14ac:dyDescent="0.25">
      <c r="A231">
        <v>776538</v>
      </c>
      <c r="B231">
        <v>936</v>
      </c>
      <c r="C231">
        <v>115521</v>
      </c>
      <c r="D231" t="s">
        <v>11</v>
      </c>
      <c r="E231" t="s">
        <v>16</v>
      </c>
      <c r="F231" s="5">
        <v>15</v>
      </c>
      <c r="G231" s="5">
        <v>8774</v>
      </c>
      <c r="H231" s="5">
        <v>1</v>
      </c>
      <c r="I231" s="8">
        <v>1.8300000430000001</v>
      </c>
      <c r="J231" s="5">
        <v>1</v>
      </c>
      <c r="K231" s="5">
        <v>0</v>
      </c>
      <c r="L231" s="14">
        <f t="shared" si="15"/>
        <v>0.20857078219740144</v>
      </c>
      <c r="M231" s="14">
        <f t="shared" si="19"/>
        <v>1.8300000430000001</v>
      </c>
      <c r="N231" s="20">
        <f t="shared" si="16"/>
        <v>1.1397310234784591E-4</v>
      </c>
      <c r="O231" s="14" t="str">
        <f t="shared" si="17"/>
        <v xml:space="preserve"> </v>
      </c>
      <c r="P231" s="20">
        <f t="shared" si="18"/>
        <v>0</v>
      </c>
    </row>
    <row r="232" spans="1:16" x14ac:dyDescent="0.25">
      <c r="A232">
        <v>776551</v>
      </c>
      <c r="B232">
        <v>936</v>
      </c>
      <c r="C232">
        <v>115523</v>
      </c>
      <c r="D232" t="s">
        <v>11</v>
      </c>
      <c r="E232" t="s">
        <v>16</v>
      </c>
      <c r="F232" s="5">
        <v>16</v>
      </c>
      <c r="G232" s="5">
        <v>14459</v>
      </c>
      <c r="H232" s="5">
        <v>1</v>
      </c>
      <c r="I232" s="8">
        <v>1.3899999860000001</v>
      </c>
      <c r="J232" s="5">
        <v>1</v>
      </c>
      <c r="K232" s="5">
        <v>0</v>
      </c>
      <c r="L232" s="14">
        <f t="shared" si="15"/>
        <v>9.6133894875164272E-2</v>
      </c>
      <c r="M232" s="14">
        <f t="shared" si="19"/>
        <v>1.3899999860000001</v>
      </c>
      <c r="N232" s="20">
        <f t="shared" si="16"/>
        <v>6.9161076146344842E-5</v>
      </c>
      <c r="O232" s="14" t="str">
        <f t="shared" si="17"/>
        <v xml:space="preserve"> </v>
      </c>
      <c r="P232" s="20">
        <f t="shared" si="18"/>
        <v>0</v>
      </c>
    </row>
    <row r="233" spans="1:16" x14ac:dyDescent="0.25">
      <c r="A233">
        <v>776552</v>
      </c>
      <c r="B233">
        <v>936</v>
      </c>
      <c r="C233">
        <v>115523</v>
      </c>
      <c r="D233" t="s">
        <v>11</v>
      </c>
      <c r="E233" t="s">
        <v>16</v>
      </c>
      <c r="F233" s="5">
        <v>16</v>
      </c>
      <c r="G233" s="5">
        <v>21596</v>
      </c>
      <c r="H233" s="5">
        <v>2</v>
      </c>
      <c r="I233" s="8">
        <v>2.8099999430000002</v>
      </c>
      <c r="J233" s="5">
        <v>1</v>
      </c>
      <c r="K233" s="5">
        <v>0</v>
      </c>
      <c r="L233" s="14">
        <f t="shared" si="15"/>
        <v>0.13011668563622894</v>
      </c>
      <c r="M233" s="14">
        <f t="shared" si="19"/>
        <v>1.4049999715000001</v>
      </c>
      <c r="N233" s="20">
        <f t="shared" si="16"/>
        <v>9.2609742544915726E-5</v>
      </c>
      <c r="O233" s="14" t="str">
        <f t="shared" si="17"/>
        <v xml:space="preserve"> </v>
      </c>
      <c r="P233" s="20">
        <f t="shared" si="18"/>
        <v>0</v>
      </c>
    </row>
    <row r="234" spans="1:16" x14ac:dyDescent="0.25">
      <c r="A234">
        <v>776553</v>
      </c>
      <c r="B234">
        <v>936</v>
      </c>
      <c r="C234">
        <v>115523</v>
      </c>
      <c r="D234" t="s">
        <v>11</v>
      </c>
      <c r="E234" t="s">
        <v>16</v>
      </c>
      <c r="F234" s="5">
        <v>16</v>
      </c>
      <c r="G234" s="5">
        <v>66765</v>
      </c>
      <c r="H234" s="5">
        <v>8</v>
      </c>
      <c r="I234" s="8">
        <v>11.04999971</v>
      </c>
      <c r="J234" s="5">
        <v>1</v>
      </c>
      <c r="K234" s="5">
        <v>0</v>
      </c>
      <c r="L234" s="14">
        <f t="shared" si="15"/>
        <v>0.16550587448513443</v>
      </c>
      <c r="M234" s="14">
        <f t="shared" si="19"/>
        <v>1.38124996375</v>
      </c>
      <c r="N234" s="20">
        <f t="shared" si="16"/>
        <v>1.1982326069048154E-4</v>
      </c>
      <c r="O234" s="14" t="str">
        <f t="shared" si="17"/>
        <v xml:space="preserve"> </v>
      </c>
      <c r="P234" s="20">
        <f t="shared" si="18"/>
        <v>0</v>
      </c>
    </row>
    <row r="235" spans="1:16" x14ac:dyDescent="0.25">
      <c r="A235">
        <v>776563</v>
      </c>
      <c r="B235">
        <v>936</v>
      </c>
      <c r="C235">
        <v>115525</v>
      </c>
      <c r="D235" t="s">
        <v>11</v>
      </c>
      <c r="E235" t="s">
        <v>16</v>
      </c>
      <c r="F235" s="5">
        <v>7</v>
      </c>
      <c r="G235" s="5">
        <v>1369</v>
      </c>
      <c r="H235" s="5">
        <v>0</v>
      </c>
      <c r="I235" s="8">
        <v>0</v>
      </c>
      <c r="J235" s="5">
        <v>1</v>
      </c>
      <c r="K235" s="5">
        <v>1</v>
      </c>
      <c r="L235" s="14">
        <f t="shared" si="15"/>
        <v>0</v>
      </c>
      <c r="M235" s="14" t="str">
        <f t="shared" si="19"/>
        <v xml:space="preserve"> </v>
      </c>
      <c r="N235" s="20">
        <f t="shared" si="16"/>
        <v>0</v>
      </c>
      <c r="O235" s="14">
        <f t="shared" si="17"/>
        <v>0</v>
      </c>
      <c r="P235" s="20">
        <f t="shared" si="18"/>
        <v>0</v>
      </c>
    </row>
    <row r="236" spans="1:16" x14ac:dyDescent="0.25">
      <c r="A236">
        <v>776579</v>
      </c>
      <c r="B236">
        <v>936</v>
      </c>
      <c r="C236">
        <v>115527</v>
      </c>
      <c r="D236" t="s">
        <v>11</v>
      </c>
      <c r="E236" t="s">
        <v>16</v>
      </c>
      <c r="F236" s="5">
        <v>10</v>
      </c>
      <c r="G236" s="5">
        <v>26910</v>
      </c>
      <c r="H236" s="5">
        <v>5</v>
      </c>
      <c r="I236" s="8">
        <v>7.2299997810000001</v>
      </c>
      <c r="J236" s="5">
        <v>1</v>
      </c>
      <c r="K236" s="5">
        <v>0</v>
      </c>
      <c r="L236" s="14">
        <f t="shared" si="15"/>
        <v>0.26867334749163879</v>
      </c>
      <c r="M236" s="14">
        <f t="shared" si="19"/>
        <v>1.4459999562000001</v>
      </c>
      <c r="N236" s="20">
        <f t="shared" si="16"/>
        <v>1.8580453363062059E-4</v>
      </c>
      <c r="O236" s="14" t="str">
        <f t="shared" si="17"/>
        <v xml:space="preserve"> </v>
      </c>
      <c r="P236" s="20">
        <f t="shared" si="18"/>
        <v>0</v>
      </c>
    </row>
    <row r="237" spans="1:16" x14ac:dyDescent="0.25">
      <c r="A237">
        <v>776603</v>
      </c>
      <c r="B237">
        <v>936</v>
      </c>
      <c r="C237">
        <v>115531</v>
      </c>
      <c r="D237" t="s">
        <v>11</v>
      </c>
      <c r="E237" t="s">
        <v>16</v>
      </c>
      <c r="F237" s="5">
        <v>2</v>
      </c>
      <c r="G237" s="5">
        <v>506</v>
      </c>
      <c r="H237" s="5">
        <v>0</v>
      </c>
      <c r="I237" s="8">
        <v>0</v>
      </c>
      <c r="J237" s="5">
        <v>1</v>
      </c>
      <c r="K237" s="5">
        <v>0</v>
      </c>
      <c r="L237" s="14">
        <f t="shared" si="15"/>
        <v>0</v>
      </c>
      <c r="M237" s="14" t="str">
        <f t="shared" si="19"/>
        <v xml:space="preserve"> </v>
      </c>
      <c r="N237" s="20">
        <f t="shared" si="16"/>
        <v>0</v>
      </c>
      <c r="O237" s="14" t="str">
        <f t="shared" si="17"/>
        <v xml:space="preserve"> </v>
      </c>
      <c r="P237" s="20">
        <f t="shared" si="18"/>
        <v>0</v>
      </c>
    </row>
    <row r="238" spans="1:16" x14ac:dyDescent="0.25">
      <c r="A238">
        <v>776615</v>
      </c>
      <c r="B238">
        <v>936</v>
      </c>
      <c r="C238">
        <v>115533</v>
      </c>
      <c r="D238" t="s">
        <v>15</v>
      </c>
      <c r="E238" t="s">
        <v>12</v>
      </c>
      <c r="F238" s="5">
        <v>63</v>
      </c>
      <c r="G238" s="5">
        <v>11988</v>
      </c>
      <c r="H238" s="5">
        <v>3</v>
      </c>
      <c r="I238" s="8">
        <v>4.2699998619999997</v>
      </c>
      <c r="J238" s="5">
        <v>1</v>
      </c>
      <c r="K238" s="5">
        <v>0</v>
      </c>
      <c r="L238" s="14">
        <f t="shared" si="15"/>
        <v>0.35618951134467802</v>
      </c>
      <c r="M238" s="14">
        <f t="shared" si="19"/>
        <v>1.4233332873333333</v>
      </c>
      <c r="N238" s="20">
        <f t="shared" si="16"/>
        <v>2.5025025025025025E-4</v>
      </c>
      <c r="O238" s="14" t="str">
        <f t="shared" si="17"/>
        <v xml:space="preserve"> </v>
      </c>
      <c r="P238" s="20">
        <f t="shared" si="18"/>
        <v>0</v>
      </c>
    </row>
    <row r="239" spans="1:16" x14ac:dyDescent="0.25">
      <c r="A239">
        <v>776623</v>
      </c>
      <c r="B239">
        <v>936</v>
      </c>
      <c r="C239">
        <v>115535</v>
      </c>
      <c r="D239" t="s">
        <v>15</v>
      </c>
      <c r="E239" t="s">
        <v>12</v>
      </c>
      <c r="F239" s="5">
        <v>64</v>
      </c>
      <c r="G239" s="5">
        <v>19353</v>
      </c>
      <c r="H239" s="5">
        <v>6</v>
      </c>
      <c r="I239" s="8">
        <v>9.4799998999999993</v>
      </c>
      <c r="J239" s="5">
        <v>1</v>
      </c>
      <c r="K239" s="5">
        <v>1</v>
      </c>
      <c r="L239" s="14">
        <f t="shared" si="15"/>
        <v>0.48984653025370745</v>
      </c>
      <c r="M239" s="14">
        <f t="shared" si="19"/>
        <v>1.5799999833333331</v>
      </c>
      <c r="N239" s="20">
        <f t="shared" si="16"/>
        <v>3.1002945279801579E-4</v>
      </c>
      <c r="O239" s="14">
        <f t="shared" si="17"/>
        <v>9.4799998999999993</v>
      </c>
      <c r="P239" s="20">
        <f t="shared" si="18"/>
        <v>0.16666666666666666</v>
      </c>
    </row>
    <row r="240" spans="1:16" x14ac:dyDescent="0.25">
      <c r="A240">
        <v>776631</v>
      </c>
      <c r="B240">
        <v>936</v>
      </c>
      <c r="C240">
        <v>115536</v>
      </c>
      <c r="D240" t="s">
        <v>14</v>
      </c>
      <c r="E240" t="s">
        <v>12</v>
      </c>
      <c r="F240" s="5">
        <v>29</v>
      </c>
      <c r="G240" s="5">
        <v>10960</v>
      </c>
      <c r="H240" s="5">
        <v>2</v>
      </c>
      <c r="I240" s="8">
        <v>2.8900001049999999</v>
      </c>
      <c r="J240" s="5">
        <v>1</v>
      </c>
      <c r="K240" s="5">
        <v>0</v>
      </c>
      <c r="L240" s="14">
        <f t="shared" si="15"/>
        <v>0.26368614096715326</v>
      </c>
      <c r="M240" s="14">
        <f t="shared" si="19"/>
        <v>1.4450000525</v>
      </c>
      <c r="N240" s="20">
        <f t="shared" si="16"/>
        <v>1.8248175182481751E-4</v>
      </c>
      <c r="O240" s="14" t="str">
        <f t="shared" si="17"/>
        <v xml:space="preserve"> </v>
      </c>
      <c r="P240" s="20">
        <f t="shared" si="18"/>
        <v>0</v>
      </c>
    </row>
    <row r="241" spans="1:16" x14ac:dyDescent="0.25">
      <c r="A241">
        <v>776643</v>
      </c>
      <c r="B241">
        <v>936</v>
      </c>
      <c r="C241">
        <v>115538</v>
      </c>
      <c r="D241" t="s">
        <v>11</v>
      </c>
      <c r="E241" t="s">
        <v>12</v>
      </c>
      <c r="F241" s="5">
        <v>15</v>
      </c>
      <c r="G241" s="5">
        <v>33491</v>
      </c>
      <c r="H241" s="5">
        <v>6</v>
      </c>
      <c r="I241" s="8">
        <v>10.56999969</v>
      </c>
      <c r="J241" s="5">
        <v>2</v>
      </c>
      <c r="K241" s="5">
        <v>1</v>
      </c>
      <c r="L241" s="14">
        <f t="shared" si="15"/>
        <v>0.31560716879161566</v>
      </c>
      <c r="M241" s="14">
        <f t="shared" si="19"/>
        <v>1.761666615</v>
      </c>
      <c r="N241" s="20">
        <f t="shared" si="16"/>
        <v>1.7915260816338719E-4</v>
      </c>
      <c r="O241" s="14">
        <f t="shared" si="17"/>
        <v>10.56999969</v>
      </c>
      <c r="P241" s="20">
        <f t="shared" si="18"/>
        <v>0.16666666666666666</v>
      </c>
    </row>
    <row r="242" spans="1:16" x14ac:dyDescent="0.25">
      <c r="A242">
        <v>776644</v>
      </c>
      <c r="B242">
        <v>936</v>
      </c>
      <c r="C242">
        <v>115538</v>
      </c>
      <c r="D242" t="s">
        <v>11</v>
      </c>
      <c r="E242" t="s">
        <v>12</v>
      </c>
      <c r="F242" s="5">
        <v>15</v>
      </c>
      <c r="G242" s="5">
        <v>20083</v>
      </c>
      <c r="H242" s="5">
        <v>2</v>
      </c>
      <c r="I242" s="8">
        <v>3.2000000480000002</v>
      </c>
      <c r="J242" s="5">
        <v>2</v>
      </c>
      <c r="K242" s="5">
        <v>1</v>
      </c>
      <c r="L242" s="14">
        <f t="shared" si="15"/>
        <v>0.15933874660160335</v>
      </c>
      <c r="M242" s="14">
        <f t="shared" si="19"/>
        <v>1.6000000240000001</v>
      </c>
      <c r="N242" s="20">
        <f t="shared" si="16"/>
        <v>9.9586715132201359E-5</v>
      </c>
      <c r="O242" s="14">
        <f t="shared" si="17"/>
        <v>3.2000000480000002</v>
      </c>
      <c r="P242" s="20">
        <f t="shared" si="18"/>
        <v>0.5</v>
      </c>
    </row>
    <row r="243" spans="1:16" x14ac:dyDescent="0.25">
      <c r="A243">
        <v>776659</v>
      </c>
      <c r="B243">
        <v>936</v>
      </c>
      <c r="C243">
        <v>115541</v>
      </c>
      <c r="D243" t="s">
        <v>11</v>
      </c>
      <c r="E243" t="s">
        <v>12</v>
      </c>
      <c r="F243" s="5">
        <v>16</v>
      </c>
      <c r="G243" s="5">
        <v>8817</v>
      </c>
      <c r="H243" s="5">
        <v>0</v>
      </c>
      <c r="I243" s="8">
        <v>0</v>
      </c>
      <c r="J243" s="5">
        <v>1</v>
      </c>
      <c r="K243" s="5">
        <v>1</v>
      </c>
      <c r="L243" s="14">
        <f t="shared" si="15"/>
        <v>0</v>
      </c>
      <c r="M243" s="14" t="str">
        <f t="shared" si="19"/>
        <v xml:space="preserve"> </v>
      </c>
      <c r="N243" s="20">
        <f t="shared" si="16"/>
        <v>0</v>
      </c>
      <c r="O243" s="14">
        <f t="shared" si="17"/>
        <v>0</v>
      </c>
      <c r="P243" s="20">
        <f t="shared" si="18"/>
        <v>0</v>
      </c>
    </row>
    <row r="244" spans="1:16" x14ac:dyDescent="0.25">
      <c r="A244">
        <v>776661</v>
      </c>
      <c r="B244">
        <v>936</v>
      </c>
      <c r="C244">
        <v>115541</v>
      </c>
      <c r="D244" t="s">
        <v>11</v>
      </c>
      <c r="E244" t="s">
        <v>12</v>
      </c>
      <c r="F244" s="5">
        <v>16</v>
      </c>
      <c r="G244" s="5">
        <v>15466</v>
      </c>
      <c r="H244" s="5">
        <v>1</v>
      </c>
      <c r="I244" s="8">
        <v>0.97000002900000004</v>
      </c>
      <c r="J244" s="5">
        <v>1</v>
      </c>
      <c r="K244" s="5">
        <v>0</v>
      </c>
      <c r="L244" s="14">
        <f t="shared" si="15"/>
        <v>6.271822248803828E-2</v>
      </c>
      <c r="M244" s="14">
        <f t="shared" si="19"/>
        <v>0.97000002900000004</v>
      </c>
      <c r="N244" s="20">
        <f t="shared" si="16"/>
        <v>6.4657959394801506E-5</v>
      </c>
      <c r="O244" s="14" t="str">
        <f t="shared" si="17"/>
        <v xml:space="preserve"> </v>
      </c>
      <c r="P244" s="20">
        <f t="shared" si="18"/>
        <v>0</v>
      </c>
    </row>
    <row r="245" spans="1:16" x14ac:dyDescent="0.25">
      <c r="A245">
        <v>776662</v>
      </c>
      <c r="B245">
        <v>936</v>
      </c>
      <c r="C245">
        <v>115541</v>
      </c>
      <c r="D245" t="s">
        <v>11</v>
      </c>
      <c r="E245" t="s">
        <v>12</v>
      </c>
      <c r="F245" s="5">
        <v>16</v>
      </c>
      <c r="G245" s="5">
        <v>27072</v>
      </c>
      <c r="H245" s="5">
        <v>3</v>
      </c>
      <c r="I245" s="8">
        <v>4.3700000049999996</v>
      </c>
      <c r="J245" s="5">
        <v>1</v>
      </c>
      <c r="K245" s="5">
        <v>0</v>
      </c>
      <c r="L245" s="14">
        <f t="shared" si="15"/>
        <v>0.16142139498374705</v>
      </c>
      <c r="M245" s="14">
        <f t="shared" si="19"/>
        <v>1.4566666683333331</v>
      </c>
      <c r="N245" s="20">
        <f t="shared" si="16"/>
        <v>1.1081560283687943E-4</v>
      </c>
      <c r="O245" s="14" t="str">
        <f t="shared" si="17"/>
        <v xml:space="preserve"> </v>
      </c>
      <c r="P245" s="20">
        <f t="shared" si="18"/>
        <v>0</v>
      </c>
    </row>
    <row r="246" spans="1:16" x14ac:dyDescent="0.25">
      <c r="A246">
        <v>776663</v>
      </c>
      <c r="B246">
        <v>936</v>
      </c>
      <c r="C246">
        <v>115541</v>
      </c>
      <c r="D246" t="s">
        <v>11</v>
      </c>
      <c r="E246" t="s">
        <v>12</v>
      </c>
      <c r="F246" s="5">
        <v>16</v>
      </c>
      <c r="G246" s="5">
        <v>15753</v>
      </c>
      <c r="H246" s="5">
        <v>1</v>
      </c>
      <c r="I246" s="8">
        <v>0.56999999300000004</v>
      </c>
      <c r="J246" s="5">
        <v>1</v>
      </c>
      <c r="K246" s="5">
        <v>1</v>
      </c>
      <c r="L246" s="14">
        <f t="shared" si="15"/>
        <v>3.6183583634863202E-2</v>
      </c>
      <c r="M246" s="14">
        <f t="shared" si="19"/>
        <v>0.56999999300000004</v>
      </c>
      <c r="N246" s="20">
        <f t="shared" si="16"/>
        <v>6.3479972068812291E-5</v>
      </c>
      <c r="O246" s="14">
        <f t="shared" si="17"/>
        <v>0.56999999300000004</v>
      </c>
      <c r="P246" s="20">
        <f t="shared" si="18"/>
        <v>1</v>
      </c>
    </row>
    <row r="247" spans="1:16" x14ac:dyDescent="0.25">
      <c r="A247">
        <v>776668</v>
      </c>
      <c r="B247">
        <v>936</v>
      </c>
      <c r="C247">
        <v>115542</v>
      </c>
      <c r="D247" t="s">
        <v>14</v>
      </c>
      <c r="E247" t="s">
        <v>12</v>
      </c>
      <c r="F247" s="5">
        <v>19</v>
      </c>
      <c r="G247" s="5">
        <v>3523</v>
      </c>
      <c r="H247" s="5">
        <v>1</v>
      </c>
      <c r="I247" s="8">
        <v>1.809999943</v>
      </c>
      <c r="J247" s="5">
        <v>1</v>
      </c>
      <c r="K247" s="5">
        <v>1</v>
      </c>
      <c r="L247" s="14">
        <f t="shared" si="15"/>
        <v>0.51376665994890713</v>
      </c>
      <c r="M247" s="14">
        <f t="shared" si="19"/>
        <v>1.809999943</v>
      </c>
      <c r="N247" s="20">
        <f t="shared" si="16"/>
        <v>2.838489923360772E-4</v>
      </c>
      <c r="O247" s="14">
        <f t="shared" si="17"/>
        <v>1.809999943</v>
      </c>
      <c r="P247" s="20">
        <f t="shared" si="18"/>
        <v>1</v>
      </c>
    </row>
    <row r="248" spans="1:16" x14ac:dyDescent="0.25">
      <c r="A248">
        <v>776685</v>
      </c>
      <c r="B248">
        <v>936</v>
      </c>
      <c r="C248">
        <v>115545</v>
      </c>
      <c r="D248" t="s">
        <v>14</v>
      </c>
      <c r="E248" t="s">
        <v>12</v>
      </c>
      <c r="F248" s="5">
        <v>16</v>
      </c>
      <c r="G248" s="5">
        <v>7745</v>
      </c>
      <c r="H248" s="5">
        <v>0</v>
      </c>
      <c r="I248" s="8">
        <v>0</v>
      </c>
      <c r="J248" s="5">
        <v>1</v>
      </c>
      <c r="K248" s="5">
        <v>0</v>
      </c>
      <c r="L248" s="14">
        <f t="shared" si="15"/>
        <v>0</v>
      </c>
      <c r="M248" s="14" t="str">
        <f t="shared" si="19"/>
        <v xml:space="preserve"> </v>
      </c>
      <c r="N248" s="20">
        <f t="shared" si="16"/>
        <v>0</v>
      </c>
      <c r="O248" s="14" t="str">
        <f t="shared" si="17"/>
        <v xml:space="preserve"> </v>
      </c>
      <c r="P248" s="20">
        <f t="shared" si="18"/>
        <v>0</v>
      </c>
    </row>
    <row r="249" spans="1:16" x14ac:dyDescent="0.25">
      <c r="A249">
        <v>776686</v>
      </c>
      <c r="B249">
        <v>936</v>
      </c>
      <c r="C249">
        <v>115545</v>
      </c>
      <c r="D249" t="s">
        <v>14</v>
      </c>
      <c r="E249" t="s">
        <v>12</v>
      </c>
      <c r="F249" s="5">
        <v>16</v>
      </c>
      <c r="G249" s="5">
        <v>18709</v>
      </c>
      <c r="H249" s="5">
        <v>2</v>
      </c>
      <c r="I249" s="8">
        <v>3.3199999330000001</v>
      </c>
      <c r="J249" s="5">
        <v>1</v>
      </c>
      <c r="K249" s="5">
        <v>0</v>
      </c>
      <c r="L249" s="14">
        <f t="shared" si="15"/>
        <v>0.1774546973649046</v>
      </c>
      <c r="M249" s="14">
        <f t="shared" si="19"/>
        <v>1.6599999665</v>
      </c>
      <c r="N249" s="20">
        <f t="shared" si="16"/>
        <v>1.0690042225666791E-4</v>
      </c>
      <c r="O249" s="14" t="str">
        <f t="shared" si="17"/>
        <v xml:space="preserve"> </v>
      </c>
      <c r="P249" s="20">
        <f t="shared" si="18"/>
        <v>0</v>
      </c>
    </row>
    <row r="250" spans="1:16" x14ac:dyDescent="0.25">
      <c r="A250">
        <v>776687</v>
      </c>
      <c r="B250">
        <v>936</v>
      </c>
      <c r="C250">
        <v>115545</v>
      </c>
      <c r="D250" t="s">
        <v>14</v>
      </c>
      <c r="E250" t="s">
        <v>12</v>
      </c>
      <c r="F250" s="5">
        <v>16</v>
      </c>
      <c r="G250" s="5">
        <v>8022</v>
      </c>
      <c r="H250" s="5">
        <v>0</v>
      </c>
      <c r="I250" s="8">
        <v>0</v>
      </c>
      <c r="J250" s="5">
        <v>2</v>
      </c>
      <c r="K250" s="5">
        <v>1</v>
      </c>
      <c r="L250" s="14">
        <f t="shared" si="15"/>
        <v>0</v>
      </c>
      <c r="M250" s="14" t="str">
        <f t="shared" si="19"/>
        <v xml:space="preserve"> </v>
      </c>
      <c r="N250" s="20">
        <f t="shared" si="16"/>
        <v>0</v>
      </c>
      <c r="O250" s="14">
        <f t="shared" si="17"/>
        <v>0</v>
      </c>
      <c r="P250" s="20">
        <f t="shared" si="18"/>
        <v>0</v>
      </c>
    </row>
    <row r="251" spans="1:16" x14ac:dyDescent="0.25">
      <c r="A251">
        <v>776696</v>
      </c>
      <c r="B251">
        <v>936</v>
      </c>
      <c r="C251">
        <v>115547</v>
      </c>
      <c r="D251" t="s">
        <v>11</v>
      </c>
      <c r="E251" t="s">
        <v>12</v>
      </c>
      <c r="F251" s="5">
        <v>10</v>
      </c>
      <c r="G251" s="5">
        <v>7966</v>
      </c>
      <c r="H251" s="5">
        <v>1</v>
      </c>
      <c r="I251" s="8">
        <v>1.1799999480000001</v>
      </c>
      <c r="J251" s="5">
        <v>1</v>
      </c>
      <c r="K251" s="5">
        <v>1</v>
      </c>
      <c r="L251" s="14">
        <f t="shared" si="15"/>
        <v>0.14812954406226464</v>
      </c>
      <c r="M251" s="14">
        <f t="shared" si="19"/>
        <v>1.1799999480000001</v>
      </c>
      <c r="N251" s="20">
        <f t="shared" si="16"/>
        <v>1.2553351744915893E-4</v>
      </c>
      <c r="O251" s="14">
        <f t="shared" si="17"/>
        <v>1.1799999480000001</v>
      </c>
      <c r="P251" s="20">
        <f t="shared" si="18"/>
        <v>1</v>
      </c>
    </row>
    <row r="252" spans="1:16" x14ac:dyDescent="0.25">
      <c r="A252">
        <v>776697</v>
      </c>
      <c r="B252">
        <v>936</v>
      </c>
      <c r="C252">
        <v>115547</v>
      </c>
      <c r="D252" t="s">
        <v>11</v>
      </c>
      <c r="E252" t="s">
        <v>12</v>
      </c>
      <c r="F252" s="5">
        <v>10</v>
      </c>
      <c r="G252" s="5">
        <v>4132</v>
      </c>
      <c r="H252" s="5">
        <v>0</v>
      </c>
      <c r="I252" s="8">
        <v>0</v>
      </c>
      <c r="J252" s="5">
        <v>1</v>
      </c>
      <c r="K252" s="5">
        <v>1</v>
      </c>
      <c r="L252" s="14">
        <f t="shared" si="15"/>
        <v>0</v>
      </c>
      <c r="M252" s="14" t="str">
        <f t="shared" si="19"/>
        <v xml:space="preserve"> </v>
      </c>
      <c r="N252" s="20">
        <f t="shared" si="16"/>
        <v>0</v>
      </c>
      <c r="O252" s="14">
        <f t="shared" si="17"/>
        <v>0</v>
      </c>
      <c r="P252" s="20">
        <f t="shared" si="18"/>
        <v>0</v>
      </c>
    </row>
    <row r="253" spans="1:16" x14ac:dyDescent="0.25">
      <c r="A253">
        <v>776698</v>
      </c>
      <c r="B253">
        <v>936</v>
      </c>
      <c r="C253">
        <v>115547</v>
      </c>
      <c r="D253" t="s">
        <v>11</v>
      </c>
      <c r="E253" t="s">
        <v>12</v>
      </c>
      <c r="F253" s="5">
        <v>10</v>
      </c>
      <c r="G253" s="5">
        <v>12785</v>
      </c>
      <c r="H253" s="5">
        <v>3</v>
      </c>
      <c r="I253" s="8">
        <v>4.7300000190000002</v>
      </c>
      <c r="J253" s="5">
        <v>2</v>
      </c>
      <c r="K253" s="5">
        <v>1</v>
      </c>
      <c r="L253" s="14">
        <f t="shared" si="15"/>
        <v>0.36996480398904968</v>
      </c>
      <c r="M253" s="14">
        <f t="shared" si="19"/>
        <v>1.5766666730000001</v>
      </c>
      <c r="N253" s="20">
        <f t="shared" si="16"/>
        <v>2.3464998044583498E-4</v>
      </c>
      <c r="O253" s="14">
        <f t="shared" si="17"/>
        <v>4.7300000190000002</v>
      </c>
      <c r="P253" s="20">
        <f t="shared" si="18"/>
        <v>0.33333333333333331</v>
      </c>
    </row>
    <row r="254" spans="1:16" x14ac:dyDescent="0.25">
      <c r="A254">
        <v>776699</v>
      </c>
      <c r="B254">
        <v>936</v>
      </c>
      <c r="C254">
        <v>115547</v>
      </c>
      <c r="D254" t="s">
        <v>11</v>
      </c>
      <c r="E254" t="s">
        <v>12</v>
      </c>
      <c r="F254" s="5">
        <v>10</v>
      </c>
      <c r="G254" s="5">
        <v>8213</v>
      </c>
      <c r="H254" s="5">
        <v>1</v>
      </c>
      <c r="I254" s="8">
        <v>1.3799999949999999</v>
      </c>
      <c r="J254" s="5">
        <v>1</v>
      </c>
      <c r="K254" s="5">
        <v>1</v>
      </c>
      <c r="L254" s="14">
        <f t="shared" si="15"/>
        <v>0.1680262991598685</v>
      </c>
      <c r="M254" s="14">
        <f t="shared" si="19"/>
        <v>1.3799999949999999</v>
      </c>
      <c r="N254" s="20">
        <f t="shared" si="16"/>
        <v>1.2175818823815901E-4</v>
      </c>
      <c r="O254" s="14">
        <f t="shared" si="17"/>
        <v>1.3799999949999999</v>
      </c>
      <c r="P254" s="20">
        <f t="shared" si="18"/>
        <v>1</v>
      </c>
    </row>
    <row r="255" spans="1:16" x14ac:dyDescent="0.25">
      <c r="A255">
        <v>776722</v>
      </c>
      <c r="B255">
        <v>936</v>
      </c>
      <c r="C255">
        <v>115551</v>
      </c>
      <c r="D255" t="s">
        <v>11</v>
      </c>
      <c r="E255" t="s">
        <v>12</v>
      </c>
      <c r="F255" s="5">
        <v>2</v>
      </c>
      <c r="G255" s="5">
        <v>545</v>
      </c>
      <c r="H255" s="5">
        <v>0</v>
      </c>
      <c r="I255" s="8">
        <v>0</v>
      </c>
      <c r="J255" s="5">
        <v>1</v>
      </c>
      <c r="K255" s="5">
        <v>1</v>
      </c>
      <c r="L255" s="14">
        <f t="shared" si="15"/>
        <v>0</v>
      </c>
      <c r="M255" s="14" t="str">
        <f t="shared" si="19"/>
        <v xml:space="preserve"> </v>
      </c>
      <c r="N255" s="20">
        <f t="shared" si="16"/>
        <v>0</v>
      </c>
      <c r="O255" s="14">
        <f t="shared" si="17"/>
        <v>0</v>
      </c>
      <c r="P255" s="20">
        <f t="shared" si="18"/>
        <v>0</v>
      </c>
    </row>
    <row r="256" spans="1:16" x14ac:dyDescent="0.25">
      <c r="A256">
        <v>776725</v>
      </c>
      <c r="B256">
        <v>936</v>
      </c>
      <c r="C256">
        <v>115552</v>
      </c>
      <c r="D256" t="s">
        <v>14</v>
      </c>
      <c r="E256" t="s">
        <v>12</v>
      </c>
      <c r="F256" s="5">
        <v>23</v>
      </c>
      <c r="G256" s="5">
        <v>2479</v>
      </c>
      <c r="H256" s="5">
        <v>1</v>
      </c>
      <c r="I256" s="8">
        <v>1.2599999900000001</v>
      </c>
      <c r="J256" s="5">
        <v>1</v>
      </c>
      <c r="K256" s="5">
        <v>0</v>
      </c>
      <c r="L256" s="14">
        <f t="shared" si="15"/>
        <v>0.50826945945945956</v>
      </c>
      <c r="M256" s="14">
        <f t="shared" si="19"/>
        <v>1.2599999900000001</v>
      </c>
      <c r="N256" s="20">
        <f t="shared" si="16"/>
        <v>4.0338846308995562E-4</v>
      </c>
      <c r="O256" s="14" t="str">
        <f t="shared" si="17"/>
        <v xml:space="preserve"> </v>
      </c>
      <c r="P256" s="20">
        <f t="shared" si="18"/>
        <v>0</v>
      </c>
    </row>
    <row r="257" spans="1:16" x14ac:dyDescent="0.25">
      <c r="A257">
        <v>776780</v>
      </c>
      <c r="B257">
        <v>936</v>
      </c>
      <c r="C257">
        <v>115561</v>
      </c>
      <c r="D257" t="s">
        <v>14</v>
      </c>
      <c r="E257" t="s">
        <v>12</v>
      </c>
      <c r="F257" s="5">
        <v>2</v>
      </c>
      <c r="G257" s="5">
        <v>3812</v>
      </c>
      <c r="H257" s="5">
        <v>2</v>
      </c>
      <c r="I257" s="8">
        <v>3.0499999519999998</v>
      </c>
      <c r="J257" s="5">
        <v>1</v>
      </c>
      <c r="K257" s="5">
        <v>0</v>
      </c>
      <c r="L257" s="14">
        <f t="shared" si="15"/>
        <v>0.80010491920251825</v>
      </c>
      <c r="M257" s="14">
        <f t="shared" si="19"/>
        <v>1.5249999759999999</v>
      </c>
      <c r="N257" s="20">
        <f t="shared" si="16"/>
        <v>5.2465897166841555E-4</v>
      </c>
      <c r="O257" s="14" t="str">
        <f t="shared" si="17"/>
        <v xml:space="preserve"> </v>
      </c>
      <c r="P257" s="20">
        <f t="shared" si="18"/>
        <v>0</v>
      </c>
    </row>
    <row r="258" spans="1:16" x14ac:dyDescent="0.25">
      <c r="A258">
        <v>776793</v>
      </c>
      <c r="B258">
        <v>936</v>
      </c>
      <c r="C258">
        <v>115563</v>
      </c>
      <c r="D258" t="s">
        <v>15</v>
      </c>
      <c r="E258" t="s">
        <v>12</v>
      </c>
      <c r="F258" s="5">
        <v>21</v>
      </c>
      <c r="G258" s="5">
        <v>1609</v>
      </c>
      <c r="H258" s="5">
        <v>0</v>
      </c>
      <c r="I258" s="8">
        <v>0</v>
      </c>
      <c r="J258" s="5">
        <v>1</v>
      </c>
      <c r="K258" s="5">
        <v>0</v>
      </c>
      <c r="L258" s="14">
        <f t="shared" si="15"/>
        <v>0</v>
      </c>
      <c r="M258" s="14" t="str">
        <f t="shared" si="19"/>
        <v xml:space="preserve"> </v>
      </c>
      <c r="N258" s="20">
        <f t="shared" si="16"/>
        <v>0</v>
      </c>
      <c r="O258" s="14" t="str">
        <f t="shared" si="17"/>
        <v xml:space="preserve"> </v>
      </c>
      <c r="P258" s="20">
        <f t="shared" si="18"/>
        <v>0</v>
      </c>
    </row>
    <row r="259" spans="1:16" x14ac:dyDescent="0.25">
      <c r="A259">
        <v>776799</v>
      </c>
      <c r="B259">
        <v>936</v>
      </c>
      <c r="C259">
        <v>115564</v>
      </c>
      <c r="D259" t="s">
        <v>15</v>
      </c>
      <c r="E259" t="s">
        <v>12</v>
      </c>
      <c r="F259" s="5">
        <v>20</v>
      </c>
      <c r="G259" s="5">
        <v>10257</v>
      </c>
      <c r="H259" s="5">
        <v>3</v>
      </c>
      <c r="I259" s="8">
        <v>3.579999924</v>
      </c>
      <c r="J259" s="5">
        <v>1</v>
      </c>
      <c r="K259" s="5">
        <v>1</v>
      </c>
      <c r="L259" s="14">
        <f t="shared" ref="L259:L322" si="20">IF(G259=0,0,(I259/G259)*1000)</f>
        <v>0.34902992336940625</v>
      </c>
      <c r="M259" s="14">
        <f t="shared" si="19"/>
        <v>1.1933333079999999</v>
      </c>
      <c r="N259" s="20">
        <f t="shared" ref="N259:N322" si="21">IF(G259=0,0,(H259/G259))</f>
        <v>2.9248318221702252E-4</v>
      </c>
      <c r="O259" s="14">
        <f t="shared" ref="O259:O322" si="22">IF(K259&gt;0, I259/K259, " ")</f>
        <v>3.579999924</v>
      </c>
      <c r="P259" s="20">
        <f t="shared" ref="P259:P322" si="23">IF(H259=0,0,(K259/H259))</f>
        <v>0.33333333333333331</v>
      </c>
    </row>
    <row r="260" spans="1:16" x14ac:dyDescent="0.25">
      <c r="A260">
        <v>776817</v>
      </c>
      <c r="B260">
        <v>936</v>
      </c>
      <c r="C260">
        <v>115567</v>
      </c>
      <c r="D260" t="s">
        <v>14</v>
      </c>
      <c r="E260" t="s">
        <v>12</v>
      </c>
      <c r="F260" s="5">
        <v>10</v>
      </c>
      <c r="G260" s="5">
        <v>12356</v>
      </c>
      <c r="H260" s="5">
        <v>4</v>
      </c>
      <c r="I260" s="8">
        <v>6.2799999709999996</v>
      </c>
      <c r="J260" s="5">
        <v>1</v>
      </c>
      <c r="K260" s="5">
        <v>0</v>
      </c>
      <c r="L260" s="14">
        <f t="shared" si="20"/>
        <v>0.50825509639041755</v>
      </c>
      <c r="M260" s="14">
        <f t="shared" si="19"/>
        <v>1.5699999927499999</v>
      </c>
      <c r="N260" s="20">
        <f t="shared" si="21"/>
        <v>3.2372936225315638E-4</v>
      </c>
      <c r="O260" s="14" t="str">
        <f t="shared" si="22"/>
        <v xml:space="preserve"> </v>
      </c>
      <c r="P260" s="20">
        <f t="shared" si="23"/>
        <v>0</v>
      </c>
    </row>
    <row r="261" spans="1:16" x14ac:dyDescent="0.25">
      <c r="A261">
        <v>776825</v>
      </c>
      <c r="B261">
        <v>936</v>
      </c>
      <c r="C261">
        <v>115568</v>
      </c>
      <c r="D261" t="s">
        <v>15</v>
      </c>
      <c r="E261" t="s">
        <v>12</v>
      </c>
      <c r="F261" s="5">
        <v>18</v>
      </c>
      <c r="G261" s="5">
        <v>7410</v>
      </c>
      <c r="H261" s="5">
        <v>1</v>
      </c>
      <c r="I261" s="8">
        <v>1.210000038</v>
      </c>
      <c r="J261" s="5">
        <v>1</v>
      </c>
      <c r="K261" s="5">
        <v>0</v>
      </c>
      <c r="L261" s="14">
        <f t="shared" si="20"/>
        <v>0.16329285263157894</v>
      </c>
      <c r="M261" s="14">
        <f t="shared" ref="M261:M324" si="24">IF(H261&gt;0, I261/H261, " ")</f>
        <v>1.210000038</v>
      </c>
      <c r="N261" s="20">
        <f t="shared" si="21"/>
        <v>1.3495276653171389E-4</v>
      </c>
      <c r="O261" s="14" t="str">
        <f t="shared" si="22"/>
        <v xml:space="preserve"> </v>
      </c>
      <c r="P261" s="20">
        <f t="shared" si="23"/>
        <v>0</v>
      </c>
    </row>
    <row r="262" spans="1:16" x14ac:dyDescent="0.25">
      <c r="A262">
        <v>776829</v>
      </c>
      <c r="B262">
        <v>936</v>
      </c>
      <c r="C262">
        <v>115569</v>
      </c>
      <c r="D262" t="s">
        <v>15</v>
      </c>
      <c r="E262" t="s">
        <v>12</v>
      </c>
      <c r="F262" s="5">
        <v>16</v>
      </c>
      <c r="G262" s="5">
        <v>140098</v>
      </c>
      <c r="H262" s="5">
        <v>28</v>
      </c>
      <c r="I262" s="8">
        <v>46.630000109999997</v>
      </c>
      <c r="J262" s="5">
        <v>1</v>
      </c>
      <c r="K262" s="5">
        <v>0</v>
      </c>
      <c r="L262" s="14">
        <f t="shared" si="20"/>
        <v>0.33283844244742961</v>
      </c>
      <c r="M262" s="14">
        <f t="shared" si="24"/>
        <v>1.6653571467857142</v>
      </c>
      <c r="N262" s="20">
        <f t="shared" si="21"/>
        <v>1.99860097931448E-4</v>
      </c>
      <c r="O262" s="14" t="str">
        <f t="shared" si="22"/>
        <v xml:space="preserve"> </v>
      </c>
      <c r="P262" s="20">
        <f t="shared" si="23"/>
        <v>0</v>
      </c>
    </row>
    <row r="263" spans="1:16" x14ac:dyDescent="0.25">
      <c r="A263">
        <v>776831</v>
      </c>
      <c r="B263">
        <v>936</v>
      </c>
      <c r="C263">
        <v>115569</v>
      </c>
      <c r="D263" t="s">
        <v>15</v>
      </c>
      <c r="E263" t="s">
        <v>12</v>
      </c>
      <c r="F263" s="5">
        <v>16</v>
      </c>
      <c r="G263" s="5">
        <v>107021</v>
      </c>
      <c r="H263" s="5">
        <v>20</v>
      </c>
      <c r="I263" s="8">
        <v>34.440000120000001</v>
      </c>
      <c r="J263" s="5">
        <v>1</v>
      </c>
      <c r="K263" s="5">
        <v>0</v>
      </c>
      <c r="L263" s="14">
        <f t="shared" si="20"/>
        <v>0.32180600181272834</v>
      </c>
      <c r="M263" s="14">
        <f t="shared" si="24"/>
        <v>1.722000006</v>
      </c>
      <c r="N263" s="20">
        <f t="shared" si="21"/>
        <v>1.8687921062221434E-4</v>
      </c>
      <c r="O263" s="14" t="str">
        <f t="shared" si="22"/>
        <v xml:space="preserve"> </v>
      </c>
      <c r="P263" s="20">
        <f t="shared" si="23"/>
        <v>0</v>
      </c>
    </row>
    <row r="264" spans="1:16" x14ac:dyDescent="0.25">
      <c r="A264">
        <v>776840</v>
      </c>
      <c r="B264">
        <v>936</v>
      </c>
      <c r="C264">
        <v>115571</v>
      </c>
      <c r="D264" t="s">
        <v>13</v>
      </c>
      <c r="E264" t="s">
        <v>12</v>
      </c>
      <c r="F264" s="5">
        <v>36</v>
      </c>
      <c r="G264" s="5">
        <v>2797</v>
      </c>
      <c r="H264" s="5">
        <v>1</v>
      </c>
      <c r="I264" s="8">
        <v>1.289999962</v>
      </c>
      <c r="J264" s="5">
        <v>1</v>
      </c>
      <c r="K264" s="5">
        <v>0</v>
      </c>
      <c r="L264" s="14">
        <f t="shared" si="20"/>
        <v>0.46120842402574186</v>
      </c>
      <c r="M264" s="14">
        <f t="shared" si="24"/>
        <v>1.289999962</v>
      </c>
      <c r="N264" s="20">
        <f t="shared" si="21"/>
        <v>3.5752592062924561E-4</v>
      </c>
      <c r="O264" s="14" t="str">
        <f t="shared" si="22"/>
        <v xml:space="preserve"> </v>
      </c>
      <c r="P264" s="20">
        <f t="shared" si="23"/>
        <v>0</v>
      </c>
    </row>
    <row r="265" spans="1:16" x14ac:dyDescent="0.25">
      <c r="A265">
        <v>776861</v>
      </c>
      <c r="B265">
        <v>936</v>
      </c>
      <c r="C265">
        <v>115574</v>
      </c>
      <c r="D265" t="s">
        <v>15</v>
      </c>
      <c r="E265" t="s">
        <v>12</v>
      </c>
      <c r="F265" s="5">
        <v>7</v>
      </c>
      <c r="G265" s="5">
        <v>16461</v>
      </c>
      <c r="H265" s="5">
        <v>6</v>
      </c>
      <c r="I265" s="8">
        <v>9.2199997899999993</v>
      </c>
      <c r="J265" s="5">
        <v>1</v>
      </c>
      <c r="K265" s="5">
        <v>0</v>
      </c>
      <c r="L265" s="14">
        <f t="shared" si="20"/>
        <v>0.56011176659984208</v>
      </c>
      <c r="M265" s="14">
        <f t="shared" si="24"/>
        <v>1.5366666316666666</v>
      </c>
      <c r="N265" s="20">
        <f t="shared" si="21"/>
        <v>3.6449790413705123E-4</v>
      </c>
      <c r="O265" s="14" t="str">
        <f t="shared" si="22"/>
        <v xml:space="preserve"> </v>
      </c>
      <c r="P265" s="20">
        <f t="shared" si="23"/>
        <v>0</v>
      </c>
    </row>
    <row r="266" spans="1:16" x14ac:dyDescent="0.25">
      <c r="A266">
        <v>776892</v>
      </c>
      <c r="B266">
        <v>936</v>
      </c>
      <c r="C266">
        <v>115580</v>
      </c>
      <c r="D266" t="s">
        <v>14</v>
      </c>
      <c r="E266" t="s">
        <v>12</v>
      </c>
      <c r="F266" s="5">
        <v>63</v>
      </c>
      <c r="G266" s="5">
        <v>17488</v>
      </c>
      <c r="H266" s="5">
        <v>5</v>
      </c>
      <c r="I266" s="8">
        <v>7.7199999090000002</v>
      </c>
      <c r="J266" s="5">
        <v>1</v>
      </c>
      <c r="K266" s="5">
        <v>0</v>
      </c>
      <c r="L266" s="14">
        <f t="shared" si="20"/>
        <v>0.44144555746797803</v>
      </c>
      <c r="M266" s="14">
        <f t="shared" si="24"/>
        <v>1.5439999818000001</v>
      </c>
      <c r="N266" s="20">
        <f t="shared" si="21"/>
        <v>2.8591033851784083E-4</v>
      </c>
      <c r="O266" s="14" t="str">
        <f t="shared" si="22"/>
        <v xml:space="preserve"> </v>
      </c>
      <c r="P266" s="20">
        <f t="shared" si="23"/>
        <v>0</v>
      </c>
    </row>
    <row r="267" spans="1:16" x14ac:dyDescent="0.25">
      <c r="A267">
        <v>776928</v>
      </c>
      <c r="B267">
        <v>936</v>
      </c>
      <c r="C267">
        <v>115586</v>
      </c>
      <c r="D267" t="s">
        <v>13</v>
      </c>
      <c r="E267" t="s">
        <v>12</v>
      </c>
      <c r="F267" s="5">
        <v>10</v>
      </c>
      <c r="G267" s="5">
        <v>9750</v>
      </c>
      <c r="H267" s="5">
        <v>2</v>
      </c>
      <c r="I267" s="8">
        <v>1.5</v>
      </c>
      <c r="J267" s="5">
        <v>1</v>
      </c>
      <c r="K267" s="5">
        <v>1</v>
      </c>
      <c r="L267" s="14">
        <f t="shared" si="20"/>
        <v>0.15384615384615385</v>
      </c>
      <c r="M267" s="14">
        <f t="shared" si="24"/>
        <v>0.75</v>
      </c>
      <c r="N267" s="20">
        <f t="shared" si="21"/>
        <v>2.0512820512820512E-4</v>
      </c>
      <c r="O267" s="14">
        <f t="shared" si="22"/>
        <v>1.5</v>
      </c>
      <c r="P267" s="20">
        <f t="shared" si="23"/>
        <v>0.5</v>
      </c>
    </row>
    <row r="268" spans="1:16" x14ac:dyDescent="0.25">
      <c r="A268">
        <v>776935</v>
      </c>
      <c r="B268">
        <v>936</v>
      </c>
      <c r="C268">
        <v>115587</v>
      </c>
      <c r="D268" t="s">
        <v>15</v>
      </c>
      <c r="E268" t="s">
        <v>12</v>
      </c>
      <c r="F268" s="5">
        <v>36</v>
      </c>
      <c r="G268" s="5">
        <v>1136</v>
      </c>
      <c r="H268" s="5">
        <v>0</v>
      </c>
      <c r="I268" s="8">
        <v>0</v>
      </c>
      <c r="J268" s="5">
        <v>1</v>
      </c>
      <c r="K268" s="5">
        <v>1</v>
      </c>
      <c r="L268" s="14">
        <f t="shared" si="20"/>
        <v>0</v>
      </c>
      <c r="M268" s="14" t="str">
        <f t="shared" si="24"/>
        <v xml:space="preserve"> </v>
      </c>
      <c r="N268" s="20">
        <f t="shared" si="21"/>
        <v>0</v>
      </c>
      <c r="O268" s="14">
        <f t="shared" si="22"/>
        <v>0</v>
      </c>
      <c r="P268" s="20">
        <f t="shared" si="23"/>
        <v>0</v>
      </c>
    </row>
    <row r="269" spans="1:16" x14ac:dyDescent="0.25">
      <c r="A269">
        <v>777105</v>
      </c>
      <c r="B269">
        <v>936</v>
      </c>
      <c r="C269">
        <v>115615</v>
      </c>
      <c r="D269" t="s">
        <v>15</v>
      </c>
      <c r="E269" t="s">
        <v>12</v>
      </c>
      <c r="F269" s="5">
        <v>63</v>
      </c>
      <c r="G269" s="5">
        <v>4333</v>
      </c>
      <c r="H269" s="5">
        <v>1</v>
      </c>
      <c r="I269" s="8">
        <v>0.18000000699999999</v>
      </c>
      <c r="J269" s="5">
        <v>1</v>
      </c>
      <c r="K269" s="5">
        <v>1</v>
      </c>
      <c r="L269" s="14">
        <f t="shared" si="20"/>
        <v>4.154165866605123E-2</v>
      </c>
      <c r="M269" s="14">
        <f t="shared" si="24"/>
        <v>0.18000000699999999</v>
      </c>
      <c r="N269" s="20">
        <f t="shared" si="21"/>
        <v>2.3078698361412417E-4</v>
      </c>
      <c r="O269" s="14">
        <f t="shared" si="22"/>
        <v>0.18000000699999999</v>
      </c>
      <c r="P269" s="20">
        <f t="shared" si="23"/>
        <v>1</v>
      </c>
    </row>
    <row r="270" spans="1:16" x14ac:dyDescent="0.25">
      <c r="A270">
        <v>777130</v>
      </c>
      <c r="B270">
        <v>936</v>
      </c>
      <c r="C270">
        <v>115619</v>
      </c>
      <c r="D270" t="s">
        <v>13</v>
      </c>
      <c r="E270" t="s">
        <v>12</v>
      </c>
      <c r="F270" s="5">
        <v>16</v>
      </c>
      <c r="G270" s="5">
        <v>6260</v>
      </c>
      <c r="H270" s="5">
        <v>0</v>
      </c>
      <c r="I270" s="8">
        <v>0</v>
      </c>
      <c r="J270" s="5">
        <v>1</v>
      </c>
      <c r="K270" s="5">
        <v>0</v>
      </c>
      <c r="L270" s="14">
        <f t="shared" si="20"/>
        <v>0</v>
      </c>
      <c r="M270" s="14" t="str">
        <f t="shared" si="24"/>
        <v xml:space="preserve"> </v>
      </c>
      <c r="N270" s="20">
        <f t="shared" si="21"/>
        <v>0</v>
      </c>
      <c r="O270" s="14" t="str">
        <f t="shared" si="22"/>
        <v xml:space="preserve"> </v>
      </c>
      <c r="P270" s="20">
        <f t="shared" si="23"/>
        <v>0</v>
      </c>
    </row>
    <row r="271" spans="1:16" x14ac:dyDescent="0.25">
      <c r="A271">
        <v>777131</v>
      </c>
      <c r="B271">
        <v>936</v>
      </c>
      <c r="C271">
        <v>115619</v>
      </c>
      <c r="D271" t="s">
        <v>13</v>
      </c>
      <c r="E271" t="s">
        <v>12</v>
      </c>
      <c r="F271" s="5">
        <v>16</v>
      </c>
      <c r="G271" s="5">
        <v>6359</v>
      </c>
      <c r="H271" s="5">
        <v>0</v>
      </c>
      <c r="I271" s="8">
        <v>0</v>
      </c>
      <c r="J271" s="5">
        <v>1</v>
      </c>
      <c r="K271" s="5">
        <v>0</v>
      </c>
      <c r="L271" s="14">
        <f t="shared" si="20"/>
        <v>0</v>
      </c>
      <c r="M271" s="14" t="str">
        <f t="shared" si="24"/>
        <v xml:space="preserve"> </v>
      </c>
      <c r="N271" s="20">
        <f t="shared" si="21"/>
        <v>0</v>
      </c>
      <c r="O271" s="14" t="str">
        <f t="shared" si="22"/>
        <v xml:space="preserve"> </v>
      </c>
      <c r="P271" s="20">
        <f t="shared" si="23"/>
        <v>0</v>
      </c>
    </row>
    <row r="272" spans="1:16" x14ac:dyDescent="0.25">
      <c r="A272">
        <v>777166</v>
      </c>
      <c r="B272">
        <v>936</v>
      </c>
      <c r="C272">
        <v>115625</v>
      </c>
      <c r="D272" t="s">
        <v>11</v>
      </c>
      <c r="E272" t="s">
        <v>12</v>
      </c>
      <c r="F272" s="5">
        <v>63</v>
      </c>
      <c r="G272" s="5">
        <v>2383</v>
      </c>
      <c r="H272" s="5">
        <v>0</v>
      </c>
      <c r="I272" s="8">
        <v>0</v>
      </c>
      <c r="J272" s="5">
        <v>1</v>
      </c>
      <c r="K272" s="5">
        <v>1</v>
      </c>
      <c r="L272" s="14">
        <f t="shared" si="20"/>
        <v>0</v>
      </c>
      <c r="M272" s="14" t="str">
        <f t="shared" si="24"/>
        <v xml:space="preserve"> </v>
      </c>
      <c r="N272" s="20">
        <f t="shared" si="21"/>
        <v>0</v>
      </c>
      <c r="O272" s="14">
        <f t="shared" si="22"/>
        <v>0</v>
      </c>
      <c r="P272" s="20">
        <f t="shared" si="23"/>
        <v>0</v>
      </c>
    </row>
    <row r="273" spans="1:16" x14ac:dyDescent="0.25">
      <c r="A273">
        <v>777187</v>
      </c>
      <c r="B273">
        <v>936</v>
      </c>
      <c r="C273">
        <v>115629</v>
      </c>
      <c r="D273" t="s">
        <v>14</v>
      </c>
      <c r="E273" t="s">
        <v>12</v>
      </c>
      <c r="F273" s="5">
        <v>27</v>
      </c>
      <c r="G273" s="5">
        <v>11292</v>
      </c>
      <c r="H273" s="5">
        <v>3</v>
      </c>
      <c r="I273" s="8">
        <v>5.3899998660000001</v>
      </c>
      <c r="J273" s="5">
        <v>1</v>
      </c>
      <c r="K273" s="5">
        <v>1</v>
      </c>
      <c r="L273" s="14">
        <f t="shared" si="20"/>
        <v>0.47732907066950053</v>
      </c>
      <c r="M273" s="14">
        <f t="shared" si="24"/>
        <v>1.796666622</v>
      </c>
      <c r="N273" s="20">
        <f t="shared" si="21"/>
        <v>2.6567481402763017E-4</v>
      </c>
      <c r="O273" s="14">
        <f t="shared" si="22"/>
        <v>5.3899998660000001</v>
      </c>
      <c r="P273" s="20">
        <f t="shared" si="23"/>
        <v>0.33333333333333331</v>
      </c>
    </row>
    <row r="274" spans="1:16" x14ac:dyDescent="0.25">
      <c r="A274">
        <v>777198</v>
      </c>
      <c r="B274">
        <v>936</v>
      </c>
      <c r="C274">
        <v>115631</v>
      </c>
      <c r="D274" t="s">
        <v>11</v>
      </c>
      <c r="E274" t="s">
        <v>12</v>
      </c>
      <c r="F274" s="5">
        <v>64</v>
      </c>
      <c r="G274" s="5">
        <v>12729</v>
      </c>
      <c r="H274" s="5">
        <v>4</v>
      </c>
      <c r="I274" s="8">
        <v>5.7799998520000004</v>
      </c>
      <c r="J274" s="5">
        <v>1</v>
      </c>
      <c r="K274" s="5">
        <v>0</v>
      </c>
      <c r="L274" s="14">
        <f t="shared" si="20"/>
        <v>0.45408122020582919</v>
      </c>
      <c r="M274" s="14">
        <f t="shared" si="24"/>
        <v>1.4449999630000001</v>
      </c>
      <c r="N274" s="20">
        <f t="shared" si="21"/>
        <v>3.1424306701233402E-4</v>
      </c>
      <c r="O274" s="14" t="str">
        <f t="shared" si="22"/>
        <v xml:space="preserve"> </v>
      </c>
      <c r="P274" s="20">
        <f t="shared" si="23"/>
        <v>0</v>
      </c>
    </row>
    <row r="275" spans="1:16" x14ac:dyDescent="0.25">
      <c r="A275">
        <v>777200</v>
      </c>
      <c r="B275">
        <v>936</v>
      </c>
      <c r="C275">
        <v>115631</v>
      </c>
      <c r="D275" t="s">
        <v>11</v>
      </c>
      <c r="E275" t="s">
        <v>12</v>
      </c>
      <c r="F275" s="5">
        <v>64</v>
      </c>
      <c r="G275" s="5">
        <v>1898</v>
      </c>
      <c r="H275" s="5">
        <v>0</v>
      </c>
      <c r="I275" s="8">
        <v>0</v>
      </c>
      <c r="J275" s="5">
        <v>1</v>
      </c>
      <c r="K275" s="5">
        <v>1</v>
      </c>
      <c r="L275" s="14">
        <f t="shared" si="20"/>
        <v>0</v>
      </c>
      <c r="M275" s="14" t="str">
        <f t="shared" si="24"/>
        <v xml:space="preserve"> </v>
      </c>
      <c r="N275" s="20">
        <f t="shared" si="21"/>
        <v>0</v>
      </c>
      <c r="O275" s="14">
        <f t="shared" si="22"/>
        <v>0</v>
      </c>
      <c r="P275" s="20">
        <f t="shared" si="23"/>
        <v>0</v>
      </c>
    </row>
    <row r="276" spans="1:16" x14ac:dyDescent="0.25">
      <c r="A276">
        <v>777201</v>
      </c>
      <c r="B276">
        <v>936</v>
      </c>
      <c r="C276">
        <v>115631</v>
      </c>
      <c r="D276" t="s">
        <v>11</v>
      </c>
      <c r="E276" t="s">
        <v>12</v>
      </c>
      <c r="F276" s="5">
        <v>64</v>
      </c>
      <c r="G276" s="5">
        <v>1882</v>
      </c>
      <c r="H276" s="5">
        <v>0</v>
      </c>
      <c r="I276" s="8">
        <v>0</v>
      </c>
      <c r="J276" s="5">
        <v>1</v>
      </c>
      <c r="K276" s="5">
        <v>1</v>
      </c>
      <c r="L276" s="14">
        <f t="shared" si="20"/>
        <v>0</v>
      </c>
      <c r="M276" s="14" t="str">
        <f t="shared" si="24"/>
        <v xml:space="preserve"> </v>
      </c>
      <c r="N276" s="20">
        <f t="shared" si="21"/>
        <v>0</v>
      </c>
      <c r="O276" s="14">
        <f t="shared" si="22"/>
        <v>0</v>
      </c>
      <c r="P276" s="20">
        <f t="shared" si="23"/>
        <v>0</v>
      </c>
    </row>
    <row r="277" spans="1:16" x14ac:dyDescent="0.25">
      <c r="A277">
        <v>777235</v>
      </c>
      <c r="B277">
        <v>936</v>
      </c>
      <c r="C277">
        <v>115637</v>
      </c>
      <c r="D277" t="s">
        <v>11</v>
      </c>
      <c r="E277" t="s">
        <v>12</v>
      </c>
      <c r="F277" s="5">
        <v>65</v>
      </c>
      <c r="G277" s="5">
        <v>2883</v>
      </c>
      <c r="H277" s="5">
        <v>1</v>
      </c>
      <c r="I277" s="8">
        <v>0.99000001000000004</v>
      </c>
      <c r="J277" s="5">
        <v>1</v>
      </c>
      <c r="K277" s="5">
        <v>1</v>
      </c>
      <c r="L277" s="14">
        <f t="shared" si="20"/>
        <v>0.34339230315643426</v>
      </c>
      <c r="M277" s="14">
        <f t="shared" si="24"/>
        <v>0.99000001000000004</v>
      </c>
      <c r="N277" s="20">
        <f t="shared" si="21"/>
        <v>3.4686090877558099E-4</v>
      </c>
      <c r="O277" s="14">
        <f t="shared" si="22"/>
        <v>0.99000001000000004</v>
      </c>
      <c r="P277" s="20">
        <f t="shared" si="23"/>
        <v>1</v>
      </c>
    </row>
    <row r="278" spans="1:16" x14ac:dyDescent="0.25">
      <c r="A278">
        <v>777248</v>
      </c>
      <c r="B278">
        <v>936</v>
      </c>
      <c r="C278">
        <v>115639</v>
      </c>
      <c r="D278" t="s">
        <v>11</v>
      </c>
      <c r="E278" t="s">
        <v>16</v>
      </c>
      <c r="F278" s="5">
        <v>7</v>
      </c>
      <c r="G278" s="5">
        <v>3989</v>
      </c>
      <c r="H278" s="5">
        <v>1</v>
      </c>
      <c r="I278" s="8">
        <v>1.2799999710000001</v>
      </c>
      <c r="J278" s="5">
        <v>1</v>
      </c>
      <c r="K278" s="5">
        <v>0</v>
      </c>
      <c r="L278" s="14">
        <f t="shared" si="20"/>
        <v>0.32088241940335926</v>
      </c>
      <c r="M278" s="14">
        <f t="shared" si="24"/>
        <v>1.2799999710000001</v>
      </c>
      <c r="N278" s="20">
        <f t="shared" si="21"/>
        <v>2.5068939583855601E-4</v>
      </c>
      <c r="O278" s="14" t="str">
        <f t="shared" si="22"/>
        <v xml:space="preserve"> </v>
      </c>
      <c r="P278" s="20">
        <f t="shared" si="23"/>
        <v>0</v>
      </c>
    </row>
    <row r="279" spans="1:16" x14ac:dyDescent="0.25">
      <c r="A279">
        <v>777261</v>
      </c>
      <c r="B279">
        <v>936</v>
      </c>
      <c r="C279">
        <v>115641</v>
      </c>
      <c r="D279" t="s">
        <v>14</v>
      </c>
      <c r="E279" t="s">
        <v>12</v>
      </c>
      <c r="F279" s="5">
        <v>29</v>
      </c>
      <c r="G279" s="5">
        <v>19603</v>
      </c>
      <c r="H279" s="5">
        <v>4</v>
      </c>
      <c r="I279" s="8">
        <v>5.2799999709999996</v>
      </c>
      <c r="J279" s="5">
        <v>1</v>
      </c>
      <c r="K279" s="5">
        <v>1</v>
      </c>
      <c r="L279" s="14">
        <f t="shared" si="20"/>
        <v>0.26934652711319695</v>
      </c>
      <c r="M279" s="14">
        <f t="shared" si="24"/>
        <v>1.3199999927499999</v>
      </c>
      <c r="N279" s="20">
        <f t="shared" si="21"/>
        <v>2.0405040044891087E-4</v>
      </c>
      <c r="O279" s="14">
        <f t="shared" si="22"/>
        <v>5.2799999709999996</v>
      </c>
      <c r="P279" s="20">
        <f t="shared" si="23"/>
        <v>0.25</v>
      </c>
    </row>
    <row r="280" spans="1:16" x14ac:dyDescent="0.25">
      <c r="A280">
        <v>777382</v>
      </c>
      <c r="B280">
        <v>936</v>
      </c>
      <c r="C280">
        <v>115675</v>
      </c>
      <c r="D280" t="s">
        <v>14</v>
      </c>
      <c r="E280" t="s">
        <v>12</v>
      </c>
      <c r="F280" s="5">
        <v>24</v>
      </c>
      <c r="G280" s="5">
        <v>3047</v>
      </c>
      <c r="H280" s="5">
        <v>1</v>
      </c>
      <c r="I280" s="8">
        <v>1.3799999949999999</v>
      </c>
      <c r="J280" s="5">
        <v>1</v>
      </c>
      <c r="K280" s="5">
        <v>0</v>
      </c>
      <c r="L280" s="14">
        <f t="shared" si="20"/>
        <v>0.4529044945848375</v>
      </c>
      <c r="M280" s="14">
        <f t="shared" si="24"/>
        <v>1.3799999949999999</v>
      </c>
      <c r="N280" s="20">
        <f t="shared" si="21"/>
        <v>3.2819166393173612E-4</v>
      </c>
      <c r="O280" s="14" t="str">
        <f t="shared" si="22"/>
        <v xml:space="preserve"> </v>
      </c>
      <c r="P280" s="20">
        <f t="shared" si="23"/>
        <v>0</v>
      </c>
    </row>
    <row r="281" spans="1:16" x14ac:dyDescent="0.25">
      <c r="A281">
        <v>777398</v>
      </c>
      <c r="B281">
        <v>936</v>
      </c>
      <c r="C281">
        <v>115677</v>
      </c>
      <c r="D281" t="s">
        <v>13</v>
      </c>
      <c r="E281" t="s">
        <v>12</v>
      </c>
      <c r="F281" s="5">
        <v>24</v>
      </c>
      <c r="G281" s="5">
        <v>3029</v>
      </c>
      <c r="H281" s="5">
        <v>1</v>
      </c>
      <c r="I281" s="8">
        <v>1.0499999520000001</v>
      </c>
      <c r="J281" s="5">
        <v>1</v>
      </c>
      <c r="K281" s="5">
        <v>1</v>
      </c>
      <c r="L281" s="14">
        <f t="shared" si="20"/>
        <v>0.34664904324859691</v>
      </c>
      <c r="M281" s="14">
        <f t="shared" si="24"/>
        <v>1.0499999520000001</v>
      </c>
      <c r="N281" s="20">
        <f t="shared" si="21"/>
        <v>3.3014196104324861E-4</v>
      </c>
      <c r="O281" s="14">
        <f t="shared" si="22"/>
        <v>1.0499999520000001</v>
      </c>
      <c r="P281" s="20">
        <f t="shared" si="23"/>
        <v>1</v>
      </c>
    </row>
    <row r="282" spans="1:16" x14ac:dyDescent="0.25">
      <c r="A282">
        <v>777410</v>
      </c>
      <c r="B282">
        <v>936</v>
      </c>
      <c r="C282">
        <v>115679</v>
      </c>
      <c r="D282" t="s">
        <v>15</v>
      </c>
      <c r="E282" t="s">
        <v>12</v>
      </c>
      <c r="F282" s="5">
        <v>26</v>
      </c>
      <c r="G282" s="5">
        <v>3490</v>
      </c>
      <c r="H282" s="5">
        <v>1</v>
      </c>
      <c r="I282" s="8">
        <v>1.3400000329999999</v>
      </c>
      <c r="J282" s="5">
        <v>1</v>
      </c>
      <c r="K282" s="5">
        <v>1</v>
      </c>
      <c r="L282" s="14">
        <f t="shared" si="20"/>
        <v>0.38395416418338107</v>
      </c>
      <c r="M282" s="14">
        <f t="shared" si="24"/>
        <v>1.3400000329999999</v>
      </c>
      <c r="N282" s="20">
        <f t="shared" si="21"/>
        <v>2.8653295128939826E-4</v>
      </c>
      <c r="O282" s="14">
        <f t="shared" si="22"/>
        <v>1.3400000329999999</v>
      </c>
      <c r="P282" s="20">
        <f t="shared" si="23"/>
        <v>1</v>
      </c>
    </row>
    <row r="283" spans="1:16" x14ac:dyDescent="0.25">
      <c r="A283">
        <v>777482</v>
      </c>
      <c r="B283">
        <v>936</v>
      </c>
      <c r="C283">
        <v>115691</v>
      </c>
      <c r="D283" t="s">
        <v>15</v>
      </c>
      <c r="E283" t="s">
        <v>12</v>
      </c>
      <c r="F283" s="5">
        <v>28</v>
      </c>
      <c r="G283" s="5">
        <v>2479</v>
      </c>
      <c r="H283" s="5">
        <v>0</v>
      </c>
      <c r="I283" s="8">
        <v>0</v>
      </c>
      <c r="J283" s="5">
        <v>1</v>
      </c>
      <c r="K283" s="5">
        <v>0</v>
      </c>
      <c r="L283" s="14">
        <f t="shared" si="20"/>
        <v>0</v>
      </c>
      <c r="M283" s="14" t="str">
        <f t="shared" si="24"/>
        <v xml:space="preserve"> </v>
      </c>
      <c r="N283" s="20">
        <f t="shared" si="21"/>
        <v>0</v>
      </c>
      <c r="O283" s="14" t="str">
        <f t="shared" si="22"/>
        <v xml:space="preserve"> </v>
      </c>
      <c r="P283" s="20">
        <f t="shared" si="23"/>
        <v>0</v>
      </c>
    </row>
    <row r="284" spans="1:16" x14ac:dyDescent="0.25">
      <c r="A284">
        <v>777495</v>
      </c>
      <c r="B284">
        <v>936</v>
      </c>
      <c r="C284">
        <v>115693</v>
      </c>
      <c r="D284" t="s">
        <v>14</v>
      </c>
      <c r="E284" t="s">
        <v>12</v>
      </c>
      <c r="F284" s="5">
        <v>19</v>
      </c>
      <c r="G284" s="5">
        <v>19581</v>
      </c>
      <c r="H284" s="5">
        <v>7</v>
      </c>
      <c r="I284" s="8">
        <v>10.42999983</v>
      </c>
      <c r="J284" s="5">
        <v>2</v>
      </c>
      <c r="K284" s="5">
        <v>0</v>
      </c>
      <c r="L284" s="14">
        <f t="shared" si="20"/>
        <v>0.53265920177723303</v>
      </c>
      <c r="M284" s="14">
        <f t="shared" si="24"/>
        <v>1.4899999757142857</v>
      </c>
      <c r="N284" s="20">
        <f t="shared" si="21"/>
        <v>3.57489402992697E-4</v>
      </c>
      <c r="O284" s="14" t="str">
        <f t="shared" si="22"/>
        <v xml:space="preserve"> </v>
      </c>
      <c r="P284" s="20">
        <f t="shared" si="23"/>
        <v>0</v>
      </c>
    </row>
    <row r="285" spans="1:16" x14ac:dyDescent="0.25">
      <c r="A285">
        <v>777519</v>
      </c>
      <c r="B285">
        <v>936</v>
      </c>
      <c r="C285">
        <v>115697</v>
      </c>
      <c r="D285" t="s">
        <v>15</v>
      </c>
      <c r="E285" t="s">
        <v>12</v>
      </c>
      <c r="F285" s="5">
        <v>29</v>
      </c>
      <c r="G285" s="5">
        <v>19537</v>
      </c>
      <c r="H285" s="5">
        <v>5</v>
      </c>
      <c r="I285" s="8">
        <v>6.0999999049999998</v>
      </c>
      <c r="J285" s="5">
        <v>1</v>
      </c>
      <c r="K285" s="5">
        <v>0</v>
      </c>
      <c r="L285" s="14">
        <f t="shared" si="20"/>
        <v>0.31222807519066387</v>
      </c>
      <c r="M285" s="14">
        <f t="shared" si="24"/>
        <v>1.219999981</v>
      </c>
      <c r="N285" s="20">
        <f t="shared" si="21"/>
        <v>2.5592465578133796E-4</v>
      </c>
      <c r="O285" s="14" t="str">
        <f t="shared" si="22"/>
        <v xml:space="preserve"> </v>
      </c>
      <c r="P285" s="20">
        <f t="shared" si="23"/>
        <v>0</v>
      </c>
    </row>
    <row r="286" spans="1:16" x14ac:dyDescent="0.25">
      <c r="A286">
        <v>777625</v>
      </c>
      <c r="B286">
        <v>936</v>
      </c>
      <c r="C286">
        <v>115715</v>
      </c>
      <c r="D286" t="s">
        <v>15</v>
      </c>
      <c r="E286" t="s">
        <v>12</v>
      </c>
      <c r="F286" s="5">
        <v>16</v>
      </c>
      <c r="G286" s="5">
        <v>59433</v>
      </c>
      <c r="H286" s="5">
        <v>12</v>
      </c>
      <c r="I286" s="8">
        <v>19.659999490000001</v>
      </c>
      <c r="J286" s="5">
        <v>3</v>
      </c>
      <c r="K286" s="5">
        <v>0</v>
      </c>
      <c r="L286" s="14">
        <f t="shared" si="20"/>
        <v>0.33079264869685193</v>
      </c>
      <c r="M286" s="14">
        <f t="shared" si="24"/>
        <v>1.6383332908333335</v>
      </c>
      <c r="N286" s="20">
        <f t="shared" si="21"/>
        <v>2.0190803089192874E-4</v>
      </c>
      <c r="O286" s="14" t="str">
        <f t="shared" si="22"/>
        <v xml:space="preserve"> </v>
      </c>
      <c r="P286" s="20">
        <f t="shared" si="23"/>
        <v>0</v>
      </c>
    </row>
    <row r="287" spans="1:16" x14ac:dyDescent="0.25">
      <c r="A287">
        <v>777627</v>
      </c>
      <c r="B287">
        <v>936</v>
      </c>
      <c r="C287">
        <v>115715</v>
      </c>
      <c r="D287" t="s">
        <v>15</v>
      </c>
      <c r="E287" t="s">
        <v>12</v>
      </c>
      <c r="F287" s="5">
        <v>16</v>
      </c>
      <c r="G287" s="5">
        <v>157534</v>
      </c>
      <c r="H287" s="5">
        <v>33</v>
      </c>
      <c r="I287" s="8">
        <v>56.190000769999997</v>
      </c>
      <c r="J287" s="5">
        <v>2</v>
      </c>
      <c r="K287" s="5">
        <v>0</v>
      </c>
      <c r="L287" s="14">
        <f t="shared" si="20"/>
        <v>0.35668491100333899</v>
      </c>
      <c r="M287" s="14">
        <f t="shared" si="24"/>
        <v>1.7027272960606059</v>
      </c>
      <c r="N287" s="20">
        <f t="shared" si="21"/>
        <v>2.0947858874909543E-4</v>
      </c>
      <c r="O287" s="14" t="str">
        <f t="shared" si="22"/>
        <v xml:space="preserve"> </v>
      </c>
      <c r="P287" s="20">
        <f t="shared" si="23"/>
        <v>0</v>
      </c>
    </row>
    <row r="288" spans="1:16" x14ac:dyDescent="0.25">
      <c r="A288">
        <v>777638</v>
      </c>
      <c r="B288">
        <v>936</v>
      </c>
      <c r="C288">
        <v>115717</v>
      </c>
      <c r="D288" t="s">
        <v>14</v>
      </c>
      <c r="E288" t="s">
        <v>12</v>
      </c>
      <c r="F288" s="5">
        <v>7</v>
      </c>
      <c r="G288" s="5">
        <v>1781</v>
      </c>
      <c r="H288" s="5">
        <v>0</v>
      </c>
      <c r="I288" s="8">
        <v>0</v>
      </c>
      <c r="J288" s="5">
        <v>1</v>
      </c>
      <c r="K288" s="5">
        <v>1</v>
      </c>
      <c r="L288" s="14">
        <f t="shared" si="20"/>
        <v>0</v>
      </c>
      <c r="M288" s="14" t="str">
        <f t="shared" si="24"/>
        <v xml:space="preserve"> </v>
      </c>
      <c r="N288" s="20">
        <f t="shared" si="21"/>
        <v>0</v>
      </c>
      <c r="O288" s="14">
        <f t="shared" si="22"/>
        <v>0</v>
      </c>
      <c r="P288" s="20">
        <f t="shared" si="23"/>
        <v>0</v>
      </c>
    </row>
    <row r="289" spans="1:16" x14ac:dyDescent="0.25">
      <c r="A289">
        <v>777670</v>
      </c>
      <c r="B289">
        <v>936</v>
      </c>
      <c r="C289">
        <v>115723</v>
      </c>
      <c r="D289" t="s">
        <v>14</v>
      </c>
      <c r="E289" t="s">
        <v>12</v>
      </c>
      <c r="F289" s="5">
        <v>16</v>
      </c>
      <c r="G289" s="5">
        <v>23769</v>
      </c>
      <c r="H289" s="5">
        <v>4</v>
      </c>
      <c r="I289" s="8">
        <v>6.0299998520000004</v>
      </c>
      <c r="J289" s="5">
        <v>1</v>
      </c>
      <c r="K289" s="5">
        <v>0</v>
      </c>
      <c r="L289" s="14">
        <f t="shared" si="20"/>
        <v>0.25369177718877534</v>
      </c>
      <c r="M289" s="14">
        <f t="shared" si="24"/>
        <v>1.5074999630000001</v>
      </c>
      <c r="N289" s="20">
        <f t="shared" si="21"/>
        <v>1.6828642349278473E-4</v>
      </c>
      <c r="O289" s="14" t="str">
        <f t="shared" si="22"/>
        <v xml:space="preserve"> </v>
      </c>
      <c r="P289" s="20">
        <f t="shared" si="23"/>
        <v>0</v>
      </c>
    </row>
    <row r="290" spans="1:16" x14ac:dyDescent="0.25">
      <c r="A290">
        <v>777673</v>
      </c>
      <c r="B290">
        <v>936</v>
      </c>
      <c r="C290">
        <v>115723</v>
      </c>
      <c r="D290" t="s">
        <v>14</v>
      </c>
      <c r="E290" t="s">
        <v>12</v>
      </c>
      <c r="F290" s="5">
        <v>16</v>
      </c>
      <c r="G290" s="5">
        <v>7101</v>
      </c>
      <c r="H290" s="5">
        <v>0</v>
      </c>
      <c r="I290" s="8">
        <v>0</v>
      </c>
      <c r="J290" s="5">
        <v>1</v>
      </c>
      <c r="K290" s="5">
        <v>0</v>
      </c>
      <c r="L290" s="14">
        <f t="shared" si="20"/>
        <v>0</v>
      </c>
      <c r="M290" s="14" t="str">
        <f t="shared" si="24"/>
        <v xml:space="preserve"> </v>
      </c>
      <c r="N290" s="20">
        <f t="shared" si="21"/>
        <v>0</v>
      </c>
      <c r="O290" s="14" t="str">
        <f t="shared" si="22"/>
        <v xml:space="preserve"> </v>
      </c>
      <c r="P290" s="20">
        <f t="shared" si="23"/>
        <v>0</v>
      </c>
    </row>
    <row r="291" spans="1:16" x14ac:dyDescent="0.25">
      <c r="A291">
        <v>777742</v>
      </c>
      <c r="B291">
        <v>936</v>
      </c>
      <c r="C291">
        <v>115735</v>
      </c>
      <c r="D291" t="s">
        <v>13</v>
      </c>
      <c r="E291" t="s">
        <v>12</v>
      </c>
      <c r="F291" s="5">
        <v>64</v>
      </c>
      <c r="G291" s="5">
        <v>4726</v>
      </c>
      <c r="H291" s="5">
        <v>1</v>
      </c>
      <c r="I291" s="8">
        <v>1.8300000430000001</v>
      </c>
      <c r="J291" s="5">
        <v>1</v>
      </c>
      <c r="K291" s="5">
        <v>1</v>
      </c>
      <c r="L291" s="14">
        <f t="shared" si="20"/>
        <v>0.38721964515446466</v>
      </c>
      <c r="M291" s="14">
        <f t="shared" si="24"/>
        <v>1.8300000430000001</v>
      </c>
      <c r="N291" s="20">
        <f t="shared" si="21"/>
        <v>2.1159542953872197E-4</v>
      </c>
      <c r="O291" s="14">
        <f t="shared" si="22"/>
        <v>1.8300000430000001</v>
      </c>
      <c r="P291" s="20">
        <f t="shared" si="23"/>
        <v>1</v>
      </c>
    </row>
    <row r="292" spans="1:16" x14ac:dyDescent="0.25">
      <c r="A292">
        <v>777758</v>
      </c>
      <c r="B292">
        <v>936</v>
      </c>
      <c r="C292">
        <v>115737</v>
      </c>
      <c r="D292" t="s">
        <v>11</v>
      </c>
      <c r="E292" t="s">
        <v>12</v>
      </c>
      <c r="F292" s="5">
        <v>19</v>
      </c>
      <c r="G292" s="5">
        <v>5209</v>
      </c>
      <c r="H292" s="5">
        <v>1</v>
      </c>
      <c r="I292" s="8">
        <v>0.959999979</v>
      </c>
      <c r="J292" s="5">
        <v>2</v>
      </c>
      <c r="K292" s="5">
        <v>0</v>
      </c>
      <c r="L292" s="14">
        <f t="shared" si="20"/>
        <v>0.18429640602802841</v>
      </c>
      <c r="M292" s="14">
        <f t="shared" si="24"/>
        <v>0.959999979</v>
      </c>
      <c r="N292" s="20">
        <f t="shared" si="21"/>
        <v>1.9197542714532539E-4</v>
      </c>
      <c r="O292" s="14" t="str">
        <f t="shared" si="22"/>
        <v xml:space="preserve"> </v>
      </c>
      <c r="P292" s="20">
        <f t="shared" si="23"/>
        <v>0</v>
      </c>
    </row>
    <row r="293" spans="1:16" x14ac:dyDescent="0.25">
      <c r="A293">
        <v>777794</v>
      </c>
      <c r="B293">
        <v>936</v>
      </c>
      <c r="C293">
        <v>115743</v>
      </c>
      <c r="D293" t="s">
        <v>11</v>
      </c>
      <c r="E293" t="s">
        <v>12</v>
      </c>
      <c r="F293" s="5">
        <v>18</v>
      </c>
      <c r="G293" s="5">
        <v>13473</v>
      </c>
      <c r="H293" s="5">
        <v>3</v>
      </c>
      <c r="I293" s="8">
        <v>2.619999945</v>
      </c>
      <c r="J293" s="5">
        <v>3</v>
      </c>
      <c r="K293" s="5">
        <v>0</v>
      </c>
      <c r="L293" s="14">
        <f t="shared" si="20"/>
        <v>0.19446299599198397</v>
      </c>
      <c r="M293" s="14">
        <f t="shared" si="24"/>
        <v>0.873333315</v>
      </c>
      <c r="N293" s="20">
        <f t="shared" si="21"/>
        <v>2.2266755733689602E-4</v>
      </c>
      <c r="O293" s="14" t="str">
        <f t="shared" si="22"/>
        <v xml:space="preserve"> </v>
      </c>
      <c r="P293" s="20">
        <f t="shared" si="23"/>
        <v>0</v>
      </c>
    </row>
    <row r="294" spans="1:16" x14ac:dyDescent="0.25">
      <c r="A294">
        <v>777816</v>
      </c>
      <c r="B294">
        <v>936</v>
      </c>
      <c r="C294">
        <v>115747</v>
      </c>
      <c r="D294" t="s">
        <v>14</v>
      </c>
      <c r="E294" t="s">
        <v>12</v>
      </c>
      <c r="F294" s="5">
        <v>2</v>
      </c>
      <c r="G294" s="5">
        <v>500</v>
      </c>
      <c r="H294" s="5">
        <v>0</v>
      </c>
      <c r="I294" s="8">
        <v>0</v>
      </c>
      <c r="J294" s="5">
        <v>1</v>
      </c>
      <c r="K294" s="5">
        <v>1</v>
      </c>
      <c r="L294" s="14">
        <f t="shared" si="20"/>
        <v>0</v>
      </c>
      <c r="M294" s="14" t="str">
        <f t="shared" si="24"/>
        <v xml:space="preserve"> </v>
      </c>
      <c r="N294" s="20">
        <f t="shared" si="21"/>
        <v>0</v>
      </c>
      <c r="O294" s="14">
        <f t="shared" si="22"/>
        <v>0</v>
      </c>
      <c r="P294" s="20">
        <f t="shared" si="23"/>
        <v>0</v>
      </c>
    </row>
    <row r="295" spans="1:16" x14ac:dyDescent="0.25">
      <c r="A295">
        <v>777871</v>
      </c>
      <c r="B295">
        <v>936</v>
      </c>
      <c r="C295">
        <v>115756</v>
      </c>
      <c r="D295" t="s">
        <v>11</v>
      </c>
      <c r="E295" t="s">
        <v>12</v>
      </c>
      <c r="F295" s="5">
        <v>20</v>
      </c>
      <c r="G295" s="5">
        <v>4616</v>
      </c>
      <c r="H295" s="5">
        <v>1</v>
      </c>
      <c r="I295" s="8">
        <v>1.3600000139999999</v>
      </c>
      <c r="J295" s="5">
        <v>1</v>
      </c>
      <c r="K295" s="5">
        <v>0</v>
      </c>
      <c r="L295" s="14">
        <f t="shared" si="20"/>
        <v>0.29462738604852684</v>
      </c>
      <c r="M295" s="14">
        <f t="shared" si="24"/>
        <v>1.3600000139999999</v>
      </c>
      <c r="N295" s="20">
        <f t="shared" si="21"/>
        <v>2.1663778162911611E-4</v>
      </c>
      <c r="O295" s="14" t="str">
        <f t="shared" si="22"/>
        <v xml:space="preserve"> </v>
      </c>
      <c r="P295" s="20">
        <f t="shared" si="23"/>
        <v>0</v>
      </c>
    </row>
    <row r="296" spans="1:16" x14ac:dyDescent="0.25">
      <c r="A296">
        <v>777904</v>
      </c>
      <c r="B296">
        <v>936</v>
      </c>
      <c r="C296">
        <v>115762</v>
      </c>
      <c r="D296" t="s">
        <v>11</v>
      </c>
      <c r="E296" t="s">
        <v>12</v>
      </c>
      <c r="F296" s="5">
        <v>31</v>
      </c>
      <c r="G296" s="5">
        <v>3279</v>
      </c>
      <c r="H296" s="5">
        <v>0</v>
      </c>
      <c r="I296" s="8">
        <v>0</v>
      </c>
      <c r="J296" s="5">
        <v>1</v>
      </c>
      <c r="K296" s="5">
        <v>0</v>
      </c>
      <c r="L296" s="14">
        <f t="shared" si="20"/>
        <v>0</v>
      </c>
      <c r="M296" s="14" t="str">
        <f t="shared" si="24"/>
        <v xml:space="preserve"> </v>
      </c>
      <c r="N296" s="20">
        <f t="shared" si="21"/>
        <v>0</v>
      </c>
      <c r="O296" s="14" t="str">
        <f t="shared" si="22"/>
        <v xml:space="preserve"> </v>
      </c>
      <c r="P296" s="20">
        <f t="shared" si="23"/>
        <v>0</v>
      </c>
    </row>
    <row r="297" spans="1:16" x14ac:dyDescent="0.25">
      <c r="A297">
        <v>777905</v>
      </c>
      <c r="B297">
        <v>936</v>
      </c>
      <c r="C297">
        <v>115762</v>
      </c>
      <c r="D297" t="s">
        <v>11</v>
      </c>
      <c r="E297" t="s">
        <v>12</v>
      </c>
      <c r="F297" s="5">
        <v>31</v>
      </c>
      <c r="G297" s="5">
        <v>3288</v>
      </c>
      <c r="H297" s="5">
        <v>0</v>
      </c>
      <c r="I297" s="8">
        <v>0</v>
      </c>
      <c r="J297" s="5">
        <v>1</v>
      </c>
      <c r="K297" s="5">
        <v>0</v>
      </c>
      <c r="L297" s="14">
        <f t="shared" si="20"/>
        <v>0</v>
      </c>
      <c r="M297" s="14" t="str">
        <f t="shared" si="24"/>
        <v xml:space="preserve"> </v>
      </c>
      <c r="N297" s="20">
        <f t="shared" si="21"/>
        <v>0</v>
      </c>
      <c r="O297" s="14" t="str">
        <f t="shared" si="22"/>
        <v xml:space="preserve"> </v>
      </c>
      <c r="P297" s="20">
        <f t="shared" si="23"/>
        <v>0</v>
      </c>
    </row>
    <row r="298" spans="1:16" x14ac:dyDescent="0.25">
      <c r="A298">
        <v>778037</v>
      </c>
      <c r="B298">
        <v>936</v>
      </c>
      <c r="C298">
        <v>115784</v>
      </c>
      <c r="D298" t="s">
        <v>13</v>
      </c>
      <c r="E298" t="s">
        <v>12</v>
      </c>
      <c r="F298" s="5">
        <v>27</v>
      </c>
      <c r="G298" s="5">
        <v>14615</v>
      </c>
      <c r="H298" s="5">
        <v>4</v>
      </c>
      <c r="I298" s="8">
        <v>6.0500001909999996</v>
      </c>
      <c r="J298" s="5">
        <v>1</v>
      </c>
      <c r="K298" s="5">
        <v>0</v>
      </c>
      <c r="L298" s="14">
        <f t="shared" si="20"/>
        <v>0.41395827512829286</v>
      </c>
      <c r="M298" s="14">
        <f t="shared" si="24"/>
        <v>1.5125000477499999</v>
      </c>
      <c r="N298" s="20">
        <f t="shared" si="21"/>
        <v>2.7369141293191924E-4</v>
      </c>
      <c r="O298" s="14" t="str">
        <f t="shared" si="22"/>
        <v xml:space="preserve"> </v>
      </c>
      <c r="P298" s="20">
        <f t="shared" si="23"/>
        <v>0</v>
      </c>
    </row>
    <row r="299" spans="1:16" x14ac:dyDescent="0.25">
      <c r="A299">
        <v>778048</v>
      </c>
      <c r="B299">
        <v>936</v>
      </c>
      <c r="C299">
        <v>115786</v>
      </c>
      <c r="D299" t="s">
        <v>11</v>
      </c>
      <c r="E299" t="s">
        <v>12</v>
      </c>
      <c r="F299" s="5">
        <v>27</v>
      </c>
      <c r="G299" s="5">
        <v>56615</v>
      </c>
      <c r="H299" s="5">
        <v>12</v>
      </c>
      <c r="I299" s="8">
        <v>19.88000035</v>
      </c>
      <c r="J299" s="5">
        <v>2</v>
      </c>
      <c r="K299" s="5">
        <v>0</v>
      </c>
      <c r="L299" s="14">
        <f t="shared" si="20"/>
        <v>0.35114369601695661</v>
      </c>
      <c r="M299" s="14">
        <f t="shared" si="24"/>
        <v>1.6566666958333334</v>
      </c>
      <c r="N299" s="20">
        <f t="shared" si="21"/>
        <v>2.1195796167093527E-4</v>
      </c>
      <c r="O299" s="14" t="str">
        <f t="shared" si="22"/>
        <v xml:space="preserve"> </v>
      </c>
      <c r="P299" s="20">
        <f t="shared" si="23"/>
        <v>0</v>
      </c>
    </row>
    <row r="300" spans="1:16" x14ac:dyDescent="0.25">
      <c r="A300">
        <v>778085</v>
      </c>
      <c r="B300">
        <v>936</v>
      </c>
      <c r="C300">
        <v>115792</v>
      </c>
      <c r="D300" t="s">
        <v>11</v>
      </c>
      <c r="E300" t="s">
        <v>12</v>
      </c>
      <c r="F300" s="5">
        <v>26</v>
      </c>
      <c r="G300" s="5">
        <v>11735</v>
      </c>
      <c r="H300" s="5">
        <v>3</v>
      </c>
      <c r="I300" s="8">
        <v>4.5299999709999996</v>
      </c>
      <c r="J300" s="5">
        <v>1</v>
      </c>
      <c r="K300" s="5">
        <v>1</v>
      </c>
      <c r="L300" s="14">
        <f t="shared" si="20"/>
        <v>0.3860247099275671</v>
      </c>
      <c r="M300" s="14">
        <f t="shared" si="24"/>
        <v>1.5099999903333332</v>
      </c>
      <c r="N300" s="20">
        <f t="shared" si="21"/>
        <v>2.5564550489987217E-4</v>
      </c>
      <c r="O300" s="14">
        <f t="shared" si="22"/>
        <v>4.5299999709999996</v>
      </c>
      <c r="P300" s="20">
        <f t="shared" si="23"/>
        <v>0.33333333333333331</v>
      </c>
    </row>
    <row r="301" spans="1:16" x14ac:dyDescent="0.25">
      <c r="A301">
        <v>778087</v>
      </c>
      <c r="B301">
        <v>936</v>
      </c>
      <c r="C301">
        <v>115792</v>
      </c>
      <c r="D301" t="s">
        <v>11</v>
      </c>
      <c r="E301" t="s">
        <v>12</v>
      </c>
      <c r="F301" s="5">
        <v>26</v>
      </c>
      <c r="G301" s="5">
        <v>15910</v>
      </c>
      <c r="H301" s="5">
        <v>5</v>
      </c>
      <c r="I301" s="8">
        <v>6.7799998520000004</v>
      </c>
      <c r="J301" s="5">
        <v>1</v>
      </c>
      <c r="K301" s="5">
        <v>0</v>
      </c>
      <c r="L301" s="14">
        <f t="shared" si="20"/>
        <v>0.42614706800754243</v>
      </c>
      <c r="M301" s="14">
        <f t="shared" si="24"/>
        <v>1.3559999704000001</v>
      </c>
      <c r="N301" s="20">
        <f t="shared" si="21"/>
        <v>3.1426775612822125E-4</v>
      </c>
      <c r="O301" s="14" t="str">
        <f t="shared" si="22"/>
        <v xml:space="preserve"> </v>
      </c>
      <c r="P301" s="20">
        <f t="shared" si="23"/>
        <v>0</v>
      </c>
    </row>
    <row r="302" spans="1:16" x14ac:dyDescent="0.25">
      <c r="A302">
        <v>778112</v>
      </c>
      <c r="B302">
        <v>936</v>
      </c>
      <c r="C302">
        <v>115796</v>
      </c>
      <c r="D302" t="s">
        <v>13</v>
      </c>
      <c r="E302" t="s">
        <v>12</v>
      </c>
      <c r="F302" s="5">
        <v>29</v>
      </c>
      <c r="G302" s="5">
        <v>11446</v>
      </c>
      <c r="H302" s="5">
        <v>2</v>
      </c>
      <c r="I302" s="8">
        <v>3.0900000329999999</v>
      </c>
      <c r="J302" s="5">
        <v>1</v>
      </c>
      <c r="K302" s="5">
        <v>1</v>
      </c>
      <c r="L302" s="14">
        <f t="shared" si="20"/>
        <v>0.26996330884151665</v>
      </c>
      <c r="M302" s="14">
        <f t="shared" si="24"/>
        <v>1.5450000165</v>
      </c>
      <c r="N302" s="20">
        <f t="shared" si="21"/>
        <v>1.7473353136466887E-4</v>
      </c>
      <c r="O302" s="14">
        <f t="shared" si="22"/>
        <v>3.0900000329999999</v>
      </c>
      <c r="P302" s="20">
        <f t="shared" si="23"/>
        <v>0.5</v>
      </c>
    </row>
    <row r="303" spans="1:16" x14ac:dyDescent="0.25">
      <c r="A303">
        <v>778113</v>
      </c>
      <c r="B303">
        <v>936</v>
      </c>
      <c r="C303">
        <v>115796</v>
      </c>
      <c r="D303" t="s">
        <v>13</v>
      </c>
      <c r="E303" t="s">
        <v>12</v>
      </c>
      <c r="F303" s="5">
        <v>29</v>
      </c>
      <c r="G303" s="5">
        <v>4595</v>
      </c>
      <c r="H303" s="5">
        <v>0</v>
      </c>
      <c r="I303" s="8">
        <v>0</v>
      </c>
      <c r="J303" s="5">
        <v>1</v>
      </c>
      <c r="K303" s="5">
        <v>0</v>
      </c>
      <c r="L303" s="14">
        <f t="shared" si="20"/>
        <v>0</v>
      </c>
      <c r="M303" s="14" t="str">
        <f t="shared" si="24"/>
        <v xml:space="preserve"> </v>
      </c>
      <c r="N303" s="20">
        <f t="shared" si="21"/>
        <v>0</v>
      </c>
      <c r="O303" s="14" t="str">
        <f t="shared" si="22"/>
        <v xml:space="preserve"> </v>
      </c>
      <c r="P303" s="20">
        <f t="shared" si="23"/>
        <v>0</v>
      </c>
    </row>
    <row r="304" spans="1:16" x14ac:dyDescent="0.25">
      <c r="A304">
        <v>778124</v>
      </c>
      <c r="B304">
        <v>936</v>
      </c>
      <c r="C304">
        <v>115798</v>
      </c>
      <c r="D304" t="s">
        <v>11</v>
      </c>
      <c r="E304" t="s">
        <v>12</v>
      </c>
      <c r="F304" s="5">
        <v>29</v>
      </c>
      <c r="G304" s="5">
        <v>4871</v>
      </c>
      <c r="H304" s="5">
        <v>0</v>
      </c>
      <c r="I304" s="8">
        <v>0</v>
      </c>
      <c r="J304" s="5">
        <v>1</v>
      </c>
      <c r="K304" s="5">
        <v>0</v>
      </c>
      <c r="L304" s="14">
        <f t="shared" si="20"/>
        <v>0</v>
      </c>
      <c r="M304" s="14" t="str">
        <f t="shared" si="24"/>
        <v xml:space="preserve"> </v>
      </c>
      <c r="N304" s="20">
        <f t="shared" si="21"/>
        <v>0</v>
      </c>
      <c r="O304" s="14" t="str">
        <f t="shared" si="22"/>
        <v xml:space="preserve"> </v>
      </c>
      <c r="P304" s="20">
        <f t="shared" si="23"/>
        <v>0</v>
      </c>
    </row>
    <row r="305" spans="1:16" x14ac:dyDescent="0.25">
      <c r="A305">
        <v>778148</v>
      </c>
      <c r="B305">
        <v>936</v>
      </c>
      <c r="C305">
        <v>115802</v>
      </c>
      <c r="D305" t="s">
        <v>13</v>
      </c>
      <c r="E305" t="s">
        <v>12</v>
      </c>
      <c r="F305" s="5">
        <v>28</v>
      </c>
      <c r="G305" s="5">
        <v>3199</v>
      </c>
      <c r="H305" s="5">
        <v>0</v>
      </c>
      <c r="I305" s="8">
        <v>0</v>
      </c>
      <c r="J305" s="5">
        <v>1</v>
      </c>
      <c r="K305" s="5">
        <v>0</v>
      </c>
      <c r="L305" s="14">
        <f t="shared" si="20"/>
        <v>0</v>
      </c>
      <c r="M305" s="14" t="str">
        <f t="shared" si="24"/>
        <v xml:space="preserve"> </v>
      </c>
      <c r="N305" s="20">
        <f t="shared" si="21"/>
        <v>0</v>
      </c>
      <c r="O305" s="14" t="str">
        <f t="shared" si="22"/>
        <v xml:space="preserve"> </v>
      </c>
      <c r="P305" s="20">
        <f t="shared" si="23"/>
        <v>0</v>
      </c>
    </row>
    <row r="306" spans="1:16" x14ac:dyDescent="0.25">
      <c r="A306">
        <v>778156</v>
      </c>
      <c r="B306">
        <v>936</v>
      </c>
      <c r="C306">
        <v>115804</v>
      </c>
      <c r="D306" t="s">
        <v>11</v>
      </c>
      <c r="E306" t="s">
        <v>12</v>
      </c>
      <c r="F306" s="5">
        <v>28</v>
      </c>
      <c r="G306" s="5">
        <v>9388</v>
      </c>
      <c r="H306" s="5">
        <v>2</v>
      </c>
      <c r="I306" s="8">
        <v>3.1400001049999999</v>
      </c>
      <c r="J306" s="5">
        <v>1</v>
      </c>
      <c r="K306" s="5">
        <v>0</v>
      </c>
      <c r="L306" s="14">
        <f t="shared" si="20"/>
        <v>0.33446954676182361</v>
      </c>
      <c r="M306" s="14">
        <f t="shared" si="24"/>
        <v>1.5700000525</v>
      </c>
      <c r="N306" s="20">
        <f t="shared" si="21"/>
        <v>2.1303792074989347E-4</v>
      </c>
      <c r="O306" s="14" t="str">
        <f t="shared" si="22"/>
        <v xml:space="preserve"> </v>
      </c>
      <c r="P306" s="20">
        <f t="shared" si="23"/>
        <v>0</v>
      </c>
    </row>
    <row r="307" spans="1:16" x14ac:dyDescent="0.25">
      <c r="A307">
        <v>778161</v>
      </c>
      <c r="B307">
        <v>936</v>
      </c>
      <c r="C307">
        <v>115804</v>
      </c>
      <c r="D307" t="s">
        <v>11</v>
      </c>
      <c r="E307" t="s">
        <v>12</v>
      </c>
      <c r="F307" s="5">
        <v>28</v>
      </c>
      <c r="G307" s="5">
        <v>17954</v>
      </c>
      <c r="H307" s="5">
        <v>6</v>
      </c>
      <c r="I307" s="8">
        <v>7.5400001999999997</v>
      </c>
      <c r="J307" s="5">
        <v>2</v>
      </c>
      <c r="K307" s="5">
        <v>1</v>
      </c>
      <c r="L307" s="14">
        <f t="shared" si="20"/>
        <v>0.41996213657123754</v>
      </c>
      <c r="M307" s="14">
        <f t="shared" si="24"/>
        <v>1.2566667</v>
      </c>
      <c r="N307" s="20">
        <f t="shared" si="21"/>
        <v>3.3418736771750028E-4</v>
      </c>
      <c r="O307" s="14">
        <f t="shared" si="22"/>
        <v>7.5400001999999997</v>
      </c>
      <c r="P307" s="20">
        <f t="shared" si="23"/>
        <v>0.16666666666666666</v>
      </c>
    </row>
    <row r="308" spans="1:16" x14ac:dyDescent="0.25">
      <c r="A308">
        <v>778208</v>
      </c>
      <c r="B308">
        <v>936</v>
      </c>
      <c r="C308">
        <v>115812</v>
      </c>
      <c r="D308" t="s">
        <v>14</v>
      </c>
      <c r="E308" t="s">
        <v>16</v>
      </c>
      <c r="F308" s="5">
        <v>29</v>
      </c>
      <c r="G308" s="5">
        <v>2755</v>
      </c>
      <c r="H308" s="5">
        <v>0</v>
      </c>
      <c r="I308" s="8">
        <v>0</v>
      </c>
      <c r="J308" s="5">
        <v>1</v>
      </c>
      <c r="K308" s="5">
        <v>0</v>
      </c>
      <c r="L308" s="14">
        <f t="shared" si="20"/>
        <v>0</v>
      </c>
      <c r="M308" s="14" t="str">
        <f t="shared" si="24"/>
        <v xml:space="preserve"> </v>
      </c>
      <c r="N308" s="20">
        <f t="shared" si="21"/>
        <v>0</v>
      </c>
      <c r="O308" s="14" t="str">
        <f t="shared" si="22"/>
        <v xml:space="preserve"> </v>
      </c>
      <c r="P308" s="20">
        <f t="shared" si="23"/>
        <v>0</v>
      </c>
    </row>
    <row r="309" spans="1:16" x14ac:dyDescent="0.25">
      <c r="A309">
        <v>778264</v>
      </c>
      <c r="B309">
        <v>936</v>
      </c>
      <c r="C309">
        <v>115822</v>
      </c>
      <c r="D309" t="s">
        <v>14</v>
      </c>
      <c r="E309" t="s">
        <v>16</v>
      </c>
      <c r="F309" s="5">
        <v>27</v>
      </c>
      <c r="G309" s="5">
        <v>8152</v>
      </c>
      <c r="H309" s="5">
        <v>1</v>
      </c>
      <c r="I309" s="8">
        <v>0.99000001000000004</v>
      </c>
      <c r="J309" s="5">
        <v>1</v>
      </c>
      <c r="K309" s="5">
        <v>0</v>
      </c>
      <c r="L309" s="14">
        <f t="shared" si="20"/>
        <v>0.12144259200196272</v>
      </c>
      <c r="M309" s="14">
        <f t="shared" si="24"/>
        <v>0.99000001000000004</v>
      </c>
      <c r="N309" s="20">
        <f t="shared" si="21"/>
        <v>1.226692836113837E-4</v>
      </c>
      <c r="O309" s="14" t="str">
        <f t="shared" si="22"/>
        <v xml:space="preserve"> </v>
      </c>
      <c r="P309" s="20">
        <f t="shared" si="23"/>
        <v>0</v>
      </c>
    </row>
    <row r="310" spans="1:16" x14ac:dyDescent="0.25">
      <c r="A310">
        <v>778266</v>
      </c>
      <c r="B310">
        <v>936</v>
      </c>
      <c r="C310">
        <v>115822</v>
      </c>
      <c r="D310" t="s">
        <v>14</v>
      </c>
      <c r="E310" t="s">
        <v>16</v>
      </c>
      <c r="F310" s="5">
        <v>27</v>
      </c>
      <c r="G310" s="5">
        <v>74542</v>
      </c>
      <c r="H310" s="5">
        <v>19</v>
      </c>
      <c r="I310" s="8">
        <v>34.1500001</v>
      </c>
      <c r="J310" s="5">
        <v>1</v>
      </c>
      <c r="K310" s="5">
        <v>0</v>
      </c>
      <c r="L310" s="14">
        <f t="shared" si="20"/>
        <v>0.45813098789943923</v>
      </c>
      <c r="M310" s="14">
        <f t="shared" si="24"/>
        <v>1.7973684263157894</v>
      </c>
      <c r="N310" s="20">
        <f t="shared" si="21"/>
        <v>2.5488986074964447E-4</v>
      </c>
      <c r="O310" s="14" t="str">
        <f t="shared" si="22"/>
        <v xml:space="preserve"> </v>
      </c>
      <c r="P310" s="20">
        <f t="shared" si="23"/>
        <v>0</v>
      </c>
    </row>
    <row r="311" spans="1:16" x14ac:dyDescent="0.25">
      <c r="A311">
        <v>778421</v>
      </c>
      <c r="B311">
        <v>936</v>
      </c>
      <c r="C311">
        <v>115848</v>
      </c>
      <c r="D311" t="s">
        <v>14</v>
      </c>
      <c r="E311" t="s">
        <v>16</v>
      </c>
      <c r="F311" s="5">
        <v>20</v>
      </c>
      <c r="G311" s="5">
        <v>6699</v>
      </c>
      <c r="H311" s="5">
        <v>2</v>
      </c>
      <c r="I311" s="8">
        <v>3.0900000329999999</v>
      </c>
      <c r="J311" s="5">
        <v>1</v>
      </c>
      <c r="K311" s="5">
        <v>0</v>
      </c>
      <c r="L311" s="14">
        <f t="shared" si="20"/>
        <v>0.46126287998208687</v>
      </c>
      <c r="M311" s="14">
        <f t="shared" si="24"/>
        <v>1.5450000165</v>
      </c>
      <c r="N311" s="20">
        <f t="shared" si="21"/>
        <v>2.985520226899537E-4</v>
      </c>
      <c r="O311" s="14" t="str">
        <f t="shared" si="22"/>
        <v xml:space="preserve"> </v>
      </c>
      <c r="P311" s="20">
        <f t="shared" si="23"/>
        <v>0</v>
      </c>
    </row>
    <row r="312" spans="1:16" x14ac:dyDescent="0.25">
      <c r="A312">
        <v>778422</v>
      </c>
      <c r="B312">
        <v>936</v>
      </c>
      <c r="C312">
        <v>115848</v>
      </c>
      <c r="D312" t="s">
        <v>14</v>
      </c>
      <c r="E312" t="s">
        <v>16</v>
      </c>
      <c r="F312" s="5">
        <v>20</v>
      </c>
      <c r="G312" s="5">
        <v>11911</v>
      </c>
      <c r="H312" s="5">
        <v>4</v>
      </c>
      <c r="I312" s="8">
        <v>3.9599999189999999</v>
      </c>
      <c r="J312" s="5">
        <v>1</v>
      </c>
      <c r="K312" s="5">
        <v>0</v>
      </c>
      <c r="L312" s="14">
        <f t="shared" si="20"/>
        <v>0.33246578112668956</v>
      </c>
      <c r="M312" s="14">
        <f t="shared" si="24"/>
        <v>0.98999997974999998</v>
      </c>
      <c r="N312" s="20">
        <f t="shared" si="21"/>
        <v>3.3582402820921836E-4</v>
      </c>
      <c r="O312" s="14" t="str">
        <f t="shared" si="22"/>
        <v xml:space="preserve"> </v>
      </c>
      <c r="P312" s="20">
        <f t="shared" si="23"/>
        <v>0</v>
      </c>
    </row>
    <row r="313" spans="1:16" x14ac:dyDescent="0.25">
      <c r="A313">
        <v>778461</v>
      </c>
      <c r="B313">
        <v>936</v>
      </c>
      <c r="C313">
        <v>115854</v>
      </c>
      <c r="D313" t="s">
        <v>14</v>
      </c>
      <c r="E313" t="s">
        <v>12</v>
      </c>
      <c r="F313" s="5">
        <v>29</v>
      </c>
      <c r="G313" s="5">
        <v>10090</v>
      </c>
      <c r="H313" s="5">
        <v>2</v>
      </c>
      <c r="I313" s="8">
        <v>2.6500000950000002</v>
      </c>
      <c r="J313" s="5">
        <v>1</v>
      </c>
      <c r="K313" s="5">
        <v>1</v>
      </c>
      <c r="L313" s="14">
        <f t="shared" si="20"/>
        <v>0.26263628295341923</v>
      </c>
      <c r="M313" s="14">
        <f t="shared" si="24"/>
        <v>1.3250000475000001</v>
      </c>
      <c r="N313" s="20">
        <f t="shared" si="21"/>
        <v>1.9821605550049553E-4</v>
      </c>
      <c r="O313" s="14">
        <f t="shared" si="22"/>
        <v>2.6500000950000002</v>
      </c>
      <c r="P313" s="20">
        <f t="shared" si="23"/>
        <v>0.5</v>
      </c>
    </row>
    <row r="314" spans="1:16" x14ac:dyDescent="0.25">
      <c r="A314">
        <v>778471</v>
      </c>
      <c r="B314">
        <v>936</v>
      </c>
      <c r="C314">
        <v>115856</v>
      </c>
      <c r="D314" t="s">
        <v>11</v>
      </c>
      <c r="E314" t="s">
        <v>12</v>
      </c>
      <c r="F314" s="5">
        <v>32</v>
      </c>
      <c r="G314" s="5">
        <v>1273</v>
      </c>
      <c r="H314" s="5">
        <v>0</v>
      </c>
      <c r="I314" s="8">
        <v>0</v>
      </c>
      <c r="J314" s="5">
        <v>1</v>
      </c>
      <c r="K314" s="5">
        <v>1</v>
      </c>
      <c r="L314" s="14">
        <f t="shared" si="20"/>
        <v>0</v>
      </c>
      <c r="M314" s="14" t="str">
        <f t="shared" si="24"/>
        <v xml:space="preserve"> </v>
      </c>
      <c r="N314" s="20">
        <f t="shared" si="21"/>
        <v>0</v>
      </c>
      <c r="O314" s="14">
        <f t="shared" si="22"/>
        <v>0</v>
      </c>
      <c r="P314" s="20">
        <f t="shared" si="23"/>
        <v>0</v>
      </c>
    </row>
    <row r="315" spans="1:16" x14ac:dyDescent="0.25">
      <c r="A315">
        <v>778483</v>
      </c>
      <c r="B315">
        <v>936</v>
      </c>
      <c r="C315">
        <v>115858</v>
      </c>
      <c r="D315" t="s">
        <v>14</v>
      </c>
      <c r="E315" t="s">
        <v>16</v>
      </c>
      <c r="F315" s="5">
        <v>18</v>
      </c>
      <c r="G315" s="5">
        <v>24188</v>
      </c>
      <c r="H315" s="5">
        <v>5</v>
      </c>
      <c r="I315" s="8">
        <v>8.1799998279999997</v>
      </c>
      <c r="J315" s="5">
        <v>1</v>
      </c>
      <c r="K315" s="5">
        <v>0</v>
      </c>
      <c r="L315" s="14">
        <f t="shared" si="20"/>
        <v>0.33818421647097729</v>
      </c>
      <c r="M315" s="14">
        <f t="shared" si="24"/>
        <v>1.6359999655999999</v>
      </c>
      <c r="N315" s="20">
        <f t="shared" si="21"/>
        <v>2.0671407309409625E-4</v>
      </c>
      <c r="O315" s="14" t="str">
        <f t="shared" si="22"/>
        <v xml:space="preserve"> </v>
      </c>
      <c r="P315" s="20">
        <f t="shared" si="23"/>
        <v>0</v>
      </c>
    </row>
    <row r="316" spans="1:16" x14ac:dyDescent="0.25">
      <c r="A316">
        <v>778529</v>
      </c>
      <c r="B316">
        <v>936</v>
      </c>
      <c r="C316">
        <v>115866</v>
      </c>
      <c r="D316" t="s">
        <v>11</v>
      </c>
      <c r="E316" t="s">
        <v>12</v>
      </c>
      <c r="F316" s="5">
        <v>31</v>
      </c>
      <c r="G316" s="5">
        <v>2214</v>
      </c>
      <c r="H316" s="5">
        <v>0</v>
      </c>
      <c r="I316" s="8">
        <v>0</v>
      </c>
      <c r="J316" s="5">
        <v>1</v>
      </c>
      <c r="K316" s="5">
        <v>0</v>
      </c>
      <c r="L316" s="14">
        <f t="shared" si="20"/>
        <v>0</v>
      </c>
      <c r="M316" s="14" t="str">
        <f t="shared" si="24"/>
        <v xml:space="preserve"> </v>
      </c>
      <c r="N316" s="20">
        <f t="shared" si="21"/>
        <v>0</v>
      </c>
      <c r="O316" s="14" t="str">
        <f t="shared" si="22"/>
        <v xml:space="preserve"> </v>
      </c>
      <c r="P316" s="20">
        <f t="shared" si="23"/>
        <v>0</v>
      </c>
    </row>
    <row r="317" spans="1:16" x14ac:dyDescent="0.25">
      <c r="A317">
        <v>778556</v>
      </c>
      <c r="B317">
        <v>936</v>
      </c>
      <c r="C317">
        <v>115870</v>
      </c>
      <c r="D317" t="s">
        <v>14</v>
      </c>
      <c r="E317" t="s">
        <v>12</v>
      </c>
      <c r="F317" s="5">
        <v>32</v>
      </c>
      <c r="G317" s="5">
        <v>9735</v>
      </c>
      <c r="H317" s="5">
        <v>4</v>
      </c>
      <c r="I317" s="8">
        <v>4.1300001139999996</v>
      </c>
      <c r="J317" s="5">
        <v>1</v>
      </c>
      <c r="K317" s="5">
        <v>1</v>
      </c>
      <c r="L317" s="14">
        <f t="shared" si="20"/>
        <v>0.4242424359527478</v>
      </c>
      <c r="M317" s="14">
        <f t="shared" si="24"/>
        <v>1.0325000284999999</v>
      </c>
      <c r="N317" s="20">
        <f t="shared" si="21"/>
        <v>4.1088854648176684E-4</v>
      </c>
      <c r="O317" s="14">
        <f t="shared" si="22"/>
        <v>4.1300001139999996</v>
      </c>
      <c r="P317" s="20">
        <f t="shared" si="23"/>
        <v>0.25</v>
      </c>
    </row>
    <row r="318" spans="1:16" x14ac:dyDescent="0.25">
      <c r="A318">
        <v>778590</v>
      </c>
      <c r="B318">
        <v>936</v>
      </c>
      <c r="C318">
        <v>115876</v>
      </c>
      <c r="D318" t="s">
        <v>11</v>
      </c>
      <c r="E318" t="s">
        <v>12</v>
      </c>
      <c r="F318" s="5">
        <v>30</v>
      </c>
      <c r="G318" s="5">
        <v>1371</v>
      </c>
      <c r="H318" s="5">
        <v>0</v>
      </c>
      <c r="I318" s="8">
        <v>0</v>
      </c>
      <c r="J318" s="5">
        <v>1</v>
      </c>
      <c r="K318" s="5">
        <v>1</v>
      </c>
      <c r="L318" s="14">
        <f t="shared" si="20"/>
        <v>0</v>
      </c>
      <c r="M318" s="14" t="str">
        <f t="shared" si="24"/>
        <v xml:space="preserve"> </v>
      </c>
      <c r="N318" s="20">
        <f t="shared" si="21"/>
        <v>0</v>
      </c>
      <c r="O318" s="14">
        <f t="shared" si="22"/>
        <v>0</v>
      </c>
      <c r="P318" s="20">
        <f t="shared" si="23"/>
        <v>0</v>
      </c>
    </row>
    <row r="319" spans="1:16" x14ac:dyDescent="0.25">
      <c r="A319">
        <v>778600</v>
      </c>
      <c r="B319">
        <v>936</v>
      </c>
      <c r="C319">
        <v>115878</v>
      </c>
      <c r="D319" t="s">
        <v>14</v>
      </c>
      <c r="E319" t="s">
        <v>16</v>
      </c>
      <c r="F319" s="5">
        <v>22</v>
      </c>
      <c r="G319" s="5">
        <v>10750</v>
      </c>
      <c r="H319" s="5">
        <v>4</v>
      </c>
      <c r="I319" s="8">
        <v>5.3899998660000001</v>
      </c>
      <c r="J319" s="5">
        <v>1</v>
      </c>
      <c r="K319" s="5">
        <v>0</v>
      </c>
      <c r="L319" s="14">
        <f t="shared" si="20"/>
        <v>0.50139533637209299</v>
      </c>
      <c r="M319" s="14">
        <f t="shared" si="24"/>
        <v>1.3474999665</v>
      </c>
      <c r="N319" s="20">
        <f t="shared" si="21"/>
        <v>3.7209302325581393E-4</v>
      </c>
      <c r="O319" s="14" t="str">
        <f t="shared" si="22"/>
        <v xml:space="preserve"> </v>
      </c>
      <c r="P319" s="20">
        <f t="shared" si="23"/>
        <v>0</v>
      </c>
    </row>
    <row r="320" spans="1:16" x14ac:dyDescent="0.25">
      <c r="A320">
        <v>778626</v>
      </c>
      <c r="B320">
        <v>936</v>
      </c>
      <c r="C320">
        <v>115882</v>
      </c>
      <c r="D320" t="s">
        <v>11</v>
      </c>
      <c r="E320" t="s">
        <v>12</v>
      </c>
      <c r="F320" s="5">
        <v>29</v>
      </c>
      <c r="G320" s="5">
        <v>7629</v>
      </c>
      <c r="H320" s="5">
        <v>1</v>
      </c>
      <c r="I320" s="8">
        <v>0.72000002900000004</v>
      </c>
      <c r="J320" s="5">
        <v>1</v>
      </c>
      <c r="K320" s="5">
        <v>1</v>
      </c>
      <c r="L320" s="14">
        <f t="shared" si="20"/>
        <v>9.4376724210250368E-2</v>
      </c>
      <c r="M320" s="14">
        <f t="shared" si="24"/>
        <v>0.72000002900000004</v>
      </c>
      <c r="N320" s="20">
        <f t="shared" si="21"/>
        <v>1.3107877834578582E-4</v>
      </c>
      <c r="O320" s="14">
        <f t="shared" si="22"/>
        <v>0.72000002900000004</v>
      </c>
      <c r="P320" s="20">
        <f t="shared" si="23"/>
        <v>1</v>
      </c>
    </row>
    <row r="321" spans="1:16" x14ac:dyDescent="0.25">
      <c r="A321">
        <v>778628</v>
      </c>
      <c r="B321">
        <v>936</v>
      </c>
      <c r="C321">
        <v>115882</v>
      </c>
      <c r="D321" t="s">
        <v>11</v>
      </c>
      <c r="E321" t="s">
        <v>12</v>
      </c>
      <c r="F321" s="5">
        <v>29</v>
      </c>
      <c r="G321" s="5">
        <v>4608</v>
      </c>
      <c r="H321" s="5">
        <v>0</v>
      </c>
      <c r="I321" s="8">
        <v>0</v>
      </c>
      <c r="J321" s="5">
        <v>1</v>
      </c>
      <c r="K321" s="5">
        <v>0</v>
      </c>
      <c r="L321" s="14">
        <f t="shared" si="20"/>
        <v>0</v>
      </c>
      <c r="M321" s="14" t="str">
        <f t="shared" si="24"/>
        <v xml:space="preserve"> </v>
      </c>
      <c r="N321" s="20">
        <f t="shared" si="21"/>
        <v>0</v>
      </c>
      <c r="O321" s="14" t="str">
        <f t="shared" si="22"/>
        <v xml:space="preserve"> </v>
      </c>
      <c r="P321" s="20">
        <f t="shared" si="23"/>
        <v>0</v>
      </c>
    </row>
    <row r="322" spans="1:16" x14ac:dyDescent="0.25">
      <c r="A322">
        <v>778674</v>
      </c>
      <c r="B322">
        <v>936</v>
      </c>
      <c r="C322">
        <v>115890</v>
      </c>
      <c r="D322" t="s">
        <v>13</v>
      </c>
      <c r="E322" t="s">
        <v>12</v>
      </c>
      <c r="F322" s="5">
        <v>29</v>
      </c>
      <c r="G322" s="5">
        <v>3732</v>
      </c>
      <c r="H322" s="5">
        <v>0</v>
      </c>
      <c r="I322" s="8">
        <v>0</v>
      </c>
      <c r="J322" s="5">
        <v>1</v>
      </c>
      <c r="K322" s="5">
        <v>0</v>
      </c>
      <c r="L322" s="14">
        <f t="shared" si="20"/>
        <v>0</v>
      </c>
      <c r="M322" s="14" t="str">
        <f t="shared" si="24"/>
        <v xml:space="preserve"> </v>
      </c>
      <c r="N322" s="20">
        <f t="shared" si="21"/>
        <v>0</v>
      </c>
      <c r="O322" s="14" t="str">
        <f t="shared" si="22"/>
        <v xml:space="preserve"> </v>
      </c>
      <c r="P322" s="20">
        <f t="shared" si="23"/>
        <v>0</v>
      </c>
    </row>
    <row r="323" spans="1:16" x14ac:dyDescent="0.25">
      <c r="A323">
        <v>778689</v>
      </c>
      <c r="B323">
        <v>936</v>
      </c>
      <c r="C323">
        <v>115892</v>
      </c>
      <c r="D323" t="s">
        <v>11</v>
      </c>
      <c r="E323" t="s">
        <v>12</v>
      </c>
      <c r="F323" s="5">
        <v>28</v>
      </c>
      <c r="G323" s="5">
        <v>7453</v>
      </c>
      <c r="H323" s="5">
        <v>1</v>
      </c>
      <c r="I323" s="8">
        <v>1.6799999480000001</v>
      </c>
      <c r="J323" s="5">
        <v>1</v>
      </c>
      <c r="K323" s="5">
        <v>1</v>
      </c>
      <c r="L323" s="14">
        <f t="shared" ref="L323:L386" si="25">IF(G323=0,0,(I323/G323)*1000)</f>
        <v>0.22541257855896957</v>
      </c>
      <c r="M323" s="14">
        <f t="shared" si="24"/>
        <v>1.6799999480000001</v>
      </c>
      <c r="N323" s="20">
        <f t="shared" ref="N323:N386" si="26">IF(G323=0,0,(H323/G323))</f>
        <v>1.3417415805715819E-4</v>
      </c>
      <c r="O323" s="14">
        <f t="shared" ref="O323:O386" si="27">IF(K323&gt;0, I323/K323, " ")</f>
        <v>1.6799999480000001</v>
      </c>
      <c r="P323" s="20">
        <f t="shared" ref="P323:P386" si="28">IF(H323=0,0,(K323/H323))</f>
        <v>1</v>
      </c>
    </row>
    <row r="324" spans="1:16" x14ac:dyDescent="0.25">
      <c r="A324">
        <v>778722</v>
      </c>
      <c r="B324">
        <v>936</v>
      </c>
      <c r="C324">
        <v>115898</v>
      </c>
      <c r="D324" t="s">
        <v>13</v>
      </c>
      <c r="E324" t="s">
        <v>16</v>
      </c>
      <c r="F324" s="5">
        <v>64</v>
      </c>
      <c r="G324" s="5">
        <v>41785</v>
      </c>
      <c r="H324" s="5">
        <v>14</v>
      </c>
      <c r="I324" s="8">
        <v>19.100000380000001</v>
      </c>
      <c r="J324" s="5">
        <v>1</v>
      </c>
      <c r="K324" s="5">
        <v>0</v>
      </c>
      <c r="L324" s="14">
        <f t="shared" si="25"/>
        <v>0.45710183989469905</v>
      </c>
      <c r="M324" s="14">
        <f t="shared" si="24"/>
        <v>1.3642857414285714</v>
      </c>
      <c r="N324" s="20">
        <f t="shared" si="26"/>
        <v>3.3504846236687808E-4</v>
      </c>
      <c r="O324" s="14" t="str">
        <f t="shared" si="27"/>
        <v xml:space="preserve"> </v>
      </c>
      <c r="P324" s="20">
        <f t="shared" si="28"/>
        <v>0</v>
      </c>
    </row>
    <row r="325" spans="1:16" x14ac:dyDescent="0.25">
      <c r="A325">
        <v>778737</v>
      </c>
      <c r="B325">
        <v>936</v>
      </c>
      <c r="C325">
        <v>115900</v>
      </c>
      <c r="D325" t="s">
        <v>13</v>
      </c>
      <c r="E325" t="s">
        <v>12</v>
      </c>
      <c r="F325" s="5">
        <v>27</v>
      </c>
      <c r="G325" s="5">
        <v>8077</v>
      </c>
      <c r="H325" s="5">
        <v>2</v>
      </c>
      <c r="I325" s="8">
        <v>3.579999924</v>
      </c>
      <c r="J325" s="5">
        <v>1</v>
      </c>
      <c r="K325" s="5">
        <v>1</v>
      </c>
      <c r="L325" s="14">
        <f t="shared" si="25"/>
        <v>0.44323386455367092</v>
      </c>
      <c r="M325" s="14">
        <f t="shared" ref="M325:M388" si="29">IF(H325&gt;0, I325/H325, " ")</f>
        <v>1.789999962</v>
      </c>
      <c r="N325" s="20">
        <f t="shared" si="26"/>
        <v>2.4761668936486319E-4</v>
      </c>
      <c r="O325" s="14">
        <f t="shared" si="27"/>
        <v>3.579999924</v>
      </c>
      <c r="P325" s="20">
        <f t="shared" si="28"/>
        <v>0.5</v>
      </c>
    </row>
    <row r="326" spans="1:16" x14ac:dyDescent="0.25">
      <c r="A326">
        <v>778756</v>
      </c>
      <c r="B326">
        <v>936</v>
      </c>
      <c r="C326">
        <v>115904</v>
      </c>
      <c r="D326" t="s">
        <v>13</v>
      </c>
      <c r="E326" t="s">
        <v>16</v>
      </c>
      <c r="F326" s="5">
        <v>63</v>
      </c>
      <c r="G326" s="5">
        <v>5602</v>
      </c>
      <c r="H326" s="5">
        <v>1</v>
      </c>
      <c r="I326" s="8">
        <v>1.5800000430000001</v>
      </c>
      <c r="J326" s="5">
        <v>1</v>
      </c>
      <c r="K326" s="5">
        <v>0</v>
      </c>
      <c r="L326" s="14">
        <f t="shared" si="25"/>
        <v>0.28204213548732598</v>
      </c>
      <c r="M326" s="14">
        <f t="shared" si="29"/>
        <v>1.5800000430000001</v>
      </c>
      <c r="N326" s="20">
        <f t="shared" si="26"/>
        <v>1.785076758300607E-4</v>
      </c>
      <c r="O326" s="14" t="str">
        <f t="shared" si="27"/>
        <v xml:space="preserve"> </v>
      </c>
      <c r="P326" s="20">
        <f t="shared" si="28"/>
        <v>0</v>
      </c>
    </row>
    <row r="327" spans="1:16" x14ac:dyDescent="0.25">
      <c r="A327">
        <v>778804</v>
      </c>
      <c r="B327">
        <v>936</v>
      </c>
      <c r="C327">
        <v>115912</v>
      </c>
      <c r="D327" t="s">
        <v>11</v>
      </c>
      <c r="E327" t="s">
        <v>12</v>
      </c>
      <c r="F327" s="5">
        <v>26</v>
      </c>
      <c r="G327" s="5">
        <v>6184</v>
      </c>
      <c r="H327" s="5">
        <v>2</v>
      </c>
      <c r="I327" s="8">
        <v>2.75</v>
      </c>
      <c r="J327" s="5">
        <v>1</v>
      </c>
      <c r="K327" s="5">
        <v>1</v>
      </c>
      <c r="L327" s="14">
        <f t="shared" si="25"/>
        <v>0.44469598965071155</v>
      </c>
      <c r="M327" s="14">
        <f t="shared" si="29"/>
        <v>1.375</v>
      </c>
      <c r="N327" s="20">
        <f t="shared" si="26"/>
        <v>3.2341526520051749E-4</v>
      </c>
      <c r="O327" s="14">
        <f t="shared" si="27"/>
        <v>2.75</v>
      </c>
      <c r="P327" s="20">
        <f t="shared" si="28"/>
        <v>0.5</v>
      </c>
    </row>
    <row r="328" spans="1:16" x14ac:dyDescent="0.25">
      <c r="A328">
        <v>778808</v>
      </c>
      <c r="B328">
        <v>936</v>
      </c>
      <c r="C328">
        <v>115912</v>
      </c>
      <c r="D328" t="s">
        <v>11</v>
      </c>
      <c r="E328" t="s">
        <v>12</v>
      </c>
      <c r="F328" s="5">
        <v>26</v>
      </c>
      <c r="G328" s="5">
        <v>1738</v>
      </c>
      <c r="H328" s="5">
        <v>0</v>
      </c>
      <c r="I328" s="8">
        <v>0</v>
      </c>
      <c r="J328" s="5">
        <v>1</v>
      </c>
      <c r="K328" s="5">
        <v>0</v>
      </c>
      <c r="L328" s="14">
        <f t="shared" si="25"/>
        <v>0</v>
      </c>
      <c r="M328" s="14" t="str">
        <f t="shared" si="29"/>
        <v xml:space="preserve"> </v>
      </c>
      <c r="N328" s="20">
        <f t="shared" si="26"/>
        <v>0</v>
      </c>
      <c r="O328" s="14" t="str">
        <f t="shared" si="27"/>
        <v xml:space="preserve"> </v>
      </c>
      <c r="P328" s="20">
        <f t="shared" si="28"/>
        <v>0</v>
      </c>
    </row>
    <row r="329" spans="1:16" x14ac:dyDescent="0.25">
      <c r="A329">
        <v>778964</v>
      </c>
      <c r="B329">
        <v>936</v>
      </c>
      <c r="C329">
        <v>115938</v>
      </c>
      <c r="D329" t="s">
        <v>13</v>
      </c>
      <c r="E329" t="s">
        <v>16</v>
      </c>
      <c r="F329" s="5">
        <v>27</v>
      </c>
      <c r="G329" s="5">
        <v>112460</v>
      </c>
      <c r="H329" s="5">
        <v>25</v>
      </c>
      <c r="I329" s="8">
        <v>41.290000679999999</v>
      </c>
      <c r="J329" s="5">
        <v>1</v>
      </c>
      <c r="K329" s="5">
        <v>0</v>
      </c>
      <c r="L329" s="14">
        <f t="shared" si="25"/>
        <v>0.36715277147430198</v>
      </c>
      <c r="M329" s="14">
        <f t="shared" si="29"/>
        <v>1.6516000272</v>
      </c>
      <c r="N329" s="20">
        <f t="shared" si="26"/>
        <v>2.2230126267117198E-4</v>
      </c>
      <c r="O329" s="14" t="str">
        <f t="shared" si="27"/>
        <v xml:space="preserve"> </v>
      </c>
      <c r="P329" s="20">
        <f t="shared" si="28"/>
        <v>0</v>
      </c>
    </row>
    <row r="330" spans="1:16" x14ac:dyDescent="0.25">
      <c r="A330">
        <v>779057</v>
      </c>
      <c r="B330">
        <v>936</v>
      </c>
      <c r="C330">
        <v>115954</v>
      </c>
      <c r="D330" t="s">
        <v>14</v>
      </c>
      <c r="E330" t="s">
        <v>12</v>
      </c>
      <c r="F330" s="5">
        <v>15</v>
      </c>
      <c r="G330" s="5">
        <v>4414</v>
      </c>
      <c r="H330" s="5">
        <v>0</v>
      </c>
      <c r="I330" s="8">
        <v>0</v>
      </c>
      <c r="J330" s="5">
        <v>1</v>
      </c>
      <c r="K330" s="5">
        <v>0</v>
      </c>
      <c r="L330" s="14">
        <f t="shared" si="25"/>
        <v>0</v>
      </c>
      <c r="M330" s="14" t="str">
        <f t="shared" si="29"/>
        <v xml:space="preserve"> </v>
      </c>
      <c r="N330" s="20">
        <f t="shared" si="26"/>
        <v>0</v>
      </c>
      <c r="O330" s="14" t="str">
        <f t="shared" si="27"/>
        <v xml:space="preserve"> </v>
      </c>
      <c r="P330" s="20">
        <f t="shared" si="28"/>
        <v>0</v>
      </c>
    </row>
    <row r="331" spans="1:16" x14ac:dyDescent="0.25">
      <c r="A331">
        <v>779106</v>
      </c>
      <c r="B331">
        <v>936</v>
      </c>
      <c r="C331">
        <v>115962</v>
      </c>
      <c r="D331" t="s">
        <v>13</v>
      </c>
      <c r="E331" t="s">
        <v>16</v>
      </c>
      <c r="F331" s="5">
        <v>30</v>
      </c>
      <c r="G331" s="5">
        <v>14670</v>
      </c>
      <c r="H331" s="5">
        <v>7</v>
      </c>
      <c r="I331" s="8">
        <v>9.4100003240000003</v>
      </c>
      <c r="J331" s="5">
        <v>1</v>
      </c>
      <c r="K331" s="5">
        <v>0</v>
      </c>
      <c r="L331" s="14">
        <f t="shared" si="25"/>
        <v>0.64144514819359244</v>
      </c>
      <c r="M331" s="14">
        <f t="shared" si="29"/>
        <v>1.3442857605714287</v>
      </c>
      <c r="N331" s="20">
        <f t="shared" si="26"/>
        <v>4.7716428084526244E-4</v>
      </c>
      <c r="O331" s="14" t="str">
        <f t="shared" si="27"/>
        <v xml:space="preserve"> </v>
      </c>
      <c r="P331" s="20">
        <f t="shared" si="28"/>
        <v>0</v>
      </c>
    </row>
    <row r="332" spans="1:16" x14ac:dyDescent="0.25">
      <c r="A332">
        <v>779438</v>
      </c>
      <c r="B332">
        <v>936</v>
      </c>
      <c r="C332">
        <v>116031</v>
      </c>
      <c r="D332" t="s">
        <v>11</v>
      </c>
      <c r="E332" t="s">
        <v>16</v>
      </c>
      <c r="F332" s="5">
        <v>64</v>
      </c>
      <c r="G332" s="5">
        <v>33144</v>
      </c>
      <c r="H332" s="5">
        <v>9</v>
      </c>
      <c r="I332" s="8">
        <v>13.40999985</v>
      </c>
      <c r="J332" s="5">
        <v>1</v>
      </c>
      <c r="K332" s="5">
        <v>0</v>
      </c>
      <c r="L332" s="14">
        <f t="shared" si="25"/>
        <v>0.40459811278059377</v>
      </c>
      <c r="M332" s="14">
        <f t="shared" si="29"/>
        <v>1.4899999833333333</v>
      </c>
      <c r="N332" s="20">
        <f t="shared" si="26"/>
        <v>2.715423606082549E-4</v>
      </c>
      <c r="O332" s="14" t="str">
        <f t="shared" si="27"/>
        <v xml:space="preserve"> </v>
      </c>
      <c r="P332" s="20">
        <f t="shared" si="28"/>
        <v>0</v>
      </c>
    </row>
    <row r="333" spans="1:16" x14ac:dyDescent="0.25">
      <c r="A333">
        <v>779453</v>
      </c>
      <c r="B333">
        <v>936</v>
      </c>
      <c r="C333">
        <v>116033</v>
      </c>
      <c r="D333" t="s">
        <v>15</v>
      </c>
      <c r="E333" t="s">
        <v>12</v>
      </c>
      <c r="F333" s="5">
        <v>64</v>
      </c>
      <c r="G333" s="5">
        <v>4397</v>
      </c>
      <c r="H333" s="5">
        <v>1</v>
      </c>
      <c r="I333" s="8">
        <v>0.94999998799999996</v>
      </c>
      <c r="J333" s="5">
        <v>1</v>
      </c>
      <c r="K333" s="5">
        <v>0</v>
      </c>
      <c r="L333" s="14">
        <f t="shared" si="25"/>
        <v>0.21605639936320217</v>
      </c>
      <c r="M333" s="14">
        <f t="shared" si="29"/>
        <v>0.94999998799999996</v>
      </c>
      <c r="N333" s="20">
        <f t="shared" si="26"/>
        <v>2.2742779167614282E-4</v>
      </c>
      <c r="O333" s="14" t="str">
        <f t="shared" si="27"/>
        <v xml:space="preserve"> </v>
      </c>
      <c r="P333" s="20">
        <f t="shared" si="28"/>
        <v>0</v>
      </c>
    </row>
    <row r="334" spans="1:16" x14ac:dyDescent="0.25">
      <c r="A334">
        <v>779488</v>
      </c>
      <c r="B334">
        <v>936</v>
      </c>
      <c r="C334">
        <v>116039</v>
      </c>
      <c r="D334" t="s">
        <v>15</v>
      </c>
      <c r="E334" t="s">
        <v>12</v>
      </c>
      <c r="F334" s="5">
        <v>65</v>
      </c>
      <c r="G334" s="5">
        <v>1006</v>
      </c>
      <c r="H334" s="5">
        <v>0</v>
      </c>
      <c r="I334" s="8">
        <v>0</v>
      </c>
      <c r="J334" s="5">
        <v>1</v>
      </c>
      <c r="K334" s="5">
        <v>0</v>
      </c>
      <c r="L334" s="14">
        <f t="shared" si="25"/>
        <v>0</v>
      </c>
      <c r="M334" s="14" t="str">
        <f t="shared" si="29"/>
        <v xml:space="preserve"> </v>
      </c>
      <c r="N334" s="20">
        <f t="shared" si="26"/>
        <v>0</v>
      </c>
      <c r="O334" s="14" t="str">
        <f t="shared" si="27"/>
        <v xml:space="preserve"> </v>
      </c>
      <c r="P334" s="20">
        <f t="shared" si="28"/>
        <v>0</v>
      </c>
    </row>
    <row r="335" spans="1:16" x14ac:dyDescent="0.25">
      <c r="A335">
        <v>779573</v>
      </c>
      <c r="B335">
        <v>936</v>
      </c>
      <c r="C335">
        <v>116053</v>
      </c>
      <c r="D335" t="s">
        <v>13</v>
      </c>
      <c r="E335" t="s">
        <v>16</v>
      </c>
      <c r="F335" s="5">
        <v>10</v>
      </c>
      <c r="G335" s="5">
        <v>89527</v>
      </c>
      <c r="H335" s="5">
        <v>24</v>
      </c>
      <c r="I335" s="8">
        <v>32.289999960000003</v>
      </c>
      <c r="J335" s="5">
        <v>1</v>
      </c>
      <c r="K335" s="5">
        <v>0</v>
      </c>
      <c r="L335" s="14">
        <f t="shared" si="25"/>
        <v>0.36067331598288788</v>
      </c>
      <c r="M335" s="14">
        <f t="shared" si="29"/>
        <v>1.3454166650000001</v>
      </c>
      <c r="N335" s="20">
        <f t="shared" si="26"/>
        <v>2.6807555262658192E-4</v>
      </c>
      <c r="O335" s="14" t="str">
        <f t="shared" si="27"/>
        <v xml:space="preserve"> </v>
      </c>
      <c r="P335" s="20">
        <f t="shared" si="28"/>
        <v>0</v>
      </c>
    </row>
    <row r="336" spans="1:16" x14ac:dyDescent="0.25">
      <c r="A336">
        <v>779608</v>
      </c>
      <c r="B336">
        <v>936</v>
      </c>
      <c r="C336">
        <v>116059</v>
      </c>
      <c r="D336" t="s">
        <v>13</v>
      </c>
      <c r="E336" t="s">
        <v>16</v>
      </c>
      <c r="F336" s="5">
        <v>15</v>
      </c>
      <c r="G336" s="5">
        <v>2459</v>
      </c>
      <c r="H336" s="5">
        <v>0</v>
      </c>
      <c r="I336" s="8">
        <v>0</v>
      </c>
      <c r="J336" s="5">
        <v>1</v>
      </c>
      <c r="K336" s="5">
        <v>0</v>
      </c>
      <c r="L336" s="14">
        <f t="shared" si="25"/>
        <v>0</v>
      </c>
      <c r="M336" s="14" t="str">
        <f t="shared" si="29"/>
        <v xml:space="preserve"> </v>
      </c>
      <c r="N336" s="20">
        <f t="shared" si="26"/>
        <v>0</v>
      </c>
      <c r="O336" s="14" t="str">
        <f t="shared" si="27"/>
        <v xml:space="preserve"> </v>
      </c>
      <c r="P336" s="20">
        <f t="shared" si="28"/>
        <v>0</v>
      </c>
    </row>
    <row r="337" spans="1:16" x14ac:dyDescent="0.25">
      <c r="A337">
        <v>779609</v>
      </c>
      <c r="B337">
        <v>936</v>
      </c>
      <c r="C337">
        <v>116059</v>
      </c>
      <c r="D337" t="s">
        <v>13</v>
      </c>
      <c r="E337" t="s">
        <v>16</v>
      </c>
      <c r="F337" s="5">
        <v>15</v>
      </c>
      <c r="G337" s="5">
        <v>7116</v>
      </c>
      <c r="H337" s="5">
        <v>2</v>
      </c>
      <c r="I337" s="8">
        <v>1.730000019</v>
      </c>
      <c r="J337" s="5">
        <v>1</v>
      </c>
      <c r="K337" s="5">
        <v>1</v>
      </c>
      <c r="L337" s="14">
        <f t="shared" si="25"/>
        <v>0.24311411172006744</v>
      </c>
      <c r="M337" s="14">
        <f t="shared" si="29"/>
        <v>0.8650000095</v>
      </c>
      <c r="N337" s="20">
        <f t="shared" si="26"/>
        <v>2.8105677346824059E-4</v>
      </c>
      <c r="O337" s="14">
        <f t="shared" si="27"/>
        <v>1.730000019</v>
      </c>
      <c r="P337" s="20">
        <f t="shared" si="28"/>
        <v>0.5</v>
      </c>
    </row>
    <row r="338" spans="1:16" x14ac:dyDescent="0.25">
      <c r="A338">
        <v>779622</v>
      </c>
      <c r="B338">
        <v>936</v>
      </c>
      <c r="C338">
        <v>116061</v>
      </c>
      <c r="D338" t="s">
        <v>11</v>
      </c>
      <c r="E338" t="s">
        <v>16</v>
      </c>
      <c r="F338" s="5">
        <v>15</v>
      </c>
      <c r="G338" s="5">
        <v>8613</v>
      </c>
      <c r="H338" s="5">
        <v>1</v>
      </c>
      <c r="I338" s="8">
        <v>0.88999998599999997</v>
      </c>
      <c r="J338" s="5">
        <v>2</v>
      </c>
      <c r="K338" s="5">
        <v>0</v>
      </c>
      <c r="L338" s="14">
        <f t="shared" si="25"/>
        <v>0.10333217067223964</v>
      </c>
      <c r="M338" s="14">
        <f t="shared" si="29"/>
        <v>0.88999998599999997</v>
      </c>
      <c r="N338" s="20">
        <f t="shared" si="26"/>
        <v>1.1610356437942645E-4</v>
      </c>
      <c r="O338" s="14" t="str">
        <f t="shared" si="27"/>
        <v xml:space="preserve"> </v>
      </c>
      <c r="P338" s="20">
        <f t="shared" si="28"/>
        <v>0</v>
      </c>
    </row>
    <row r="339" spans="1:16" x14ac:dyDescent="0.25">
      <c r="A339">
        <v>779631</v>
      </c>
      <c r="B339">
        <v>936</v>
      </c>
      <c r="C339">
        <v>116063</v>
      </c>
      <c r="D339" t="s">
        <v>13</v>
      </c>
      <c r="E339" t="s">
        <v>16</v>
      </c>
      <c r="F339" s="5">
        <v>16</v>
      </c>
      <c r="G339" s="5">
        <v>9730</v>
      </c>
      <c r="H339" s="5">
        <v>1</v>
      </c>
      <c r="I339" s="8">
        <v>1.3799999949999999</v>
      </c>
      <c r="J339" s="5">
        <v>1</v>
      </c>
      <c r="K339" s="5">
        <v>0</v>
      </c>
      <c r="L339" s="14">
        <f t="shared" si="25"/>
        <v>0.14182939311408016</v>
      </c>
      <c r="M339" s="14">
        <f t="shared" si="29"/>
        <v>1.3799999949999999</v>
      </c>
      <c r="N339" s="20">
        <f t="shared" si="26"/>
        <v>1.0277492291880781E-4</v>
      </c>
      <c r="O339" s="14" t="str">
        <f t="shared" si="27"/>
        <v xml:space="preserve"> </v>
      </c>
      <c r="P339" s="20">
        <f t="shared" si="28"/>
        <v>0</v>
      </c>
    </row>
    <row r="340" spans="1:16" x14ac:dyDescent="0.25">
      <c r="A340">
        <v>779644</v>
      </c>
      <c r="B340">
        <v>936</v>
      </c>
      <c r="C340">
        <v>116065</v>
      </c>
      <c r="D340" t="s">
        <v>11</v>
      </c>
      <c r="E340" t="s">
        <v>16</v>
      </c>
      <c r="F340" s="5">
        <v>16</v>
      </c>
      <c r="G340" s="5">
        <v>51816</v>
      </c>
      <c r="H340" s="5">
        <v>8</v>
      </c>
      <c r="I340" s="8">
        <v>10.229999899999999</v>
      </c>
      <c r="J340" s="5">
        <v>2</v>
      </c>
      <c r="K340" s="5">
        <v>1</v>
      </c>
      <c r="L340" s="14">
        <f t="shared" si="25"/>
        <v>0.19742936351706036</v>
      </c>
      <c r="M340" s="14">
        <f t="shared" si="29"/>
        <v>1.2787499874999999</v>
      </c>
      <c r="N340" s="20">
        <f t="shared" si="26"/>
        <v>1.5439246564767639E-4</v>
      </c>
      <c r="O340" s="14">
        <f t="shared" si="27"/>
        <v>10.229999899999999</v>
      </c>
      <c r="P340" s="20">
        <f t="shared" si="28"/>
        <v>0.125</v>
      </c>
    </row>
    <row r="341" spans="1:16" x14ac:dyDescent="0.25">
      <c r="A341">
        <v>779645</v>
      </c>
      <c r="B341">
        <v>936</v>
      </c>
      <c r="C341">
        <v>116065</v>
      </c>
      <c r="D341" t="s">
        <v>11</v>
      </c>
      <c r="E341" t="s">
        <v>16</v>
      </c>
      <c r="F341" s="5">
        <v>16</v>
      </c>
      <c r="G341" s="5">
        <v>27289</v>
      </c>
      <c r="H341" s="5">
        <v>3</v>
      </c>
      <c r="I341" s="8">
        <v>4.4299998279999997</v>
      </c>
      <c r="J341" s="5">
        <v>1</v>
      </c>
      <c r="K341" s="5">
        <v>0</v>
      </c>
      <c r="L341" s="14">
        <f t="shared" si="25"/>
        <v>0.16233646626845979</v>
      </c>
      <c r="M341" s="14">
        <f t="shared" si="29"/>
        <v>1.4766666093333332</v>
      </c>
      <c r="N341" s="20">
        <f t="shared" si="26"/>
        <v>1.0993440580453663E-4</v>
      </c>
      <c r="O341" s="14" t="str">
        <f t="shared" si="27"/>
        <v xml:space="preserve"> </v>
      </c>
      <c r="P341" s="20">
        <f t="shared" si="28"/>
        <v>0</v>
      </c>
    </row>
    <row r="342" spans="1:16" x14ac:dyDescent="0.25">
      <c r="A342">
        <v>779715</v>
      </c>
      <c r="B342">
        <v>936</v>
      </c>
      <c r="C342">
        <v>116077</v>
      </c>
      <c r="D342" t="s">
        <v>11</v>
      </c>
      <c r="E342" t="s">
        <v>16</v>
      </c>
      <c r="F342" s="5">
        <v>29</v>
      </c>
      <c r="G342" s="5">
        <v>20409</v>
      </c>
      <c r="H342" s="5">
        <v>4</v>
      </c>
      <c r="I342" s="8">
        <v>3.829999924</v>
      </c>
      <c r="J342" s="5">
        <v>1</v>
      </c>
      <c r="K342" s="5">
        <v>0</v>
      </c>
      <c r="L342" s="14">
        <f t="shared" si="25"/>
        <v>0.18766230212161303</v>
      </c>
      <c r="M342" s="14">
        <f t="shared" si="29"/>
        <v>0.957499981</v>
      </c>
      <c r="N342" s="20">
        <f t="shared" si="26"/>
        <v>1.9599196432946249E-4</v>
      </c>
      <c r="O342" s="14" t="str">
        <f t="shared" si="27"/>
        <v xml:space="preserve"> </v>
      </c>
      <c r="P342" s="20">
        <f t="shared" si="28"/>
        <v>0</v>
      </c>
    </row>
    <row r="343" spans="1:16" x14ac:dyDescent="0.25">
      <c r="A343">
        <v>779716</v>
      </c>
      <c r="B343">
        <v>936</v>
      </c>
      <c r="C343">
        <v>116077</v>
      </c>
      <c r="D343" t="s">
        <v>11</v>
      </c>
      <c r="E343" t="s">
        <v>16</v>
      </c>
      <c r="F343" s="5">
        <v>29</v>
      </c>
      <c r="G343" s="5">
        <v>8044</v>
      </c>
      <c r="H343" s="5">
        <v>1</v>
      </c>
      <c r="I343" s="8">
        <v>1.1100000139999999</v>
      </c>
      <c r="J343" s="5">
        <v>1</v>
      </c>
      <c r="K343" s="5">
        <v>0</v>
      </c>
      <c r="L343" s="14">
        <f t="shared" si="25"/>
        <v>0.13799105096966682</v>
      </c>
      <c r="M343" s="14">
        <f t="shared" si="29"/>
        <v>1.1100000139999999</v>
      </c>
      <c r="N343" s="20">
        <f t="shared" si="26"/>
        <v>1.2431626056688214E-4</v>
      </c>
      <c r="O343" s="14" t="str">
        <f t="shared" si="27"/>
        <v xml:space="preserve"> </v>
      </c>
      <c r="P343" s="20">
        <f t="shared" si="28"/>
        <v>0</v>
      </c>
    </row>
    <row r="344" spans="1:16" x14ac:dyDescent="0.25">
      <c r="A344">
        <v>779738</v>
      </c>
      <c r="B344">
        <v>936</v>
      </c>
      <c r="C344">
        <v>116081</v>
      </c>
      <c r="D344" t="s">
        <v>11</v>
      </c>
      <c r="E344" t="s">
        <v>16</v>
      </c>
      <c r="F344" s="5">
        <v>28</v>
      </c>
      <c r="G344" s="5">
        <v>15645</v>
      </c>
      <c r="H344" s="5">
        <v>4</v>
      </c>
      <c r="I344" s="8">
        <v>5.3499999049999998</v>
      </c>
      <c r="J344" s="5">
        <v>1</v>
      </c>
      <c r="K344" s="5">
        <v>0</v>
      </c>
      <c r="L344" s="14">
        <f t="shared" si="25"/>
        <v>0.34196228219878549</v>
      </c>
      <c r="M344" s="14">
        <f t="shared" si="29"/>
        <v>1.3374999762499999</v>
      </c>
      <c r="N344" s="20">
        <f t="shared" si="26"/>
        <v>2.5567273889421543E-4</v>
      </c>
      <c r="O344" s="14" t="str">
        <f t="shared" si="27"/>
        <v xml:space="preserve"> </v>
      </c>
      <c r="P344" s="20">
        <f t="shared" si="28"/>
        <v>0</v>
      </c>
    </row>
    <row r="345" spans="1:16" x14ac:dyDescent="0.25">
      <c r="A345">
        <v>779778</v>
      </c>
      <c r="B345">
        <v>936</v>
      </c>
      <c r="C345">
        <v>116087</v>
      </c>
      <c r="D345" t="s">
        <v>11</v>
      </c>
      <c r="E345" t="s">
        <v>16</v>
      </c>
      <c r="F345" s="5">
        <v>31</v>
      </c>
      <c r="G345" s="5">
        <v>2466</v>
      </c>
      <c r="H345" s="5">
        <v>0</v>
      </c>
      <c r="I345" s="8">
        <v>0</v>
      </c>
      <c r="J345" s="5">
        <v>2</v>
      </c>
      <c r="K345" s="5">
        <v>2</v>
      </c>
      <c r="L345" s="14">
        <f t="shared" si="25"/>
        <v>0</v>
      </c>
      <c r="M345" s="14" t="str">
        <f t="shared" si="29"/>
        <v xml:space="preserve"> </v>
      </c>
      <c r="N345" s="20">
        <f t="shared" si="26"/>
        <v>0</v>
      </c>
      <c r="O345" s="14">
        <f t="shared" si="27"/>
        <v>0</v>
      </c>
      <c r="P345" s="20">
        <f t="shared" si="28"/>
        <v>0</v>
      </c>
    </row>
    <row r="346" spans="1:16" x14ac:dyDescent="0.25">
      <c r="A346">
        <v>779789</v>
      </c>
      <c r="B346">
        <v>936</v>
      </c>
      <c r="C346">
        <v>116089</v>
      </c>
      <c r="D346" t="s">
        <v>15</v>
      </c>
      <c r="E346" t="s">
        <v>12</v>
      </c>
      <c r="F346" s="5">
        <v>10</v>
      </c>
      <c r="G346" s="5">
        <v>11611</v>
      </c>
      <c r="H346" s="5">
        <v>3</v>
      </c>
      <c r="I346" s="8">
        <v>3.9500000480000002</v>
      </c>
      <c r="J346" s="5">
        <v>1</v>
      </c>
      <c r="K346" s="5">
        <v>1</v>
      </c>
      <c r="L346" s="14">
        <f t="shared" si="25"/>
        <v>0.34019464714494879</v>
      </c>
      <c r="M346" s="14">
        <f t="shared" si="29"/>
        <v>1.3166666826666666</v>
      </c>
      <c r="N346" s="20">
        <f t="shared" si="26"/>
        <v>2.5837567823615537E-4</v>
      </c>
      <c r="O346" s="14">
        <f t="shared" si="27"/>
        <v>3.9500000480000002</v>
      </c>
      <c r="P346" s="20">
        <f t="shared" si="28"/>
        <v>0.33333333333333331</v>
      </c>
    </row>
    <row r="347" spans="1:16" x14ac:dyDescent="0.25">
      <c r="A347">
        <v>779824</v>
      </c>
      <c r="B347">
        <v>936</v>
      </c>
      <c r="C347">
        <v>116095</v>
      </c>
      <c r="D347" t="s">
        <v>15</v>
      </c>
      <c r="E347" t="s">
        <v>12</v>
      </c>
      <c r="F347" s="5">
        <v>7</v>
      </c>
      <c r="G347" s="5">
        <v>9375</v>
      </c>
      <c r="H347" s="5">
        <v>3</v>
      </c>
      <c r="I347" s="8">
        <v>4.0199999809999998</v>
      </c>
      <c r="J347" s="5">
        <v>1</v>
      </c>
      <c r="K347" s="5">
        <v>0</v>
      </c>
      <c r="L347" s="14">
        <f t="shared" si="25"/>
        <v>0.42879999797333329</v>
      </c>
      <c r="M347" s="14">
        <f t="shared" si="29"/>
        <v>1.3399999936666667</v>
      </c>
      <c r="N347" s="20">
        <f t="shared" si="26"/>
        <v>3.2000000000000003E-4</v>
      </c>
      <c r="O347" s="14" t="str">
        <f t="shared" si="27"/>
        <v xml:space="preserve"> </v>
      </c>
      <c r="P347" s="20">
        <f t="shared" si="28"/>
        <v>0</v>
      </c>
    </row>
    <row r="348" spans="1:16" x14ac:dyDescent="0.25">
      <c r="A348">
        <v>779871</v>
      </c>
      <c r="B348">
        <v>936</v>
      </c>
      <c r="C348">
        <v>116103</v>
      </c>
      <c r="D348" t="s">
        <v>11</v>
      </c>
      <c r="E348" t="s">
        <v>16</v>
      </c>
      <c r="F348" s="5">
        <v>32</v>
      </c>
      <c r="G348" s="5">
        <v>4402</v>
      </c>
      <c r="H348" s="5">
        <v>1</v>
      </c>
      <c r="I348" s="8">
        <v>1.3300000430000001</v>
      </c>
      <c r="J348" s="5">
        <v>1</v>
      </c>
      <c r="K348" s="5">
        <v>1</v>
      </c>
      <c r="L348" s="14">
        <f t="shared" si="25"/>
        <v>0.3021354027714675</v>
      </c>
      <c r="M348" s="14">
        <f t="shared" si="29"/>
        <v>1.3300000430000001</v>
      </c>
      <c r="N348" s="20">
        <f t="shared" si="26"/>
        <v>2.2716946842344388E-4</v>
      </c>
      <c r="O348" s="14">
        <f t="shared" si="27"/>
        <v>1.3300000430000001</v>
      </c>
      <c r="P348" s="20">
        <f t="shared" si="28"/>
        <v>1</v>
      </c>
    </row>
    <row r="349" spans="1:16" x14ac:dyDescent="0.25">
      <c r="A349">
        <v>779918</v>
      </c>
      <c r="B349">
        <v>936</v>
      </c>
      <c r="C349">
        <v>116111</v>
      </c>
      <c r="D349" t="s">
        <v>11</v>
      </c>
      <c r="E349" t="s">
        <v>16</v>
      </c>
      <c r="F349" s="5">
        <v>18</v>
      </c>
      <c r="G349" s="5">
        <v>8469</v>
      </c>
      <c r="H349" s="5">
        <v>2</v>
      </c>
      <c r="I349" s="8">
        <v>3.0899999139999998</v>
      </c>
      <c r="J349" s="5">
        <v>1</v>
      </c>
      <c r="K349" s="5">
        <v>0</v>
      </c>
      <c r="L349" s="14">
        <f t="shared" si="25"/>
        <v>0.36486006777659702</v>
      </c>
      <c r="M349" s="14">
        <f t="shared" si="29"/>
        <v>1.5449999569999999</v>
      </c>
      <c r="N349" s="20">
        <f t="shared" si="26"/>
        <v>2.3615539024678239E-4</v>
      </c>
      <c r="O349" s="14" t="str">
        <f t="shared" si="27"/>
        <v xml:space="preserve"> </v>
      </c>
      <c r="P349" s="20">
        <f t="shared" si="28"/>
        <v>0</v>
      </c>
    </row>
    <row r="350" spans="1:16" x14ac:dyDescent="0.25">
      <c r="A350">
        <v>779922</v>
      </c>
      <c r="B350">
        <v>936</v>
      </c>
      <c r="C350">
        <v>116111</v>
      </c>
      <c r="D350" t="s">
        <v>11</v>
      </c>
      <c r="E350" t="s">
        <v>16</v>
      </c>
      <c r="F350" s="5">
        <v>18</v>
      </c>
      <c r="G350" s="5">
        <v>5823</v>
      </c>
      <c r="H350" s="5">
        <v>1</v>
      </c>
      <c r="I350" s="8">
        <v>1.4199999569999999</v>
      </c>
      <c r="J350" s="5">
        <v>1</v>
      </c>
      <c r="K350" s="5">
        <v>1</v>
      </c>
      <c r="L350" s="14">
        <f t="shared" si="25"/>
        <v>0.2438605455950541</v>
      </c>
      <c r="M350" s="14">
        <f t="shared" si="29"/>
        <v>1.4199999569999999</v>
      </c>
      <c r="N350" s="20">
        <f t="shared" si="26"/>
        <v>1.7173278378842521E-4</v>
      </c>
      <c r="O350" s="14">
        <f t="shared" si="27"/>
        <v>1.4199999569999999</v>
      </c>
      <c r="P350" s="20">
        <f t="shared" si="28"/>
        <v>1</v>
      </c>
    </row>
    <row r="351" spans="1:16" x14ac:dyDescent="0.25">
      <c r="A351">
        <v>779944</v>
      </c>
      <c r="B351">
        <v>936</v>
      </c>
      <c r="C351">
        <v>116115</v>
      </c>
      <c r="D351" t="s">
        <v>13</v>
      </c>
      <c r="E351" t="s">
        <v>12</v>
      </c>
      <c r="F351" s="5">
        <v>10</v>
      </c>
      <c r="G351" s="5">
        <v>2549</v>
      </c>
      <c r="H351" s="5">
        <v>0</v>
      </c>
      <c r="I351" s="8">
        <v>0</v>
      </c>
      <c r="J351" s="5">
        <v>1</v>
      </c>
      <c r="K351" s="5">
        <v>0</v>
      </c>
      <c r="L351" s="14">
        <f t="shared" si="25"/>
        <v>0</v>
      </c>
      <c r="M351" s="14" t="str">
        <f t="shared" si="29"/>
        <v xml:space="preserve"> </v>
      </c>
      <c r="N351" s="20">
        <f t="shared" si="26"/>
        <v>0</v>
      </c>
      <c r="O351" s="14" t="str">
        <f t="shared" si="27"/>
        <v xml:space="preserve"> </v>
      </c>
      <c r="P351" s="20">
        <f t="shared" si="28"/>
        <v>0</v>
      </c>
    </row>
    <row r="352" spans="1:16" x14ac:dyDescent="0.25">
      <c r="A352">
        <v>779979</v>
      </c>
      <c r="B352">
        <v>936</v>
      </c>
      <c r="C352">
        <v>116121</v>
      </c>
      <c r="D352" t="s">
        <v>13</v>
      </c>
      <c r="E352" t="s">
        <v>12</v>
      </c>
      <c r="F352" s="5">
        <v>16</v>
      </c>
      <c r="G352" s="5">
        <v>25817</v>
      </c>
      <c r="H352" s="5">
        <v>4</v>
      </c>
      <c r="I352" s="8">
        <v>6.0199999809999998</v>
      </c>
      <c r="J352" s="5">
        <v>1</v>
      </c>
      <c r="K352" s="5">
        <v>0</v>
      </c>
      <c r="L352" s="14">
        <f t="shared" si="25"/>
        <v>0.23317968706666148</v>
      </c>
      <c r="M352" s="14">
        <f t="shared" si="29"/>
        <v>1.5049999952499999</v>
      </c>
      <c r="N352" s="20">
        <f t="shared" si="26"/>
        <v>1.5493666963628617E-4</v>
      </c>
      <c r="O352" s="14" t="str">
        <f t="shared" si="27"/>
        <v xml:space="preserve"> </v>
      </c>
      <c r="P352" s="20">
        <f t="shared" si="28"/>
        <v>0</v>
      </c>
    </row>
    <row r="353" spans="1:16" x14ac:dyDescent="0.25">
      <c r="A353">
        <v>779995</v>
      </c>
      <c r="B353">
        <v>936</v>
      </c>
      <c r="C353">
        <v>116123</v>
      </c>
      <c r="D353" t="s">
        <v>11</v>
      </c>
      <c r="E353" t="s">
        <v>16</v>
      </c>
      <c r="F353" s="5">
        <v>20</v>
      </c>
      <c r="G353" s="5">
        <v>1961</v>
      </c>
      <c r="H353" s="5">
        <v>0</v>
      </c>
      <c r="I353" s="8">
        <v>0</v>
      </c>
      <c r="J353" s="5">
        <v>1</v>
      </c>
      <c r="K353" s="5">
        <v>0</v>
      </c>
      <c r="L353" s="14">
        <f t="shared" si="25"/>
        <v>0</v>
      </c>
      <c r="M353" s="14" t="str">
        <f t="shared" si="29"/>
        <v xml:space="preserve"> </v>
      </c>
      <c r="N353" s="20">
        <f t="shared" si="26"/>
        <v>0</v>
      </c>
      <c r="O353" s="14" t="str">
        <f t="shared" si="27"/>
        <v xml:space="preserve"> </v>
      </c>
      <c r="P353" s="20">
        <f t="shared" si="28"/>
        <v>0</v>
      </c>
    </row>
    <row r="354" spans="1:16" x14ac:dyDescent="0.25">
      <c r="A354">
        <v>780064</v>
      </c>
      <c r="B354">
        <v>936</v>
      </c>
      <c r="C354">
        <v>116135</v>
      </c>
      <c r="D354" t="s">
        <v>11</v>
      </c>
      <c r="E354" t="s">
        <v>16</v>
      </c>
      <c r="F354" s="5">
        <v>22</v>
      </c>
      <c r="G354" s="5">
        <v>2554</v>
      </c>
      <c r="H354" s="5">
        <v>0</v>
      </c>
      <c r="I354" s="8">
        <v>0</v>
      </c>
      <c r="J354" s="5">
        <v>1</v>
      </c>
      <c r="K354" s="5">
        <v>0</v>
      </c>
      <c r="L354" s="14">
        <f t="shared" si="25"/>
        <v>0</v>
      </c>
      <c r="M354" s="14" t="str">
        <f t="shared" si="29"/>
        <v xml:space="preserve"> </v>
      </c>
      <c r="N354" s="20">
        <f t="shared" si="26"/>
        <v>0</v>
      </c>
      <c r="O354" s="14" t="str">
        <f t="shared" si="27"/>
        <v xml:space="preserve"> </v>
      </c>
      <c r="P354" s="20">
        <f t="shared" si="28"/>
        <v>0</v>
      </c>
    </row>
    <row r="355" spans="1:16" x14ac:dyDescent="0.25">
      <c r="A355">
        <v>780104</v>
      </c>
      <c r="B355">
        <v>936</v>
      </c>
      <c r="C355">
        <v>116147</v>
      </c>
      <c r="D355" t="s">
        <v>11</v>
      </c>
      <c r="E355" t="s">
        <v>16</v>
      </c>
      <c r="F355" s="5">
        <v>25</v>
      </c>
      <c r="G355" s="5">
        <v>4971</v>
      </c>
      <c r="H355" s="5">
        <v>1</v>
      </c>
      <c r="I355" s="8">
        <v>1.230000019</v>
      </c>
      <c r="J355" s="5">
        <v>1</v>
      </c>
      <c r="K355" s="5">
        <v>1</v>
      </c>
      <c r="L355" s="14">
        <f t="shared" si="25"/>
        <v>0.2474351275397304</v>
      </c>
      <c r="M355" s="14">
        <f t="shared" si="29"/>
        <v>1.230000019</v>
      </c>
      <c r="N355" s="20">
        <f t="shared" si="26"/>
        <v>2.011667672500503E-4</v>
      </c>
      <c r="O355" s="14">
        <f t="shared" si="27"/>
        <v>1.230000019</v>
      </c>
      <c r="P355" s="20">
        <f t="shared" si="28"/>
        <v>1</v>
      </c>
    </row>
    <row r="356" spans="1:16" x14ac:dyDescent="0.25">
      <c r="A356">
        <v>780199</v>
      </c>
      <c r="B356">
        <v>936</v>
      </c>
      <c r="C356">
        <v>116163</v>
      </c>
      <c r="D356" t="s">
        <v>13</v>
      </c>
      <c r="E356" t="s">
        <v>16</v>
      </c>
      <c r="F356" s="5">
        <v>23</v>
      </c>
      <c r="G356" s="5">
        <v>1030</v>
      </c>
      <c r="H356" s="5">
        <v>0</v>
      </c>
      <c r="I356" s="8">
        <v>0</v>
      </c>
      <c r="J356" s="5">
        <v>1</v>
      </c>
      <c r="K356" s="5">
        <v>1</v>
      </c>
      <c r="L356" s="14">
        <f t="shared" si="25"/>
        <v>0</v>
      </c>
      <c r="M356" s="14" t="str">
        <f t="shared" si="29"/>
        <v xml:space="preserve"> </v>
      </c>
      <c r="N356" s="20">
        <f t="shared" si="26"/>
        <v>0</v>
      </c>
      <c r="O356" s="14">
        <f t="shared" si="27"/>
        <v>0</v>
      </c>
      <c r="P356" s="20">
        <f t="shared" si="28"/>
        <v>0</v>
      </c>
    </row>
    <row r="357" spans="1:16" x14ac:dyDescent="0.25">
      <c r="A357">
        <v>780318</v>
      </c>
      <c r="B357">
        <v>936</v>
      </c>
      <c r="C357">
        <v>116183</v>
      </c>
      <c r="D357" t="s">
        <v>15</v>
      </c>
      <c r="E357" t="s">
        <v>16</v>
      </c>
      <c r="F357" s="5">
        <v>29</v>
      </c>
      <c r="G357" s="5">
        <v>162341</v>
      </c>
      <c r="H357" s="5">
        <v>56</v>
      </c>
      <c r="I357" s="8">
        <v>77.079999689999994</v>
      </c>
      <c r="J357" s="5">
        <v>3</v>
      </c>
      <c r="K357" s="5">
        <v>0</v>
      </c>
      <c r="L357" s="14">
        <f t="shared" si="25"/>
        <v>0.47480303613997693</v>
      </c>
      <c r="M357" s="14">
        <f t="shared" si="29"/>
        <v>1.376428565892857</v>
      </c>
      <c r="N357" s="20">
        <f t="shared" si="26"/>
        <v>3.4495290776821627E-4</v>
      </c>
      <c r="O357" s="14" t="str">
        <f t="shared" si="27"/>
        <v xml:space="preserve"> </v>
      </c>
      <c r="P357" s="20">
        <f t="shared" si="28"/>
        <v>0</v>
      </c>
    </row>
    <row r="358" spans="1:16" x14ac:dyDescent="0.25">
      <c r="A358">
        <v>780323</v>
      </c>
      <c r="B358">
        <v>936</v>
      </c>
      <c r="C358">
        <v>116183</v>
      </c>
      <c r="D358" t="s">
        <v>15</v>
      </c>
      <c r="E358" t="s">
        <v>16</v>
      </c>
      <c r="F358" s="5">
        <v>29</v>
      </c>
      <c r="G358" s="5">
        <v>24542</v>
      </c>
      <c r="H358" s="5">
        <v>7</v>
      </c>
      <c r="I358" s="8">
        <v>9.3299999239999991</v>
      </c>
      <c r="J358" s="5">
        <v>1</v>
      </c>
      <c r="K358" s="5">
        <v>0</v>
      </c>
      <c r="L358" s="14">
        <f t="shared" si="25"/>
        <v>0.38016461266400453</v>
      </c>
      <c r="M358" s="14">
        <f t="shared" si="29"/>
        <v>1.3328571319999998</v>
      </c>
      <c r="N358" s="20">
        <f t="shared" si="26"/>
        <v>2.8522532800912719E-4</v>
      </c>
      <c r="O358" s="14" t="str">
        <f t="shared" si="27"/>
        <v xml:space="preserve"> </v>
      </c>
      <c r="P358" s="20">
        <f t="shared" si="28"/>
        <v>0</v>
      </c>
    </row>
    <row r="359" spans="1:16" x14ac:dyDescent="0.25">
      <c r="A359">
        <v>780486</v>
      </c>
      <c r="B359">
        <v>936</v>
      </c>
      <c r="C359">
        <v>116216</v>
      </c>
      <c r="D359" t="s">
        <v>11</v>
      </c>
      <c r="E359" t="s">
        <v>16</v>
      </c>
      <c r="F359" s="5">
        <v>65</v>
      </c>
      <c r="G359" s="5">
        <v>2879</v>
      </c>
      <c r="H359" s="5">
        <v>0</v>
      </c>
      <c r="I359" s="8">
        <v>0</v>
      </c>
      <c r="J359" s="5">
        <v>1</v>
      </c>
      <c r="K359" s="5">
        <v>1</v>
      </c>
      <c r="L359" s="14">
        <f t="shared" si="25"/>
        <v>0</v>
      </c>
      <c r="M359" s="14" t="str">
        <f t="shared" si="29"/>
        <v xml:space="preserve"> </v>
      </c>
      <c r="N359" s="20">
        <f t="shared" si="26"/>
        <v>0</v>
      </c>
      <c r="O359" s="14">
        <f t="shared" si="27"/>
        <v>0</v>
      </c>
      <c r="P359" s="20">
        <f t="shared" si="28"/>
        <v>0</v>
      </c>
    </row>
    <row r="360" spans="1:16" x14ac:dyDescent="0.25">
      <c r="A360">
        <v>780498</v>
      </c>
      <c r="B360">
        <v>936</v>
      </c>
      <c r="C360">
        <v>116218</v>
      </c>
      <c r="D360" t="s">
        <v>11</v>
      </c>
      <c r="E360" t="s">
        <v>16</v>
      </c>
      <c r="F360" s="5">
        <v>64</v>
      </c>
      <c r="G360" s="5">
        <v>13621</v>
      </c>
      <c r="H360" s="5">
        <v>3</v>
      </c>
      <c r="I360" s="8">
        <v>4.0900000329999999</v>
      </c>
      <c r="J360" s="5">
        <v>1</v>
      </c>
      <c r="K360" s="5">
        <v>0</v>
      </c>
      <c r="L360" s="14">
        <f t="shared" si="25"/>
        <v>0.30027164180309812</v>
      </c>
      <c r="M360" s="14">
        <f t="shared" si="29"/>
        <v>1.3633333443333333</v>
      </c>
      <c r="N360" s="20">
        <f t="shared" si="26"/>
        <v>2.202481462447691E-4</v>
      </c>
      <c r="O360" s="14" t="str">
        <f t="shared" si="27"/>
        <v xml:space="preserve"> </v>
      </c>
      <c r="P360" s="20">
        <f t="shared" si="28"/>
        <v>0</v>
      </c>
    </row>
    <row r="361" spans="1:16" x14ac:dyDescent="0.25">
      <c r="A361">
        <v>780511</v>
      </c>
      <c r="B361">
        <v>936</v>
      </c>
      <c r="C361">
        <v>116220</v>
      </c>
      <c r="D361" t="s">
        <v>11</v>
      </c>
      <c r="E361" t="s">
        <v>16</v>
      </c>
      <c r="F361" s="5">
        <v>63</v>
      </c>
      <c r="G361" s="5">
        <v>6175</v>
      </c>
      <c r="H361" s="5">
        <v>1</v>
      </c>
      <c r="I361" s="8">
        <v>1.3700000050000001</v>
      </c>
      <c r="J361" s="5">
        <v>2</v>
      </c>
      <c r="K361" s="5">
        <v>1</v>
      </c>
      <c r="L361" s="14">
        <f t="shared" si="25"/>
        <v>0.22186234898785426</v>
      </c>
      <c r="M361" s="14">
        <f t="shared" si="29"/>
        <v>1.3700000050000001</v>
      </c>
      <c r="N361" s="20">
        <f t="shared" si="26"/>
        <v>1.6194331983805668E-4</v>
      </c>
      <c r="O361" s="14">
        <f t="shared" si="27"/>
        <v>1.3700000050000001</v>
      </c>
      <c r="P361" s="20">
        <f t="shared" si="28"/>
        <v>1</v>
      </c>
    </row>
    <row r="362" spans="1:16" x14ac:dyDescent="0.25">
      <c r="A362">
        <v>780629</v>
      </c>
      <c r="B362">
        <v>936</v>
      </c>
      <c r="C362">
        <v>116240</v>
      </c>
      <c r="D362" t="s">
        <v>11</v>
      </c>
      <c r="E362" t="s">
        <v>16</v>
      </c>
      <c r="F362" s="5">
        <v>28</v>
      </c>
      <c r="G362" s="5">
        <v>2963</v>
      </c>
      <c r="H362" s="5">
        <v>0</v>
      </c>
      <c r="I362" s="8">
        <v>0</v>
      </c>
      <c r="J362" s="5">
        <v>1</v>
      </c>
      <c r="K362" s="5">
        <v>0</v>
      </c>
      <c r="L362" s="14">
        <f t="shared" si="25"/>
        <v>0</v>
      </c>
      <c r="M362" s="14" t="str">
        <f t="shared" si="29"/>
        <v xml:space="preserve"> </v>
      </c>
      <c r="N362" s="20">
        <f t="shared" si="26"/>
        <v>0</v>
      </c>
      <c r="O362" s="14" t="str">
        <f t="shared" si="27"/>
        <v xml:space="preserve"> </v>
      </c>
      <c r="P362" s="20">
        <f t="shared" si="28"/>
        <v>0</v>
      </c>
    </row>
    <row r="363" spans="1:16" x14ac:dyDescent="0.25">
      <c r="A363">
        <v>780653</v>
      </c>
      <c r="B363">
        <v>936</v>
      </c>
      <c r="C363">
        <v>116244</v>
      </c>
      <c r="D363" t="s">
        <v>11</v>
      </c>
      <c r="E363" t="s">
        <v>16</v>
      </c>
      <c r="F363" s="5">
        <v>29</v>
      </c>
      <c r="G363" s="5">
        <v>9076</v>
      </c>
      <c r="H363" s="5">
        <v>1</v>
      </c>
      <c r="I363" s="8">
        <v>1.3799999949999999</v>
      </c>
      <c r="J363" s="5">
        <v>1</v>
      </c>
      <c r="K363" s="5">
        <v>1</v>
      </c>
      <c r="L363" s="14">
        <f t="shared" si="25"/>
        <v>0.15204936040105774</v>
      </c>
      <c r="M363" s="14">
        <f t="shared" si="29"/>
        <v>1.3799999949999999</v>
      </c>
      <c r="N363" s="20">
        <f t="shared" si="26"/>
        <v>1.1018069634200089E-4</v>
      </c>
      <c r="O363" s="14">
        <f t="shared" si="27"/>
        <v>1.3799999949999999</v>
      </c>
      <c r="P363" s="20">
        <f t="shared" si="28"/>
        <v>1</v>
      </c>
    </row>
    <row r="364" spans="1:16" x14ac:dyDescent="0.25">
      <c r="A364">
        <v>780655</v>
      </c>
      <c r="B364">
        <v>936</v>
      </c>
      <c r="C364">
        <v>116244</v>
      </c>
      <c r="D364" t="s">
        <v>11</v>
      </c>
      <c r="E364" t="s">
        <v>16</v>
      </c>
      <c r="F364" s="5">
        <v>29</v>
      </c>
      <c r="G364" s="5">
        <v>20941</v>
      </c>
      <c r="H364" s="5">
        <v>4</v>
      </c>
      <c r="I364" s="8">
        <v>5.9099999670000001</v>
      </c>
      <c r="J364" s="5">
        <v>1</v>
      </c>
      <c r="K364" s="5">
        <v>1</v>
      </c>
      <c r="L364" s="14">
        <f t="shared" si="25"/>
        <v>0.28222147781863333</v>
      </c>
      <c r="M364" s="14">
        <f t="shared" si="29"/>
        <v>1.47749999175</v>
      </c>
      <c r="N364" s="20">
        <f t="shared" si="26"/>
        <v>1.9101284561386754E-4</v>
      </c>
      <c r="O364" s="14">
        <f t="shared" si="27"/>
        <v>5.9099999670000001</v>
      </c>
      <c r="P364" s="20">
        <f t="shared" si="28"/>
        <v>0.25</v>
      </c>
    </row>
    <row r="365" spans="1:16" x14ac:dyDescent="0.25">
      <c r="A365">
        <v>780666</v>
      </c>
      <c r="B365">
        <v>936</v>
      </c>
      <c r="C365">
        <v>116246</v>
      </c>
      <c r="D365" t="s">
        <v>15</v>
      </c>
      <c r="E365" t="s">
        <v>16</v>
      </c>
      <c r="F365" s="5">
        <v>10</v>
      </c>
      <c r="G365" s="5">
        <v>3462</v>
      </c>
      <c r="H365" s="5">
        <v>0</v>
      </c>
      <c r="I365" s="8">
        <v>0</v>
      </c>
      <c r="J365" s="5">
        <v>1</v>
      </c>
      <c r="K365" s="5">
        <v>0</v>
      </c>
      <c r="L365" s="14">
        <f t="shared" si="25"/>
        <v>0</v>
      </c>
      <c r="M365" s="14" t="str">
        <f t="shared" si="29"/>
        <v xml:space="preserve"> </v>
      </c>
      <c r="N365" s="20">
        <f t="shared" si="26"/>
        <v>0</v>
      </c>
      <c r="O365" s="14" t="str">
        <f t="shared" si="27"/>
        <v xml:space="preserve"> </v>
      </c>
      <c r="P365" s="20">
        <f t="shared" si="28"/>
        <v>0</v>
      </c>
    </row>
    <row r="366" spans="1:16" x14ac:dyDescent="0.25">
      <c r="A366">
        <v>780681</v>
      </c>
      <c r="B366">
        <v>936</v>
      </c>
      <c r="C366">
        <v>116248</v>
      </c>
      <c r="D366" t="s">
        <v>11</v>
      </c>
      <c r="E366" t="s">
        <v>16</v>
      </c>
      <c r="F366" s="5">
        <v>26</v>
      </c>
      <c r="G366" s="5">
        <v>4073</v>
      </c>
      <c r="H366" s="5">
        <v>0</v>
      </c>
      <c r="I366" s="8">
        <v>0</v>
      </c>
      <c r="J366" s="5">
        <v>1</v>
      </c>
      <c r="K366" s="5">
        <v>1</v>
      </c>
      <c r="L366" s="14">
        <f t="shared" si="25"/>
        <v>0</v>
      </c>
      <c r="M366" s="14" t="str">
        <f t="shared" si="29"/>
        <v xml:space="preserve"> </v>
      </c>
      <c r="N366" s="20">
        <f t="shared" si="26"/>
        <v>0</v>
      </c>
      <c r="O366" s="14">
        <f t="shared" si="27"/>
        <v>0</v>
      </c>
      <c r="P366" s="20">
        <f t="shared" si="28"/>
        <v>0</v>
      </c>
    </row>
    <row r="367" spans="1:16" x14ac:dyDescent="0.25">
      <c r="A367">
        <v>780700</v>
      </c>
      <c r="B367">
        <v>936</v>
      </c>
      <c r="C367">
        <v>116252</v>
      </c>
      <c r="D367" t="s">
        <v>11</v>
      </c>
      <c r="E367" t="s">
        <v>16</v>
      </c>
      <c r="F367" s="5">
        <v>27</v>
      </c>
      <c r="G367" s="5">
        <v>3745</v>
      </c>
      <c r="H367" s="5">
        <v>0</v>
      </c>
      <c r="I367" s="8">
        <v>0</v>
      </c>
      <c r="J367" s="5">
        <v>1</v>
      </c>
      <c r="K367" s="5">
        <v>0</v>
      </c>
      <c r="L367" s="14">
        <f t="shared" si="25"/>
        <v>0</v>
      </c>
      <c r="M367" s="14" t="str">
        <f t="shared" si="29"/>
        <v xml:space="preserve"> </v>
      </c>
      <c r="N367" s="20">
        <f t="shared" si="26"/>
        <v>0</v>
      </c>
      <c r="O367" s="14" t="str">
        <f t="shared" si="27"/>
        <v xml:space="preserve"> </v>
      </c>
      <c r="P367" s="20">
        <f t="shared" si="28"/>
        <v>0</v>
      </c>
    </row>
    <row r="368" spans="1:16" x14ac:dyDescent="0.25">
      <c r="A368">
        <v>780748</v>
      </c>
      <c r="B368">
        <v>936</v>
      </c>
      <c r="C368">
        <v>116265</v>
      </c>
      <c r="D368" t="s">
        <v>11</v>
      </c>
      <c r="E368" t="s">
        <v>16</v>
      </c>
      <c r="F368" s="5">
        <v>24</v>
      </c>
      <c r="G368" s="5">
        <v>830</v>
      </c>
      <c r="H368" s="5">
        <v>0</v>
      </c>
      <c r="I368" s="8">
        <v>0</v>
      </c>
      <c r="J368" s="5">
        <v>1</v>
      </c>
      <c r="K368" s="5">
        <v>0</v>
      </c>
      <c r="L368" s="14">
        <f t="shared" si="25"/>
        <v>0</v>
      </c>
      <c r="M368" s="14" t="str">
        <f t="shared" si="29"/>
        <v xml:space="preserve"> </v>
      </c>
      <c r="N368" s="20">
        <f t="shared" si="26"/>
        <v>0</v>
      </c>
      <c r="O368" s="14" t="str">
        <f t="shared" si="27"/>
        <v xml:space="preserve"> </v>
      </c>
      <c r="P368" s="20">
        <f t="shared" si="28"/>
        <v>0</v>
      </c>
    </row>
    <row r="369" spans="1:16" x14ac:dyDescent="0.25">
      <c r="A369">
        <v>780759</v>
      </c>
      <c r="B369">
        <v>936</v>
      </c>
      <c r="C369">
        <v>116267</v>
      </c>
      <c r="D369" t="s">
        <v>15</v>
      </c>
      <c r="E369" t="s">
        <v>16</v>
      </c>
      <c r="F369" s="5">
        <v>18</v>
      </c>
      <c r="G369" s="5">
        <v>2912</v>
      </c>
      <c r="H369" s="5">
        <v>0</v>
      </c>
      <c r="I369" s="8">
        <v>0</v>
      </c>
      <c r="J369" s="5">
        <v>1</v>
      </c>
      <c r="K369" s="5">
        <v>0</v>
      </c>
      <c r="L369" s="14">
        <f t="shared" si="25"/>
        <v>0</v>
      </c>
      <c r="M369" s="14" t="str">
        <f t="shared" si="29"/>
        <v xml:space="preserve"> </v>
      </c>
      <c r="N369" s="20">
        <f t="shared" si="26"/>
        <v>0</v>
      </c>
      <c r="O369" s="14" t="str">
        <f t="shared" si="27"/>
        <v xml:space="preserve"> </v>
      </c>
      <c r="P369" s="20">
        <f t="shared" si="28"/>
        <v>0</v>
      </c>
    </row>
    <row r="370" spans="1:16" x14ac:dyDescent="0.25">
      <c r="A370">
        <v>780760</v>
      </c>
      <c r="B370">
        <v>936</v>
      </c>
      <c r="C370">
        <v>116267</v>
      </c>
      <c r="D370" t="s">
        <v>15</v>
      </c>
      <c r="E370" t="s">
        <v>16</v>
      </c>
      <c r="F370" s="5">
        <v>18</v>
      </c>
      <c r="G370" s="5">
        <v>17167</v>
      </c>
      <c r="H370" s="5">
        <v>5</v>
      </c>
      <c r="I370" s="8">
        <v>6.9100000860000002</v>
      </c>
      <c r="J370" s="5">
        <v>1</v>
      </c>
      <c r="K370" s="5">
        <v>0</v>
      </c>
      <c r="L370" s="14">
        <f t="shared" si="25"/>
        <v>0.40251646100075728</v>
      </c>
      <c r="M370" s="14">
        <f t="shared" si="29"/>
        <v>1.3820000172</v>
      </c>
      <c r="N370" s="20">
        <f t="shared" si="26"/>
        <v>2.9125648045669016E-4</v>
      </c>
      <c r="O370" s="14" t="str">
        <f t="shared" si="27"/>
        <v xml:space="preserve"> </v>
      </c>
      <c r="P370" s="20">
        <f t="shared" si="28"/>
        <v>0</v>
      </c>
    </row>
    <row r="371" spans="1:16" x14ac:dyDescent="0.25">
      <c r="A371">
        <v>780797</v>
      </c>
      <c r="B371">
        <v>936</v>
      </c>
      <c r="C371">
        <v>116273</v>
      </c>
      <c r="D371" t="s">
        <v>11</v>
      </c>
      <c r="E371" t="s">
        <v>16</v>
      </c>
      <c r="F371" s="5">
        <v>22</v>
      </c>
      <c r="G371" s="5">
        <v>24491</v>
      </c>
      <c r="H371" s="5">
        <v>7</v>
      </c>
      <c r="I371" s="8">
        <v>9.5399999619999996</v>
      </c>
      <c r="J371" s="5">
        <v>1</v>
      </c>
      <c r="K371" s="5">
        <v>0</v>
      </c>
      <c r="L371" s="14">
        <f t="shared" si="25"/>
        <v>0.38953084651504633</v>
      </c>
      <c r="M371" s="14">
        <f t="shared" si="29"/>
        <v>1.3628571374285714</v>
      </c>
      <c r="N371" s="20">
        <f t="shared" si="26"/>
        <v>2.8581928055203954E-4</v>
      </c>
      <c r="O371" s="14" t="str">
        <f t="shared" si="27"/>
        <v xml:space="preserve"> </v>
      </c>
      <c r="P371" s="20">
        <f t="shared" si="28"/>
        <v>0</v>
      </c>
    </row>
    <row r="372" spans="1:16" x14ac:dyDescent="0.25">
      <c r="A372">
        <v>780799</v>
      </c>
      <c r="B372">
        <v>936</v>
      </c>
      <c r="C372">
        <v>116273</v>
      </c>
      <c r="D372" t="s">
        <v>11</v>
      </c>
      <c r="E372" t="s">
        <v>16</v>
      </c>
      <c r="F372" s="5">
        <v>22</v>
      </c>
      <c r="G372" s="5">
        <v>44699</v>
      </c>
      <c r="H372" s="5">
        <v>13</v>
      </c>
      <c r="I372" s="8">
        <v>17.300000369999999</v>
      </c>
      <c r="J372" s="5">
        <v>2</v>
      </c>
      <c r="K372" s="5">
        <v>0</v>
      </c>
      <c r="L372" s="14">
        <f t="shared" si="25"/>
        <v>0.38703327524105685</v>
      </c>
      <c r="M372" s="14">
        <f t="shared" si="29"/>
        <v>1.3307692592307692</v>
      </c>
      <c r="N372" s="20">
        <f t="shared" si="26"/>
        <v>2.9083424685115997E-4</v>
      </c>
      <c r="O372" s="14" t="str">
        <f t="shared" si="27"/>
        <v xml:space="preserve"> </v>
      </c>
      <c r="P372" s="20">
        <f t="shared" si="28"/>
        <v>0</v>
      </c>
    </row>
    <row r="373" spans="1:16" x14ac:dyDescent="0.25">
      <c r="A373">
        <v>780821</v>
      </c>
      <c r="B373">
        <v>936</v>
      </c>
      <c r="C373">
        <v>116277</v>
      </c>
      <c r="D373" t="s">
        <v>11</v>
      </c>
      <c r="E373" t="s">
        <v>16</v>
      </c>
      <c r="F373" s="5">
        <v>23</v>
      </c>
      <c r="G373" s="5">
        <v>6469</v>
      </c>
      <c r="H373" s="5">
        <v>2</v>
      </c>
      <c r="I373" s="8">
        <v>1.309999943</v>
      </c>
      <c r="J373" s="5">
        <v>1</v>
      </c>
      <c r="K373" s="5">
        <v>0</v>
      </c>
      <c r="L373" s="14">
        <f t="shared" si="25"/>
        <v>0.20250424223218427</v>
      </c>
      <c r="M373" s="14">
        <f t="shared" si="29"/>
        <v>0.6549999715</v>
      </c>
      <c r="N373" s="20">
        <f t="shared" si="26"/>
        <v>3.0916679548616477E-4</v>
      </c>
      <c r="O373" s="14" t="str">
        <f t="shared" si="27"/>
        <v xml:space="preserve"> </v>
      </c>
      <c r="P373" s="20">
        <f t="shared" si="28"/>
        <v>0</v>
      </c>
    </row>
    <row r="374" spans="1:16" x14ac:dyDescent="0.25">
      <c r="A374">
        <v>780830</v>
      </c>
      <c r="B374">
        <v>936</v>
      </c>
      <c r="C374">
        <v>116279</v>
      </c>
      <c r="D374" t="s">
        <v>15</v>
      </c>
      <c r="E374" t="s">
        <v>16</v>
      </c>
      <c r="F374" s="5">
        <v>16</v>
      </c>
      <c r="G374" s="5">
        <v>16053</v>
      </c>
      <c r="H374" s="5">
        <v>3</v>
      </c>
      <c r="I374" s="8">
        <v>4.079999924</v>
      </c>
      <c r="J374" s="5">
        <v>1</v>
      </c>
      <c r="K374" s="5">
        <v>1</v>
      </c>
      <c r="L374" s="14">
        <f t="shared" si="25"/>
        <v>0.25415809655516103</v>
      </c>
      <c r="M374" s="14">
        <f t="shared" si="29"/>
        <v>1.3599999746666667</v>
      </c>
      <c r="N374" s="20">
        <f t="shared" si="26"/>
        <v>1.8688095683049897E-4</v>
      </c>
      <c r="O374" s="14">
        <f t="shared" si="27"/>
        <v>4.079999924</v>
      </c>
      <c r="P374" s="20">
        <f t="shared" si="28"/>
        <v>0.33333333333333331</v>
      </c>
    </row>
    <row r="375" spans="1:16" x14ac:dyDescent="0.25">
      <c r="A375">
        <v>780835</v>
      </c>
      <c r="B375">
        <v>936</v>
      </c>
      <c r="C375">
        <v>116279</v>
      </c>
      <c r="D375" t="s">
        <v>15</v>
      </c>
      <c r="E375" t="s">
        <v>16</v>
      </c>
      <c r="F375" s="5">
        <v>16</v>
      </c>
      <c r="G375" s="5">
        <v>54724</v>
      </c>
      <c r="H375" s="5">
        <v>12</v>
      </c>
      <c r="I375" s="8">
        <v>17.929999949999999</v>
      </c>
      <c r="J375" s="5">
        <v>1</v>
      </c>
      <c r="K375" s="5">
        <v>1</v>
      </c>
      <c r="L375" s="14">
        <f t="shared" si="25"/>
        <v>0.32764417714348365</v>
      </c>
      <c r="M375" s="14">
        <f t="shared" si="29"/>
        <v>1.4941666624999999</v>
      </c>
      <c r="N375" s="20">
        <f t="shared" si="26"/>
        <v>2.1928221621226519E-4</v>
      </c>
      <c r="O375" s="14">
        <f t="shared" si="27"/>
        <v>17.929999949999999</v>
      </c>
      <c r="P375" s="20">
        <f t="shared" si="28"/>
        <v>8.3333333333333329E-2</v>
      </c>
    </row>
    <row r="376" spans="1:16" x14ac:dyDescent="0.25">
      <c r="A376">
        <v>780867</v>
      </c>
      <c r="B376">
        <v>936</v>
      </c>
      <c r="C376">
        <v>116285</v>
      </c>
      <c r="D376" t="s">
        <v>11</v>
      </c>
      <c r="E376" t="s">
        <v>16</v>
      </c>
      <c r="F376" s="5">
        <v>21</v>
      </c>
      <c r="G376" s="5">
        <v>4706</v>
      </c>
      <c r="H376" s="5">
        <v>1</v>
      </c>
      <c r="I376" s="8">
        <v>1.2200000289999999</v>
      </c>
      <c r="J376" s="5">
        <v>1</v>
      </c>
      <c r="K376" s="5">
        <v>0</v>
      </c>
      <c r="L376" s="14">
        <f t="shared" si="25"/>
        <v>0.25924352507437315</v>
      </c>
      <c r="M376" s="14">
        <f t="shared" si="29"/>
        <v>1.2200000289999999</v>
      </c>
      <c r="N376" s="20">
        <f t="shared" si="26"/>
        <v>2.1249468763280918E-4</v>
      </c>
      <c r="O376" s="14" t="str">
        <f t="shared" si="27"/>
        <v xml:space="preserve"> </v>
      </c>
      <c r="P376" s="20">
        <f t="shared" si="28"/>
        <v>0</v>
      </c>
    </row>
    <row r="377" spans="1:16" x14ac:dyDescent="0.25">
      <c r="A377">
        <v>780974</v>
      </c>
      <c r="B377">
        <v>936</v>
      </c>
      <c r="C377">
        <v>116303</v>
      </c>
      <c r="D377" t="s">
        <v>14</v>
      </c>
      <c r="E377" t="s">
        <v>16</v>
      </c>
      <c r="F377" s="5">
        <v>32</v>
      </c>
      <c r="G377" s="5">
        <v>8316</v>
      </c>
      <c r="H377" s="5">
        <v>3</v>
      </c>
      <c r="I377" s="8">
        <v>4.5699999330000001</v>
      </c>
      <c r="J377" s="5">
        <v>1</v>
      </c>
      <c r="K377" s="5">
        <v>1</v>
      </c>
      <c r="L377" s="14">
        <f t="shared" si="25"/>
        <v>0.54954304148629152</v>
      </c>
      <c r="M377" s="14">
        <f t="shared" si="29"/>
        <v>1.523333311</v>
      </c>
      <c r="N377" s="20">
        <f t="shared" si="26"/>
        <v>3.6075036075036075E-4</v>
      </c>
      <c r="O377" s="14">
        <f t="shared" si="27"/>
        <v>4.5699999330000001</v>
      </c>
      <c r="P377" s="20">
        <f t="shared" si="28"/>
        <v>0.33333333333333331</v>
      </c>
    </row>
    <row r="378" spans="1:16" x14ac:dyDescent="0.25">
      <c r="A378">
        <v>781066</v>
      </c>
      <c r="B378">
        <v>936</v>
      </c>
      <c r="C378">
        <v>116323</v>
      </c>
      <c r="D378" t="s">
        <v>14</v>
      </c>
      <c r="E378" t="s">
        <v>16</v>
      </c>
      <c r="F378" s="5">
        <v>22</v>
      </c>
      <c r="G378" s="5">
        <v>5794</v>
      </c>
      <c r="H378" s="5">
        <v>2</v>
      </c>
      <c r="I378" s="8">
        <v>2.2699999809999998</v>
      </c>
      <c r="J378" s="5">
        <v>1</v>
      </c>
      <c r="K378" s="5">
        <v>0</v>
      </c>
      <c r="L378" s="14">
        <f t="shared" si="25"/>
        <v>0.39178460148429406</v>
      </c>
      <c r="M378" s="14">
        <f t="shared" si="29"/>
        <v>1.1349999904999999</v>
      </c>
      <c r="N378" s="20">
        <f t="shared" si="26"/>
        <v>3.4518467380048324E-4</v>
      </c>
      <c r="O378" s="14" t="str">
        <f t="shared" si="27"/>
        <v xml:space="preserve"> </v>
      </c>
      <c r="P378" s="20">
        <f t="shared" si="28"/>
        <v>0</v>
      </c>
    </row>
    <row r="379" spans="1:16" x14ac:dyDescent="0.25">
      <c r="A379">
        <v>781114</v>
      </c>
      <c r="B379">
        <v>936</v>
      </c>
      <c r="C379">
        <v>116331</v>
      </c>
      <c r="D379" t="s">
        <v>14</v>
      </c>
      <c r="E379" t="s">
        <v>16</v>
      </c>
      <c r="F379" s="5">
        <v>18</v>
      </c>
      <c r="G379" s="5">
        <v>4813</v>
      </c>
      <c r="H379" s="5">
        <v>1</v>
      </c>
      <c r="I379" s="8">
        <v>1.0299999710000001</v>
      </c>
      <c r="J379" s="5">
        <v>1</v>
      </c>
      <c r="K379" s="5">
        <v>0</v>
      </c>
      <c r="L379" s="14">
        <f t="shared" si="25"/>
        <v>0.21400373384583421</v>
      </c>
      <c r="M379" s="14">
        <f t="shared" si="29"/>
        <v>1.0299999710000001</v>
      </c>
      <c r="N379" s="20">
        <f t="shared" si="26"/>
        <v>2.0777062123415748E-4</v>
      </c>
      <c r="O379" s="14" t="str">
        <f t="shared" si="27"/>
        <v xml:space="preserve"> </v>
      </c>
      <c r="P379" s="20">
        <f t="shared" si="28"/>
        <v>0</v>
      </c>
    </row>
    <row r="380" spans="1:16" x14ac:dyDescent="0.25">
      <c r="A380">
        <v>781159</v>
      </c>
      <c r="B380">
        <v>936</v>
      </c>
      <c r="C380">
        <v>116339</v>
      </c>
      <c r="D380" t="s">
        <v>14</v>
      </c>
      <c r="E380" t="s">
        <v>16</v>
      </c>
      <c r="F380" s="5">
        <v>10</v>
      </c>
      <c r="G380" s="5">
        <v>85285</v>
      </c>
      <c r="H380" s="5">
        <v>26</v>
      </c>
      <c r="I380" s="8">
        <v>36.130000350000003</v>
      </c>
      <c r="J380" s="5">
        <v>1</v>
      </c>
      <c r="K380" s="5">
        <v>0</v>
      </c>
      <c r="L380" s="14">
        <f t="shared" si="25"/>
        <v>0.42363839303511758</v>
      </c>
      <c r="M380" s="14">
        <f t="shared" si="29"/>
        <v>1.3896153980769232</v>
      </c>
      <c r="N380" s="20">
        <f t="shared" si="26"/>
        <v>3.0486017470833087E-4</v>
      </c>
      <c r="O380" s="14" t="str">
        <f t="shared" si="27"/>
        <v xml:space="preserve"> </v>
      </c>
      <c r="P380" s="20">
        <f t="shared" si="28"/>
        <v>0</v>
      </c>
    </row>
    <row r="381" spans="1:16" x14ac:dyDescent="0.25">
      <c r="A381">
        <v>781162</v>
      </c>
      <c r="B381">
        <v>936</v>
      </c>
      <c r="C381">
        <v>116339</v>
      </c>
      <c r="D381" t="s">
        <v>14</v>
      </c>
      <c r="E381" t="s">
        <v>16</v>
      </c>
      <c r="F381" s="5">
        <v>10</v>
      </c>
      <c r="G381" s="5">
        <v>5839</v>
      </c>
      <c r="H381" s="5">
        <v>1</v>
      </c>
      <c r="I381" s="8">
        <v>1.3700000050000001</v>
      </c>
      <c r="J381" s="5">
        <v>1</v>
      </c>
      <c r="K381" s="5">
        <v>0</v>
      </c>
      <c r="L381" s="14">
        <f t="shared" si="25"/>
        <v>0.23462921818804591</v>
      </c>
      <c r="M381" s="14">
        <f t="shared" si="29"/>
        <v>1.3700000050000001</v>
      </c>
      <c r="N381" s="20">
        <f t="shared" si="26"/>
        <v>1.7126220243192326E-4</v>
      </c>
      <c r="O381" s="14" t="str">
        <f t="shared" si="27"/>
        <v xml:space="preserve"> </v>
      </c>
      <c r="P381" s="20">
        <f t="shared" si="28"/>
        <v>0</v>
      </c>
    </row>
    <row r="382" spans="1:16" x14ac:dyDescent="0.25">
      <c r="A382">
        <v>781175</v>
      </c>
      <c r="B382">
        <v>936</v>
      </c>
      <c r="C382">
        <v>116341</v>
      </c>
      <c r="D382" t="s">
        <v>14</v>
      </c>
      <c r="E382" t="s">
        <v>16</v>
      </c>
      <c r="F382" s="5">
        <v>15</v>
      </c>
      <c r="G382" s="5">
        <v>5859</v>
      </c>
      <c r="H382" s="5">
        <v>1</v>
      </c>
      <c r="I382" s="8">
        <v>1.539999962</v>
      </c>
      <c r="J382" s="5">
        <v>1</v>
      </c>
      <c r="K382" s="5">
        <v>0</v>
      </c>
      <c r="L382" s="14">
        <f t="shared" si="25"/>
        <v>0.26284348216419184</v>
      </c>
      <c r="M382" s="14">
        <f t="shared" si="29"/>
        <v>1.539999962</v>
      </c>
      <c r="N382" s="20">
        <f t="shared" si="26"/>
        <v>1.7067759003242875E-4</v>
      </c>
      <c r="O382" s="14" t="str">
        <f t="shared" si="27"/>
        <v xml:space="preserve"> </v>
      </c>
      <c r="P382" s="20">
        <f t="shared" si="28"/>
        <v>0</v>
      </c>
    </row>
    <row r="383" spans="1:16" x14ac:dyDescent="0.25">
      <c r="A383">
        <v>781187</v>
      </c>
      <c r="B383">
        <v>936</v>
      </c>
      <c r="C383">
        <v>116343</v>
      </c>
      <c r="D383" t="s">
        <v>14</v>
      </c>
      <c r="E383" t="s">
        <v>16</v>
      </c>
      <c r="F383" s="5">
        <v>16</v>
      </c>
      <c r="G383" s="5">
        <v>164118</v>
      </c>
      <c r="H383" s="5">
        <v>41</v>
      </c>
      <c r="I383" s="8">
        <v>59.069999930000002</v>
      </c>
      <c r="J383" s="5">
        <v>1</v>
      </c>
      <c r="K383" s="5">
        <v>0</v>
      </c>
      <c r="L383" s="14">
        <f t="shared" si="25"/>
        <v>0.35992395672625793</v>
      </c>
      <c r="M383" s="14">
        <f t="shared" si="29"/>
        <v>1.4407317056097562</v>
      </c>
      <c r="N383" s="20">
        <f t="shared" si="26"/>
        <v>2.4982025128261374E-4</v>
      </c>
      <c r="O383" s="14" t="str">
        <f t="shared" si="27"/>
        <v xml:space="preserve"> </v>
      </c>
      <c r="P383" s="20">
        <f t="shared" si="28"/>
        <v>0</v>
      </c>
    </row>
    <row r="384" spans="1:16" x14ac:dyDescent="0.25">
      <c r="A384">
        <v>781195</v>
      </c>
      <c r="B384">
        <v>936</v>
      </c>
      <c r="C384">
        <v>116345</v>
      </c>
      <c r="D384" t="s">
        <v>13</v>
      </c>
      <c r="E384" t="s">
        <v>16</v>
      </c>
      <c r="F384" s="5">
        <v>63</v>
      </c>
      <c r="G384" s="5">
        <v>18234</v>
      </c>
      <c r="H384" s="5">
        <v>6</v>
      </c>
      <c r="I384" s="8">
        <v>7.8100000620000003</v>
      </c>
      <c r="J384" s="5">
        <v>1</v>
      </c>
      <c r="K384" s="5">
        <v>0</v>
      </c>
      <c r="L384" s="14">
        <f t="shared" si="25"/>
        <v>0.42832072293517609</v>
      </c>
      <c r="M384" s="14">
        <f t="shared" si="29"/>
        <v>1.301666677</v>
      </c>
      <c r="N384" s="20">
        <f t="shared" si="26"/>
        <v>3.2905561039815728E-4</v>
      </c>
      <c r="O384" s="14" t="str">
        <f t="shared" si="27"/>
        <v xml:space="preserve"> </v>
      </c>
      <c r="P384" s="20">
        <f t="shared" si="28"/>
        <v>0</v>
      </c>
    </row>
    <row r="385" spans="1:16" x14ac:dyDescent="0.25">
      <c r="A385">
        <v>781207</v>
      </c>
      <c r="B385">
        <v>936</v>
      </c>
      <c r="C385">
        <v>116347</v>
      </c>
      <c r="D385" t="s">
        <v>13</v>
      </c>
      <c r="E385" t="s">
        <v>16</v>
      </c>
      <c r="F385" s="5">
        <v>64</v>
      </c>
      <c r="G385" s="5">
        <v>2755</v>
      </c>
      <c r="H385" s="5">
        <v>0</v>
      </c>
      <c r="I385" s="8">
        <v>0</v>
      </c>
      <c r="J385" s="5">
        <v>1</v>
      </c>
      <c r="K385" s="5">
        <v>0</v>
      </c>
      <c r="L385" s="14">
        <f t="shared" si="25"/>
        <v>0</v>
      </c>
      <c r="M385" s="14" t="str">
        <f t="shared" si="29"/>
        <v xml:space="preserve"> </v>
      </c>
      <c r="N385" s="20">
        <f t="shared" si="26"/>
        <v>0</v>
      </c>
      <c r="O385" s="14" t="str">
        <f t="shared" si="27"/>
        <v xml:space="preserve"> </v>
      </c>
      <c r="P385" s="20">
        <f t="shared" si="28"/>
        <v>0</v>
      </c>
    </row>
    <row r="386" spans="1:16" x14ac:dyDescent="0.25">
      <c r="A386">
        <v>781303</v>
      </c>
      <c r="B386">
        <v>936</v>
      </c>
      <c r="C386">
        <v>116363</v>
      </c>
      <c r="D386" t="s">
        <v>13</v>
      </c>
      <c r="E386" t="s">
        <v>16</v>
      </c>
      <c r="F386" s="5">
        <v>27</v>
      </c>
      <c r="G386" s="5">
        <v>73676</v>
      </c>
      <c r="H386" s="5">
        <v>20</v>
      </c>
      <c r="I386" s="8">
        <v>28.5</v>
      </c>
      <c r="J386" s="5">
        <v>1</v>
      </c>
      <c r="K386" s="5">
        <v>0</v>
      </c>
      <c r="L386" s="14">
        <f t="shared" si="25"/>
        <v>0.38682881806829905</v>
      </c>
      <c r="M386" s="14">
        <f t="shared" si="29"/>
        <v>1.425</v>
      </c>
      <c r="N386" s="20">
        <f t="shared" si="26"/>
        <v>2.7145881969705196E-4</v>
      </c>
      <c r="O386" s="14" t="str">
        <f t="shared" si="27"/>
        <v xml:space="preserve"> </v>
      </c>
      <c r="P386" s="20">
        <f t="shared" si="28"/>
        <v>0</v>
      </c>
    </row>
    <row r="387" spans="1:16" x14ac:dyDescent="0.25">
      <c r="A387">
        <v>781305</v>
      </c>
      <c r="B387">
        <v>936</v>
      </c>
      <c r="C387">
        <v>116363</v>
      </c>
      <c r="D387" t="s">
        <v>13</v>
      </c>
      <c r="E387" t="s">
        <v>16</v>
      </c>
      <c r="F387" s="5">
        <v>27</v>
      </c>
      <c r="G387" s="5">
        <v>18421</v>
      </c>
      <c r="H387" s="5">
        <v>7</v>
      </c>
      <c r="I387" s="8">
        <v>10.079999920000001</v>
      </c>
      <c r="J387" s="5">
        <v>1</v>
      </c>
      <c r="K387" s="5">
        <v>0</v>
      </c>
      <c r="L387" s="14">
        <f t="shared" ref="L387:L450" si="30">IF(G387=0,0,(I387/G387)*1000)</f>
        <v>0.54720155909016888</v>
      </c>
      <c r="M387" s="14">
        <f t="shared" si="29"/>
        <v>1.4399999885714287</v>
      </c>
      <c r="N387" s="20">
        <f t="shared" ref="N387:N450" si="31">IF(G387=0,0,(H387/G387))</f>
        <v>3.8000108571738776E-4</v>
      </c>
      <c r="O387" s="14" t="str">
        <f t="shared" ref="O387:O450" si="32">IF(K387&gt;0, I387/K387, " ")</f>
        <v xml:space="preserve"> </v>
      </c>
      <c r="P387" s="20">
        <f t="shared" ref="P387:P450" si="33">IF(H387=0,0,(K387/H387))</f>
        <v>0</v>
      </c>
    </row>
    <row r="388" spans="1:16" x14ac:dyDescent="0.25">
      <c r="A388">
        <v>781327</v>
      </c>
      <c r="B388">
        <v>936</v>
      </c>
      <c r="C388">
        <v>116367</v>
      </c>
      <c r="D388" t="s">
        <v>13</v>
      </c>
      <c r="E388" t="s">
        <v>16</v>
      </c>
      <c r="F388" s="5">
        <v>29</v>
      </c>
      <c r="G388" s="5">
        <v>164754</v>
      </c>
      <c r="H388" s="5">
        <v>49</v>
      </c>
      <c r="I388" s="8">
        <v>67.97999978</v>
      </c>
      <c r="J388" s="5">
        <v>2</v>
      </c>
      <c r="K388" s="5">
        <v>1</v>
      </c>
      <c r="L388" s="14">
        <f t="shared" si="30"/>
        <v>0.4126151703752261</v>
      </c>
      <c r="M388" s="14">
        <f t="shared" si="29"/>
        <v>1.3873469342857143</v>
      </c>
      <c r="N388" s="20">
        <f t="shared" si="31"/>
        <v>2.9741311288345048E-4</v>
      </c>
      <c r="O388" s="14">
        <f t="shared" si="32"/>
        <v>67.97999978</v>
      </c>
      <c r="P388" s="20">
        <f t="shared" si="33"/>
        <v>2.0408163265306121E-2</v>
      </c>
    </row>
    <row r="389" spans="1:16" x14ac:dyDescent="0.25">
      <c r="A389">
        <v>781353</v>
      </c>
      <c r="B389">
        <v>936</v>
      </c>
      <c r="C389">
        <v>116371</v>
      </c>
      <c r="D389" t="s">
        <v>13</v>
      </c>
      <c r="E389" t="s">
        <v>16</v>
      </c>
      <c r="F389" s="5">
        <v>10</v>
      </c>
      <c r="G389" s="5">
        <v>7449</v>
      </c>
      <c r="H389" s="5">
        <v>1</v>
      </c>
      <c r="I389" s="8">
        <v>1.6399999860000001</v>
      </c>
      <c r="J389" s="5">
        <v>1</v>
      </c>
      <c r="K389" s="5">
        <v>1</v>
      </c>
      <c r="L389" s="14">
        <f t="shared" si="30"/>
        <v>0.22016377849375754</v>
      </c>
      <c r="M389" s="14">
        <f t="shared" ref="M389:M452" si="34">IF(H389&gt;0, I389/H389, " ")</f>
        <v>1.6399999860000001</v>
      </c>
      <c r="N389" s="20">
        <f t="shared" si="31"/>
        <v>1.3424620754463686E-4</v>
      </c>
      <c r="O389" s="14">
        <f t="shared" si="32"/>
        <v>1.6399999860000001</v>
      </c>
      <c r="P389" s="20">
        <f t="shared" si="33"/>
        <v>1</v>
      </c>
    </row>
    <row r="390" spans="1:16" x14ac:dyDescent="0.25">
      <c r="A390">
        <v>781354</v>
      </c>
      <c r="B390">
        <v>936</v>
      </c>
      <c r="C390">
        <v>116371</v>
      </c>
      <c r="D390" t="s">
        <v>13</v>
      </c>
      <c r="E390" t="s">
        <v>16</v>
      </c>
      <c r="F390" s="5">
        <v>10</v>
      </c>
      <c r="G390" s="5">
        <v>6424</v>
      </c>
      <c r="H390" s="5">
        <v>1</v>
      </c>
      <c r="I390" s="8">
        <v>0.52999997099999996</v>
      </c>
      <c r="J390" s="5">
        <v>1</v>
      </c>
      <c r="K390" s="5">
        <v>0</v>
      </c>
      <c r="L390" s="14">
        <f t="shared" si="30"/>
        <v>8.2503108810709838E-2</v>
      </c>
      <c r="M390" s="14">
        <f t="shared" si="34"/>
        <v>0.52999997099999996</v>
      </c>
      <c r="N390" s="20">
        <f t="shared" si="31"/>
        <v>1.5566625155666251E-4</v>
      </c>
      <c r="O390" s="14" t="str">
        <f t="shared" si="32"/>
        <v xml:space="preserve"> </v>
      </c>
      <c r="P390" s="20">
        <f t="shared" si="33"/>
        <v>0</v>
      </c>
    </row>
    <row r="391" spans="1:16" x14ac:dyDescent="0.25">
      <c r="A391">
        <v>781438</v>
      </c>
      <c r="B391">
        <v>936</v>
      </c>
      <c r="C391">
        <v>116385</v>
      </c>
      <c r="D391" t="s">
        <v>11</v>
      </c>
      <c r="E391" t="s">
        <v>12</v>
      </c>
      <c r="F391" s="5">
        <v>63</v>
      </c>
      <c r="G391" s="5">
        <v>2086</v>
      </c>
      <c r="H391" s="5">
        <v>0</v>
      </c>
      <c r="I391" s="8">
        <v>0</v>
      </c>
      <c r="J391" s="5">
        <v>1</v>
      </c>
      <c r="K391" s="5">
        <v>0</v>
      </c>
      <c r="L391" s="14">
        <f t="shared" si="30"/>
        <v>0</v>
      </c>
      <c r="M391" s="14" t="str">
        <f t="shared" si="34"/>
        <v xml:space="preserve"> </v>
      </c>
      <c r="N391" s="20">
        <f t="shared" si="31"/>
        <v>0</v>
      </c>
      <c r="O391" s="14" t="str">
        <f t="shared" si="32"/>
        <v xml:space="preserve"> </v>
      </c>
      <c r="P391" s="20">
        <f t="shared" si="33"/>
        <v>0</v>
      </c>
    </row>
    <row r="392" spans="1:16" x14ac:dyDescent="0.25">
      <c r="A392">
        <v>781470</v>
      </c>
      <c r="B392">
        <v>936</v>
      </c>
      <c r="C392">
        <v>116391</v>
      </c>
      <c r="D392" t="s">
        <v>13</v>
      </c>
      <c r="E392" t="s">
        <v>12</v>
      </c>
      <c r="F392" s="5">
        <v>16</v>
      </c>
      <c r="G392" s="5">
        <v>6016</v>
      </c>
      <c r="H392" s="5">
        <v>0</v>
      </c>
      <c r="I392" s="8">
        <v>0</v>
      </c>
      <c r="J392" s="5">
        <v>1</v>
      </c>
      <c r="K392" s="5">
        <v>0</v>
      </c>
      <c r="L392" s="14">
        <f t="shared" si="30"/>
        <v>0</v>
      </c>
      <c r="M392" s="14" t="str">
        <f t="shared" si="34"/>
        <v xml:space="preserve"> </v>
      </c>
      <c r="N392" s="20">
        <f t="shared" si="31"/>
        <v>0</v>
      </c>
      <c r="O392" s="14" t="str">
        <f t="shared" si="32"/>
        <v xml:space="preserve"> </v>
      </c>
      <c r="P392" s="20">
        <f t="shared" si="33"/>
        <v>0</v>
      </c>
    </row>
    <row r="393" spans="1:16" x14ac:dyDescent="0.25">
      <c r="A393">
        <v>781499</v>
      </c>
      <c r="B393">
        <v>936</v>
      </c>
      <c r="C393">
        <v>116395</v>
      </c>
      <c r="D393" t="s">
        <v>13</v>
      </c>
      <c r="E393" t="s">
        <v>12</v>
      </c>
      <c r="F393" s="5">
        <v>15</v>
      </c>
      <c r="G393" s="5">
        <v>6412</v>
      </c>
      <c r="H393" s="5">
        <v>1</v>
      </c>
      <c r="I393" s="8">
        <v>1.3700000050000001</v>
      </c>
      <c r="J393" s="5">
        <v>1</v>
      </c>
      <c r="K393" s="5">
        <v>0</v>
      </c>
      <c r="L393" s="14">
        <f t="shared" si="30"/>
        <v>0.21366188474734873</v>
      </c>
      <c r="M393" s="14">
        <f t="shared" si="34"/>
        <v>1.3700000050000001</v>
      </c>
      <c r="N393" s="20">
        <f t="shared" si="31"/>
        <v>1.5595757953836556E-4</v>
      </c>
      <c r="O393" s="14" t="str">
        <f t="shared" si="32"/>
        <v xml:space="preserve"> </v>
      </c>
      <c r="P393" s="20">
        <f t="shared" si="33"/>
        <v>0</v>
      </c>
    </row>
    <row r="394" spans="1:16" x14ac:dyDescent="0.25">
      <c r="A394">
        <v>781508</v>
      </c>
      <c r="B394">
        <v>936</v>
      </c>
      <c r="C394">
        <v>116397</v>
      </c>
      <c r="D394" t="s">
        <v>11</v>
      </c>
      <c r="E394" t="s">
        <v>16</v>
      </c>
      <c r="F394" s="5">
        <v>63</v>
      </c>
      <c r="G394" s="5">
        <v>5040</v>
      </c>
      <c r="H394" s="5">
        <v>1</v>
      </c>
      <c r="I394" s="8">
        <v>1.440000057</v>
      </c>
      <c r="J394" s="5">
        <v>1</v>
      </c>
      <c r="K394" s="5">
        <v>0</v>
      </c>
      <c r="L394" s="14">
        <f t="shared" si="30"/>
        <v>0.28571429702380952</v>
      </c>
      <c r="M394" s="14">
        <f t="shared" si="34"/>
        <v>1.440000057</v>
      </c>
      <c r="N394" s="20">
        <f t="shared" si="31"/>
        <v>1.9841269841269841E-4</v>
      </c>
      <c r="O394" s="14" t="str">
        <f t="shared" si="32"/>
        <v xml:space="preserve"> </v>
      </c>
      <c r="P394" s="20">
        <f t="shared" si="33"/>
        <v>0</v>
      </c>
    </row>
    <row r="395" spans="1:16" x14ac:dyDescent="0.25">
      <c r="A395">
        <v>781556</v>
      </c>
      <c r="B395">
        <v>936</v>
      </c>
      <c r="C395">
        <v>116405</v>
      </c>
      <c r="D395" t="s">
        <v>11</v>
      </c>
      <c r="E395" t="s">
        <v>16</v>
      </c>
      <c r="F395" s="5">
        <v>32</v>
      </c>
      <c r="G395" s="5">
        <v>1772</v>
      </c>
      <c r="H395" s="5">
        <v>0</v>
      </c>
      <c r="I395" s="8">
        <v>0</v>
      </c>
      <c r="J395" s="5">
        <v>1</v>
      </c>
      <c r="K395" s="5">
        <v>0</v>
      </c>
      <c r="L395" s="14">
        <f t="shared" si="30"/>
        <v>0</v>
      </c>
      <c r="M395" s="14" t="str">
        <f t="shared" si="34"/>
        <v xml:space="preserve"> </v>
      </c>
      <c r="N395" s="20">
        <f t="shared" si="31"/>
        <v>0</v>
      </c>
      <c r="O395" s="14" t="str">
        <f t="shared" si="32"/>
        <v xml:space="preserve"> </v>
      </c>
      <c r="P395" s="20">
        <f t="shared" si="33"/>
        <v>0</v>
      </c>
    </row>
    <row r="396" spans="1:16" x14ac:dyDescent="0.25">
      <c r="A396">
        <v>781559</v>
      </c>
      <c r="B396">
        <v>936</v>
      </c>
      <c r="C396">
        <v>116405</v>
      </c>
      <c r="D396" t="s">
        <v>11</v>
      </c>
      <c r="E396" t="s">
        <v>16</v>
      </c>
      <c r="F396" s="5">
        <v>32</v>
      </c>
      <c r="G396" s="5">
        <v>1783</v>
      </c>
      <c r="H396" s="5">
        <v>0</v>
      </c>
      <c r="I396" s="8">
        <v>0</v>
      </c>
      <c r="J396" s="5">
        <v>1</v>
      </c>
      <c r="K396" s="5">
        <v>0</v>
      </c>
      <c r="L396" s="14">
        <f t="shared" si="30"/>
        <v>0</v>
      </c>
      <c r="M396" s="14" t="str">
        <f t="shared" si="34"/>
        <v xml:space="preserve"> </v>
      </c>
      <c r="N396" s="20">
        <f t="shared" si="31"/>
        <v>0</v>
      </c>
      <c r="O396" s="14" t="str">
        <f t="shared" si="32"/>
        <v xml:space="preserve"> </v>
      </c>
      <c r="P396" s="20">
        <f t="shared" si="33"/>
        <v>0</v>
      </c>
    </row>
    <row r="397" spans="1:16" x14ac:dyDescent="0.25">
      <c r="A397">
        <v>781606</v>
      </c>
      <c r="B397">
        <v>936</v>
      </c>
      <c r="C397">
        <v>116413</v>
      </c>
      <c r="D397" t="s">
        <v>13</v>
      </c>
      <c r="E397" t="s">
        <v>12</v>
      </c>
      <c r="F397" s="5">
        <v>20</v>
      </c>
      <c r="G397" s="5">
        <v>8200</v>
      </c>
      <c r="H397" s="5">
        <v>3</v>
      </c>
      <c r="I397" s="8">
        <v>3.9199999569999999</v>
      </c>
      <c r="J397" s="5">
        <v>1</v>
      </c>
      <c r="K397" s="5">
        <v>0</v>
      </c>
      <c r="L397" s="14">
        <f t="shared" si="30"/>
        <v>0.47804877524390244</v>
      </c>
      <c r="M397" s="14">
        <f t="shared" si="34"/>
        <v>1.3066666523333332</v>
      </c>
      <c r="N397" s="20">
        <f t="shared" si="31"/>
        <v>3.6585365853658537E-4</v>
      </c>
      <c r="O397" s="14" t="str">
        <f t="shared" si="32"/>
        <v xml:space="preserve"> </v>
      </c>
      <c r="P397" s="20">
        <f t="shared" si="33"/>
        <v>0</v>
      </c>
    </row>
    <row r="398" spans="1:16" x14ac:dyDescent="0.25">
      <c r="A398">
        <v>781690</v>
      </c>
      <c r="B398">
        <v>936</v>
      </c>
      <c r="C398">
        <v>116427</v>
      </c>
      <c r="D398" t="s">
        <v>15</v>
      </c>
      <c r="E398" t="s">
        <v>16</v>
      </c>
      <c r="F398" s="5">
        <v>26</v>
      </c>
      <c r="G398" s="5">
        <v>115896</v>
      </c>
      <c r="H398" s="5">
        <v>38</v>
      </c>
      <c r="I398" s="8">
        <v>49.440000060000003</v>
      </c>
      <c r="J398" s="5">
        <v>1</v>
      </c>
      <c r="K398" s="5">
        <v>0</v>
      </c>
      <c r="L398" s="14">
        <f t="shared" si="30"/>
        <v>0.42658935649202734</v>
      </c>
      <c r="M398" s="14">
        <f t="shared" si="34"/>
        <v>1.3010526331578949</v>
      </c>
      <c r="N398" s="20">
        <f t="shared" si="31"/>
        <v>3.2788016842686546E-4</v>
      </c>
      <c r="O398" s="14" t="str">
        <f t="shared" si="32"/>
        <v xml:space="preserve"> </v>
      </c>
      <c r="P398" s="20">
        <f t="shared" si="33"/>
        <v>0</v>
      </c>
    </row>
    <row r="399" spans="1:16" x14ac:dyDescent="0.25">
      <c r="A399">
        <v>781811</v>
      </c>
      <c r="B399">
        <v>936</v>
      </c>
      <c r="C399">
        <v>116447</v>
      </c>
      <c r="D399" t="s">
        <v>13</v>
      </c>
      <c r="E399" t="s">
        <v>16</v>
      </c>
      <c r="F399" s="5">
        <v>16</v>
      </c>
      <c r="G399" s="5">
        <v>10186</v>
      </c>
      <c r="H399" s="5">
        <v>1</v>
      </c>
      <c r="I399" s="8">
        <v>1.230000019</v>
      </c>
      <c r="J399" s="5">
        <v>1</v>
      </c>
      <c r="K399" s="5">
        <v>1</v>
      </c>
      <c r="L399" s="14">
        <f t="shared" si="30"/>
        <v>0.12075397791085804</v>
      </c>
      <c r="M399" s="14">
        <f t="shared" si="34"/>
        <v>1.230000019</v>
      </c>
      <c r="N399" s="20">
        <f t="shared" si="31"/>
        <v>9.8173964264677014E-5</v>
      </c>
      <c r="O399" s="14">
        <f t="shared" si="32"/>
        <v>1.230000019</v>
      </c>
      <c r="P399" s="20">
        <f t="shared" si="33"/>
        <v>1</v>
      </c>
    </row>
    <row r="400" spans="1:16" x14ac:dyDescent="0.25">
      <c r="A400">
        <v>781857</v>
      </c>
      <c r="B400">
        <v>936</v>
      </c>
      <c r="C400">
        <v>116455</v>
      </c>
      <c r="D400" t="s">
        <v>11</v>
      </c>
      <c r="E400" t="s">
        <v>12</v>
      </c>
      <c r="F400" s="5">
        <v>20</v>
      </c>
      <c r="G400" s="5">
        <v>9134</v>
      </c>
      <c r="H400" s="5">
        <v>3</v>
      </c>
      <c r="I400" s="8">
        <v>4.1800000669999999</v>
      </c>
      <c r="J400" s="5">
        <v>2</v>
      </c>
      <c r="K400" s="5">
        <v>0</v>
      </c>
      <c r="L400" s="14">
        <f t="shared" si="30"/>
        <v>0.45763083720166409</v>
      </c>
      <c r="M400" s="14">
        <f t="shared" si="34"/>
        <v>1.3933333556666667</v>
      </c>
      <c r="N400" s="20">
        <f t="shared" si="31"/>
        <v>3.2844317932997593E-4</v>
      </c>
      <c r="O400" s="14" t="str">
        <f t="shared" si="32"/>
        <v xml:space="preserve"> </v>
      </c>
      <c r="P400" s="20">
        <f t="shared" si="33"/>
        <v>0</v>
      </c>
    </row>
    <row r="401" spans="1:16" x14ac:dyDescent="0.25">
      <c r="A401">
        <v>781858</v>
      </c>
      <c r="B401">
        <v>936</v>
      </c>
      <c r="C401">
        <v>116455</v>
      </c>
      <c r="D401" t="s">
        <v>11</v>
      </c>
      <c r="E401" t="s">
        <v>12</v>
      </c>
      <c r="F401" s="5">
        <v>20</v>
      </c>
      <c r="G401" s="5">
        <v>3385</v>
      </c>
      <c r="H401" s="5">
        <v>1</v>
      </c>
      <c r="I401" s="8">
        <v>1.440000057</v>
      </c>
      <c r="J401" s="5">
        <v>1</v>
      </c>
      <c r="K401" s="5">
        <v>1</v>
      </c>
      <c r="L401" s="14">
        <f t="shared" si="30"/>
        <v>0.42540622067946826</v>
      </c>
      <c r="M401" s="14">
        <f t="shared" si="34"/>
        <v>1.440000057</v>
      </c>
      <c r="N401" s="20">
        <f t="shared" si="31"/>
        <v>2.9542097488921711E-4</v>
      </c>
      <c r="O401" s="14">
        <f t="shared" si="32"/>
        <v>1.440000057</v>
      </c>
      <c r="P401" s="20">
        <f t="shared" si="33"/>
        <v>1</v>
      </c>
    </row>
    <row r="402" spans="1:16" x14ac:dyDescent="0.25">
      <c r="A402">
        <v>781907</v>
      </c>
      <c r="B402">
        <v>936</v>
      </c>
      <c r="C402">
        <v>116463</v>
      </c>
      <c r="D402" t="s">
        <v>15</v>
      </c>
      <c r="E402" t="s">
        <v>16</v>
      </c>
      <c r="F402" s="5">
        <v>21</v>
      </c>
      <c r="G402" s="5">
        <v>1314</v>
      </c>
      <c r="H402" s="5">
        <v>0</v>
      </c>
      <c r="I402" s="8">
        <v>0</v>
      </c>
      <c r="J402" s="5">
        <v>1</v>
      </c>
      <c r="K402" s="5">
        <v>0</v>
      </c>
      <c r="L402" s="14">
        <f t="shared" si="30"/>
        <v>0</v>
      </c>
      <c r="M402" s="14" t="str">
        <f t="shared" si="34"/>
        <v xml:space="preserve"> </v>
      </c>
      <c r="N402" s="20">
        <f t="shared" si="31"/>
        <v>0</v>
      </c>
      <c r="O402" s="14" t="str">
        <f t="shared" si="32"/>
        <v xml:space="preserve"> </v>
      </c>
      <c r="P402" s="20">
        <f t="shared" si="33"/>
        <v>0</v>
      </c>
    </row>
    <row r="403" spans="1:16" x14ac:dyDescent="0.25">
      <c r="A403">
        <v>781928</v>
      </c>
      <c r="B403">
        <v>936</v>
      </c>
      <c r="C403">
        <v>116467</v>
      </c>
      <c r="D403" t="s">
        <v>11</v>
      </c>
      <c r="E403" t="s">
        <v>12</v>
      </c>
      <c r="F403" s="5">
        <v>18</v>
      </c>
      <c r="G403" s="5">
        <v>2916</v>
      </c>
      <c r="H403" s="5">
        <v>0</v>
      </c>
      <c r="I403" s="8">
        <v>0</v>
      </c>
      <c r="J403" s="5">
        <v>1</v>
      </c>
      <c r="K403" s="5">
        <v>1</v>
      </c>
      <c r="L403" s="14">
        <f t="shared" si="30"/>
        <v>0</v>
      </c>
      <c r="M403" s="14" t="str">
        <f t="shared" si="34"/>
        <v xml:space="preserve"> </v>
      </c>
      <c r="N403" s="20">
        <f t="shared" si="31"/>
        <v>0</v>
      </c>
      <c r="O403" s="14">
        <f t="shared" si="32"/>
        <v>0</v>
      </c>
      <c r="P403" s="20">
        <f t="shared" si="33"/>
        <v>0</v>
      </c>
    </row>
    <row r="404" spans="1:16" x14ac:dyDescent="0.25">
      <c r="A404">
        <v>781929</v>
      </c>
      <c r="B404">
        <v>936</v>
      </c>
      <c r="C404">
        <v>116467</v>
      </c>
      <c r="D404" t="s">
        <v>11</v>
      </c>
      <c r="E404" t="s">
        <v>12</v>
      </c>
      <c r="F404" s="5">
        <v>18</v>
      </c>
      <c r="G404" s="5">
        <v>6142</v>
      </c>
      <c r="H404" s="5">
        <v>1</v>
      </c>
      <c r="I404" s="8">
        <v>1.3300000430000001</v>
      </c>
      <c r="J404" s="5">
        <v>1</v>
      </c>
      <c r="K404" s="5">
        <v>0</v>
      </c>
      <c r="L404" s="14">
        <f t="shared" si="30"/>
        <v>0.21654185004884402</v>
      </c>
      <c r="M404" s="14">
        <f t="shared" si="34"/>
        <v>1.3300000430000001</v>
      </c>
      <c r="N404" s="20">
        <f t="shared" si="31"/>
        <v>1.6281341582546403E-4</v>
      </c>
      <c r="O404" s="14" t="str">
        <f t="shared" si="32"/>
        <v xml:space="preserve"> </v>
      </c>
      <c r="P404" s="20">
        <f t="shared" si="33"/>
        <v>0</v>
      </c>
    </row>
    <row r="405" spans="1:16" x14ac:dyDescent="0.25">
      <c r="A405">
        <v>781950</v>
      </c>
      <c r="B405">
        <v>936</v>
      </c>
      <c r="C405">
        <v>116471</v>
      </c>
      <c r="D405" t="s">
        <v>11</v>
      </c>
      <c r="E405" t="s">
        <v>16</v>
      </c>
      <c r="F405" s="5">
        <v>20</v>
      </c>
      <c r="G405" s="5">
        <v>1984</v>
      </c>
      <c r="H405" s="5">
        <v>0</v>
      </c>
      <c r="I405" s="8">
        <v>0</v>
      </c>
      <c r="J405" s="5">
        <v>1</v>
      </c>
      <c r="K405" s="5">
        <v>0</v>
      </c>
      <c r="L405" s="14">
        <f t="shared" si="30"/>
        <v>0</v>
      </c>
      <c r="M405" s="14" t="str">
        <f t="shared" si="34"/>
        <v xml:space="preserve"> </v>
      </c>
      <c r="N405" s="20">
        <f t="shared" si="31"/>
        <v>0</v>
      </c>
      <c r="O405" s="14" t="str">
        <f t="shared" si="32"/>
        <v xml:space="preserve"> </v>
      </c>
      <c r="P405" s="20">
        <f t="shared" si="33"/>
        <v>0</v>
      </c>
    </row>
    <row r="406" spans="1:16" x14ac:dyDescent="0.25">
      <c r="A406">
        <v>781999</v>
      </c>
      <c r="B406">
        <v>936</v>
      </c>
      <c r="C406">
        <v>116479</v>
      </c>
      <c r="D406" t="s">
        <v>11</v>
      </c>
      <c r="E406" t="s">
        <v>12</v>
      </c>
      <c r="F406" s="5">
        <v>24</v>
      </c>
      <c r="G406" s="5">
        <v>9142</v>
      </c>
      <c r="H406" s="5">
        <v>3</v>
      </c>
      <c r="I406" s="8">
        <v>3.7499998809999999</v>
      </c>
      <c r="J406" s="5">
        <v>1</v>
      </c>
      <c r="K406" s="5">
        <v>0</v>
      </c>
      <c r="L406" s="14">
        <f t="shared" si="30"/>
        <v>0.41019469273681908</v>
      </c>
      <c r="M406" s="14">
        <f t="shared" si="34"/>
        <v>1.2499999603333334</v>
      </c>
      <c r="N406" s="20">
        <f t="shared" si="31"/>
        <v>3.2815576460293154E-4</v>
      </c>
      <c r="O406" s="14" t="str">
        <f t="shared" si="32"/>
        <v xml:space="preserve"> </v>
      </c>
      <c r="P406" s="20">
        <f t="shared" si="33"/>
        <v>0</v>
      </c>
    </row>
    <row r="407" spans="1:16" x14ac:dyDescent="0.25">
      <c r="A407">
        <v>782001</v>
      </c>
      <c r="B407">
        <v>936</v>
      </c>
      <c r="C407">
        <v>116479</v>
      </c>
      <c r="D407" t="s">
        <v>11</v>
      </c>
      <c r="E407" t="s">
        <v>12</v>
      </c>
      <c r="F407" s="5">
        <v>24</v>
      </c>
      <c r="G407" s="5">
        <v>5475</v>
      </c>
      <c r="H407" s="5">
        <v>2</v>
      </c>
      <c r="I407" s="8">
        <v>2.7300000190000002</v>
      </c>
      <c r="J407" s="5">
        <v>1</v>
      </c>
      <c r="K407" s="5">
        <v>1</v>
      </c>
      <c r="L407" s="14">
        <f t="shared" si="30"/>
        <v>0.49863014045662107</v>
      </c>
      <c r="M407" s="14">
        <f t="shared" si="34"/>
        <v>1.3650000095000001</v>
      </c>
      <c r="N407" s="20">
        <f t="shared" si="31"/>
        <v>3.6529680365296805E-4</v>
      </c>
      <c r="O407" s="14">
        <f t="shared" si="32"/>
        <v>2.7300000190000002</v>
      </c>
      <c r="P407" s="20">
        <f t="shared" si="33"/>
        <v>0.5</v>
      </c>
    </row>
    <row r="408" spans="1:16" x14ac:dyDescent="0.25">
      <c r="A408">
        <v>782022</v>
      </c>
      <c r="B408">
        <v>936</v>
      </c>
      <c r="C408">
        <v>116483</v>
      </c>
      <c r="D408" t="s">
        <v>11</v>
      </c>
      <c r="E408" t="s">
        <v>16</v>
      </c>
      <c r="F408" s="5">
        <v>18</v>
      </c>
      <c r="G408" s="5">
        <v>8254</v>
      </c>
      <c r="H408" s="5">
        <v>2</v>
      </c>
      <c r="I408" s="8">
        <v>2.3200000520000001</v>
      </c>
      <c r="J408" s="5">
        <v>1</v>
      </c>
      <c r="K408" s="5">
        <v>1</v>
      </c>
      <c r="L408" s="14">
        <f t="shared" si="30"/>
        <v>0.28107584831596805</v>
      </c>
      <c r="M408" s="14">
        <f t="shared" si="34"/>
        <v>1.1600000260000001</v>
      </c>
      <c r="N408" s="20">
        <f t="shared" si="31"/>
        <v>2.4230676035861401E-4</v>
      </c>
      <c r="O408" s="14">
        <f t="shared" si="32"/>
        <v>2.3200000520000001</v>
      </c>
      <c r="P408" s="20">
        <f t="shared" si="33"/>
        <v>0.5</v>
      </c>
    </row>
    <row r="409" spans="1:16" x14ac:dyDescent="0.25">
      <c r="A409">
        <v>782026</v>
      </c>
      <c r="B409">
        <v>936</v>
      </c>
      <c r="C409">
        <v>116483</v>
      </c>
      <c r="D409" t="s">
        <v>11</v>
      </c>
      <c r="E409" t="s">
        <v>16</v>
      </c>
      <c r="F409" s="5">
        <v>18</v>
      </c>
      <c r="G409" s="5">
        <v>5704</v>
      </c>
      <c r="H409" s="5">
        <v>1</v>
      </c>
      <c r="I409" s="8">
        <v>1.3200000519999999</v>
      </c>
      <c r="J409" s="5">
        <v>1</v>
      </c>
      <c r="K409" s="5">
        <v>0</v>
      </c>
      <c r="L409" s="14">
        <f t="shared" si="30"/>
        <v>0.23141655890603086</v>
      </c>
      <c r="M409" s="14">
        <f t="shared" si="34"/>
        <v>1.3200000519999999</v>
      </c>
      <c r="N409" s="20">
        <f t="shared" si="31"/>
        <v>1.7531556802244039E-4</v>
      </c>
      <c r="O409" s="14" t="str">
        <f t="shared" si="32"/>
        <v xml:space="preserve"> </v>
      </c>
      <c r="P409" s="20">
        <f t="shared" si="33"/>
        <v>0</v>
      </c>
    </row>
    <row r="410" spans="1:16" x14ac:dyDescent="0.25">
      <c r="A410">
        <v>782130</v>
      </c>
      <c r="B410">
        <v>936</v>
      </c>
      <c r="C410">
        <v>116501</v>
      </c>
      <c r="D410" t="s">
        <v>11</v>
      </c>
      <c r="E410" t="s">
        <v>16</v>
      </c>
      <c r="F410" s="5">
        <v>16</v>
      </c>
      <c r="G410" s="5">
        <v>7301</v>
      </c>
      <c r="H410" s="5">
        <v>0</v>
      </c>
      <c r="I410" s="8">
        <v>0</v>
      </c>
      <c r="J410" s="5">
        <v>1</v>
      </c>
      <c r="K410" s="5">
        <v>0</v>
      </c>
      <c r="L410" s="14">
        <f t="shared" si="30"/>
        <v>0</v>
      </c>
      <c r="M410" s="14" t="str">
        <f t="shared" si="34"/>
        <v xml:space="preserve"> </v>
      </c>
      <c r="N410" s="20">
        <f t="shared" si="31"/>
        <v>0</v>
      </c>
      <c r="O410" s="14" t="str">
        <f t="shared" si="32"/>
        <v xml:space="preserve"> </v>
      </c>
      <c r="P410" s="20">
        <f t="shared" si="33"/>
        <v>0</v>
      </c>
    </row>
    <row r="411" spans="1:16" x14ac:dyDescent="0.25">
      <c r="A411">
        <v>782134</v>
      </c>
      <c r="B411">
        <v>936</v>
      </c>
      <c r="C411">
        <v>116501</v>
      </c>
      <c r="D411" t="s">
        <v>11</v>
      </c>
      <c r="E411" t="s">
        <v>16</v>
      </c>
      <c r="F411" s="5">
        <v>16</v>
      </c>
      <c r="G411" s="5">
        <v>37873</v>
      </c>
      <c r="H411" s="5">
        <v>5</v>
      </c>
      <c r="I411" s="8">
        <v>6.1699999569999999</v>
      </c>
      <c r="J411" s="5">
        <v>1</v>
      </c>
      <c r="K411" s="5">
        <v>1</v>
      </c>
      <c r="L411" s="14">
        <f t="shared" si="30"/>
        <v>0.16291289195469066</v>
      </c>
      <c r="M411" s="14">
        <f t="shared" si="34"/>
        <v>1.2339999913999999</v>
      </c>
      <c r="N411" s="20">
        <f t="shared" si="31"/>
        <v>1.3202017268238586E-4</v>
      </c>
      <c r="O411" s="14">
        <f t="shared" si="32"/>
        <v>6.1699999569999999</v>
      </c>
      <c r="P411" s="20">
        <f t="shared" si="33"/>
        <v>0.2</v>
      </c>
    </row>
    <row r="412" spans="1:16" x14ac:dyDescent="0.25">
      <c r="A412">
        <v>782135</v>
      </c>
      <c r="B412">
        <v>936</v>
      </c>
      <c r="C412">
        <v>116501</v>
      </c>
      <c r="D412" t="s">
        <v>11</v>
      </c>
      <c r="E412" t="s">
        <v>16</v>
      </c>
      <c r="F412" s="5">
        <v>16</v>
      </c>
      <c r="G412" s="5">
        <v>25267</v>
      </c>
      <c r="H412" s="5">
        <v>4</v>
      </c>
      <c r="I412" s="8">
        <v>4.9400000569999998</v>
      </c>
      <c r="J412" s="5">
        <v>2</v>
      </c>
      <c r="K412" s="5">
        <v>1</v>
      </c>
      <c r="L412" s="14">
        <f t="shared" si="30"/>
        <v>0.19551193481616336</v>
      </c>
      <c r="M412" s="14">
        <f t="shared" si="34"/>
        <v>1.2350000142499999</v>
      </c>
      <c r="N412" s="20">
        <f t="shared" si="31"/>
        <v>1.5830925713381091E-4</v>
      </c>
      <c r="O412" s="14">
        <f t="shared" si="32"/>
        <v>4.9400000569999998</v>
      </c>
      <c r="P412" s="20">
        <f t="shared" si="33"/>
        <v>0.25</v>
      </c>
    </row>
    <row r="413" spans="1:16" x14ac:dyDescent="0.25">
      <c r="A413">
        <v>782171</v>
      </c>
      <c r="B413">
        <v>936</v>
      </c>
      <c r="C413">
        <v>116507</v>
      </c>
      <c r="D413" t="s">
        <v>11</v>
      </c>
      <c r="E413" t="s">
        <v>16</v>
      </c>
      <c r="F413" s="5">
        <v>30</v>
      </c>
      <c r="G413" s="5">
        <v>535</v>
      </c>
      <c r="H413" s="5">
        <v>0</v>
      </c>
      <c r="I413" s="8">
        <v>0</v>
      </c>
      <c r="J413" s="5">
        <v>1</v>
      </c>
      <c r="K413" s="5">
        <v>0</v>
      </c>
      <c r="L413" s="14">
        <f t="shared" si="30"/>
        <v>0</v>
      </c>
      <c r="M413" s="14" t="str">
        <f t="shared" si="34"/>
        <v xml:space="preserve"> </v>
      </c>
      <c r="N413" s="20">
        <f t="shared" si="31"/>
        <v>0</v>
      </c>
      <c r="O413" s="14" t="str">
        <f t="shared" si="32"/>
        <v xml:space="preserve"> </v>
      </c>
      <c r="P413" s="20">
        <f t="shared" si="33"/>
        <v>0</v>
      </c>
    </row>
    <row r="414" spans="1:16" x14ac:dyDescent="0.25">
      <c r="A414">
        <v>782180</v>
      </c>
      <c r="B414">
        <v>936</v>
      </c>
      <c r="C414">
        <v>116509</v>
      </c>
      <c r="D414" t="s">
        <v>11</v>
      </c>
      <c r="E414" t="s">
        <v>12</v>
      </c>
      <c r="F414" s="5">
        <v>29</v>
      </c>
      <c r="G414" s="5">
        <v>3396</v>
      </c>
      <c r="H414" s="5">
        <v>0</v>
      </c>
      <c r="I414" s="8">
        <v>0</v>
      </c>
      <c r="J414" s="5">
        <v>1</v>
      </c>
      <c r="K414" s="5">
        <v>0</v>
      </c>
      <c r="L414" s="14">
        <f t="shared" si="30"/>
        <v>0</v>
      </c>
      <c r="M414" s="14" t="str">
        <f t="shared" si="34"/>
        <v xml:space="preserve"> </v>
      </c>
      <c r="N414" s="20">
        <f t="shared" si="31"/>
        <v>0</v>
      </c>
      <c r="O414" s="14" t="str">
        <f t="shared" si="32"/>
        <v xml:space="preserve"> </v>
      </c>
      <c r="P414" s="20">
        <f t="shared" si="33"/>
        <v>0</v>
      </c>
    </row>
    <row r="415" spans="1:16" x14ac:dyDescent="0.25">
      <c r="A415">
        <v>782219</v>
      </c>
      <c r="B415">
        <v>936</v>
      </c>
      <c r="C415">
        <v>116515</v>
      </c>
      <c r="D415" t="s">
        <v>11</v>
      </c>
      <c r="E415" t="s">
        <v>12</v>
      </c>
      <c r="F415" s="5">
        <v>26</v>
      </c>
      <c r="G415" s="5">
        <v>977</v>
      </c>
      <c r="H415" s="5">
        <v>0</v>
      </c>
      <c r="I415" s="8">
        <v>0</v>
      </c>
      <c r="J415" s="5">
        <v>1</v>
      </c>
      <c r="K415" s="5">
        <v>0</v>
      </c>
      <c r="L415" s="14">
        <f t="shared" si="30"/>
        <v>0</v>
      </c>
      <c r="M415" s="14" t="str">
        <f t="shared" si="34"/>
        <v xml:space="preserve"> </v>
      </c>
      <c r="N415" s="20">
        <f t="shared" si="31"/>
        <v>0</v>
      </c>
      <c r="O415" s="14" t="str">
        <f t="shared" si="32"/>
        <v xml:space="preserve"> </v>
      </c>
      <c r="P415" s="20">
        <f t="shared" si="33"/>
        <v>0</v>
      </c>
    </row>
    <row r="416" spans="1:16" x14ac:dyDescent="0.25">
      <c r="A416">
        <v>782228</v>
      </c>
      <c r="B416">
        <v>936</v>
      </c>
      <c r="C416">
        <v>116517</v>
      </c>
      <c r="D416" t="s">
        <v>14</v>
      </c>
      <c r="E416" t="s">
        <v>16</v>
      </c>
      <c r="F416" s="5">
        <v>63</v>
      </c>
      <c r="G416" s="5">
        <v>12318</v>
      </c>
      <c r="H416" s="5">
        <v>5</v>
      </c>
      <c r="I416" s="8">
        <v>6.3400001530000001</v>
      </c>
      <c r="J416" s="5">
        <v>1</v>
      </c>
      <c r="K416" s="5">
        <v>1</v>
      </c>
      <c r="L416" s="14">
        <f t="shared" si="30"/>
        <v>0.5146939562428966</v>
      </c>
      <c r="M416" s="14">
        <f t="shared" si="34"/>
        <v>1.2680000306000001</v>
      </c>
      <c r="N416" s="20">
        <f t="shared" si="31"/>
        <v>4.0591005033284623E-4</v>
      </c>
      <c r="O416" s="14">
        <f t="shared" si="32"/>
        <v>6.3400001530000001</v>
      </c>
      <c r="P416" s="20">
        <f t="shared" si="33"/>
        <v>0.2</v>
      </c>
    </row>
    <row r="417" spans="1:16" x14ac:dyDescent="0.25">
      <c r="A417">
        <v>782242</v>
      </c>
      <c r="B417">
        <v>936</v>
      </c>
      <c r="C417">
        <v>116519</v>
      </c>
      <c r="D417" t="s">
        <v>11</v>
      </c>
      <c r="E417" t="s">
        <v>16</v>
      </c>
      <c r="F417" s="5">
        <v>28</v>
      </c>
      <c r="G417" s="5">
        <v>4783</v>
      </c>
      <c r="H417" s="5">
        <v>1</v>
      </c>
      <c r="I417" s="8">
        <v>0.86000001400000003</v>
      </c>
      <c r="J417" s="5">
        <v>1</v>
      </c>
      <c r="K417" s="5">
        <v>0</v>
      </c>
      <c r="L417" s="14">
        <f t="shared" si="30"/>
        <v>0.17980347355216392</v>
      </c>
      <c r="M417" s="14">
        <f t="shared" si="34"/>
        <v>0.86000001400000003</v>
      </c>
      <c r="N417" s="20">
        <f t="shared" si="31"/>
        <v>2.0907380305247751E-4</v>
      </c>
      <c r="O417" s="14" t="str">
        <f t="shared" si="32"/>
        <v xml:space="preserve"> </v>
      </c>
      <c r="P417" s="20">
        <f t="shared" si="33"/>
        <v>0</v>
      </c>
    </row>
    <row r="418" spans="1:16" x14ac:dyDescent="0.25">
      <c r="A418">
        <v>782275</v>
      </c>
      <c r="B418">
        <v>936</v>
      </c>
      <c r="C418">
        <v>116525</v>
      </c>
      <c r="D418" t="s">
        <v>11</v>
      </c>
      <c r="E418" t="s">
        <v>16</v>
      </c>
      <c r="F418" s="5">
        <v>29</v>
      </c>
      <c r="G418" s="5">
        <v>6475</v>
      </c>
      <c r="H418" s="5">
        <v>1</v>
      </c>
      <c r="I418" s="8">
        <v>1.3500000240000001</v>
      </c>
      <c r="J418" s="5">
        <v>1</v>
      </c>
      <c r="K418" s="5">
        <v>0</v>
      </c>
      <c r="L418" s="14">
        <f t="shared" si="30"/>
        <v>0.20849421220077222</v>
      </c>
      <c r="M418" s="14">
        <f t="shared" si="34"/>
        <v>1.3500000240000001</v>
      </c>
      <c r="N418" s="20">
        <f t="shared" si="31"/>
        <v>1.5444015444015445E-4</v>
      </c>
      <c r="O418" s="14" t="str">
        <f t="shared" si="32"/>
        <v xml:space="preserve"> </v>
      </c>
      <c r="P418" s="20">
        <f t="shared" si="33"/>
        <v>0</v>
      </c>
    </row>
    <row r="419" spans="1:16" x14ac:dyDescent="0.25">
      <c r="A419">
        <v>782337</v>
      </c>
      <c r="B419">
        <v>936</v>
      </c>
      <c r="C419">
        <v>116535</v>
      </c>
      <c r="D419" t="s">
        <v>15</v>
      </c>
      <c r="E419" t="s">
        <v>16</v>
      </c>
      <c r="F419" s="5">
        <v>16</v>
      </c>
      <c r="G419" s="5">
        <v>104578</v>
      </c>
      <c r="H419" s="5">
        <v>29</v>
      </c>
      <c r="I419" s="8">
        <v>39.25000095</v>
      </c>
      <c r="J419" s="5">
        <v>1</v>
      </c>
      <c r="K419" s="5">
        <v>1</v>
      </c>
      <c r="L419" s="14">
        <f t="shared" si="30"/>
        <v>0.37531795358488401</v>
      </c>
      <c r="M419" s="14">
        <f t="shared" si="34"/>
        <v>1.3534483086206897</v>
      </c>
      <c r="N419" s="20">
        <f t="shared" si="31"/>
        <v>2.7730497810246895E-4</v>
      </c>
      <c r="O419" s="14">
        <f t="shared" si="32"/>
        <v>39.25000095</v>
      </c>
      <c r="P419" s="20">
        <f t="shared" si="33"/>
        <v>3.4482758620689655E-2</v>
      </c>
    </row>
    <row r="420" spans="1:16" x14ac:dyDescent="0.25">
      <c r="A420">
        <v>782407</v>
      </c>
      <c r="B420">
        <v>936</v>
      </c>
      <c r="C420">
        <v>116547</v>
      </c>
      <c r="D420" t="s">
        <v>15</v>
      </c>
      <c r="E420" t="s">
        <v>16</v>
      </c>
      <c r="F420" s="5">
        <v>10</v>
      </c>
      <c r="G420" s="5">
        <v>33664</v>
      </c>
      <c r="H420" s="5">
        <v>11</v>
      </c>
      <c r="I420" s="8">
        <v>12.51000035</v>
      </c>
      <c r="J420" s="5">
        <v>1</v>
      </c>
      <c r="K420" s="5">
        <v>0</v>
      </c>
      <c r="L420" s="14">
        <f t="shared" si="30"/>
        <v>0.37161360355275669</v>
      </c>
      <c r="M420" s="14">
        <f t="shared" si="34"/>
        <v>1.1372727590909091</v>
      </c>
      <c r="N420" s="20">
        <f t="shared" si="31"/>
        <v>3.2675855513307982E-4</v>
      </c>
      <c r="O420" s="14" t="str">
        <f t="shared" si="32"/>
        <v xml:space="preserve"> </v>
      </c>
      <c r="P420" s="20">
        <f t="shared" si="33"/>
        <v>0</v>
      </c>
    </row>
    <row r="421" spans="1:16" x14ac:dyDescent="0.25">
      <c r="A421">
        <v>782443</v>
      </c>
      <c r="B421">
        <v>936</v>
      </c>
      <c r="C421">
        <v>116553</v>
      </c>
      <c r="D421" t="s">
        <v>14</v>
      </c>
      <c r="E421" t="s">
        <v>16</v>
      </c>
      <c r="F421" s="5">
        <v>20</v>
      </c>
      <c r="G421" s="5">
        <v>979</v>
      </c>
      <c r="H421" s="5">
        <v>0</v>
      </c>
      <c r="I421" s="8">
        <v>0</v>
      </c>
      <c r="J421" s="5">
        <v>1</v>
      </c>
      <c r="K421" s="5">
        <v>0</v>
      </c>
      <c r="L421" s="14">
        <f t="shared" si="30"/>
        <v>0</v>
      </c>
      <c r="M421" s="14" t="str">
        <f t="shared" si="34"/>
        <v xml:space="preserve"> </v>
      </c>
      <c r="N421" s="20">
        <f t="shared" si="31"/>
        <v>0</v>
      </c>
      <c r="O421" s="14" t="str">
        <f t="shared" si="32"/>
        <v xml:space="preserve"> </v>
      </c>
      <c r="P421" s="20">
        <f t="shared" si="33"/>
        <v>0</v>
      </c>
    </row>
    <row r="422" spans="1:16" x14ac:dyDescent="0.25">
      <c r="A422">
        <v>782541</v>
      </c>
      <c r="B422">
        <v>936</v>
      </c>
      <c r="C422">
        <v>116569</v>
      </c>
      <c r="D422" t="s">
        <v>14</v>
      </c>
      <c r="E422" t="s">
        <v>16</v>
      </c>
      <c r="F422" s="5">
        <v>28</v>
      </c>
      <c r="G422" s="5">
        <v>7337</v>
      </c>
      <c r="H422" s="5">
        <v>3</v>
      </c>
      <c r="I422" s="8">
        <v>4.079999924</v>
      </c>
      <c r="J422" s="5">
        <v>1</v>
      </c>
      <c r="K422" s="5">
        <v>0</v>
      </c>
      <c r="L422" s="14">
        <f t="shared" si="30"/>
        <v>0.55608558320839585</v>
      </c>
      <c r="M422" s="14">
        <f t="shared" si="34"/>
        <v>1.3599999746666667</v>
      </c>
      <c r="N422" s="20">
        <f t="shared" si="31"/>
        <v>4.0888646585798008E-4</v>
      </c>
      <c r="O422" s="14" t="str">
        <f t="shared" si="32"/>
        <v xml:space="preserve"> </v>
      </c>
      <c r="P422" s="20">
        <f t="shared" si="33"/>
        <v>0</v>
      </c>
    </row>
    <row r="423" spans="1:16" x14ac:dyDescent="0.25">
      <c r="A423">
        <v>782587</v>
      </c>
      <c r="B423">
        <v>936</v>
      </c>
      <c r="C423">
        <v>116577</v>
      </c>
      <c r="D423" t="s">
        <v>11</v>
      </c>
      <c r="E423" t="s">
        <v>12</v>
      </c>
      <c r="F423" s="5">
        <v>10</v>
      </c>
      <c r="G423" s="5">
        <v>2499</v>
      </c>
      <c r="H423" s="5">
        <v>0</v>
      </c>
      <c r="I423" s="8">
        <v>0</v>
      </c>
      <c r="J423" s="5">
        <v>1</v>
      </c>
      <c r="K423" s="5">
        <v>0</v>
      </c>
      <c r="L423" s="14">
        <f t="shared" si="30"/>
        <v>0</v>
      </c>
      <c r="M423" s="14" t="str">
        <f t="shared" si="34"/>
        <v xml:space="preserve"> </v>
      </c>
      <c r="N423" s="20">
        <f t="shared" si="31"/>
        <v>0</v>
      </c>
      <c r="O423" s="14" t="str">
        <f t="shared" si="32"/>
        <v xml:space="preserve"> </v>
      </c>
      <c r="P423" s="20">
        <f t="shared" si="33"/>
        <v>0</v>
      </c>
    </row>
    <row r="424" spans="1:16" x14ac:dyDescent="0.25">
      <c r="A424">
        <v>782647</v>
      </c>
      <c r="B424">
        <v>936</v>
      </c>
      <c r="C424">
        <v>116587</v>
      </c>
      <c r="D424" t="s">
        <v>14</v>
      </c>
      <c r="E424" t="s">
        <v>16</v>
      </c>
      <c r="F424" s="5">
        <v>27</v>
      </c>
      <c r="G424" s="5">
        <v>11244</v>
      </c>
      <c r="H424" s="5">
        <v>3</v>
      </c>
      <c r="I424" s="8">
        <v>4.5500001909999996</v>
      </c>
      <c r="J424" s="5">
        <v>1</v>
      </c>
      <c r="K424" s="5">
        <v>0</v>
      </c>
      <c r="L424" s="14">
        <f t="shared" si="30"/>
        <v>0.40466028023834932</v>
      </c>
      <c r="M424" s="14">
        <f t="shared" si="34"/>
        <v>1.5166667303333332</v>
      </c>
      <c r="N424" s="20">
        <f t="shared" si="31"/>
        <v>2.6680896478121667E-4</v>
      </c>
      <c r="O424" s="14" t="str">
        <f t="shared" si="32"/>
        <v xml:space="preserve"> </v>
      </c>
      <c r="P424" s="20">
        <f t="shared" si="33"/>
        <v>0</v>
      </c>
    </row>
    <row r="425" spans="1:16" x14ac:dyDescent="0.25">
      <c r="A425">
        <v>782658</v>
      </c>
      <c r="B425">
        <v>936</v>
      </c>
      <c r="C425">
        <v>116589</v>
      </c>
      <c r="D425" t="s">
        <v>11</v>
      </c>
      <c r="E425" t="s">
        <v>12</v>
      </c>
      <c r="F425" s="5">
        <v>15</v>
      </c>
      <c r="G425" s="5">
        <v>4827</v>
      </c>
      <c r="H425" s="5">
        <v>0</v>
      </c>
      <c r="I425" s="8">
        <v>0</v>
      </c>
      <c r="J425" s="5">
        <v>1</v>
      </c>
      <c r="K425" s="5">
        <v>0</v>
      </c>
      <c r="L425" s="14">
        <f t="shared" si="30"/>
        <v>0</v>
      </c>
      <c r="M425" s="14" t="str">
        <f t="shared" si="34"/>
        <v xml:space="preserve"> </v>
      </c>
      <c r="N425" s="20">
        <f t="shared" si="31"/>
        <v>0</v>
      </c>
      <c r="O425" s="14" t="str">
        <f t="shared" si="32"/>
        <v xml:space="preserve"> </v>
      </c>
      <c r="P425" s="20">
        <f t="shared" si="33"/>
        <v>0</v>
      </c>
    </row>
    <row r="426" spans="1:16" x14ac:dyDescent="0.25">
      <c r="A426">
        <v>782694</v>
      </c>
      <c r="B426">
        <v>936</v>
      </c>
      <c r="C426">
        <v>116595</v>
      </c>
      <c r="D426" t="s">
        <v>13</v>
      </c>
      <c r="E426" t="s">
        <v>16</v>
      </c>
      <c r="F426" s="5">
        <v>29</v>
      </c>
      <c r="G426" s="5">
        <v>29035</v>
      </c>
      <c r="H426" s="5">
        <v>7</v>
      </c>
      <c r="I426" s="8">
        <v>8.9100000860000002</v>
      </c>
      <c r="J426" s="5">
        <v>2</v>
      </c>
      <c r="K426" s="5">
        <v>2</v>
      </c>
      <c r="L426" s="14">
        <f t="shared" si="30"/>
        <v>0.30687102069915623</v>
      </c>
      <c r="M426" s="14">
        <f t="shared" si="34"/>
        <v>1.2728571551428571</v>
      </c>
      <c r="N426" s="20">
        <f t="shared" si="31"/>
        <v>2.4108834165662132E-4</v>
      </c>
      <c r="O426" s="14">
        <f t="shared" si="32"/>
        <v>4.4550000430000001</v>
      </c>
      <c r="P426" s="20">
        <f t="shared" si="33"/>
        <v>0.2857142857142857</v>
      </c>
    </row>
    <row r="427" spans="1:16" x14ac:dyDescent="0.25">
      <c r="A427">
        <v>782706</v>
      </c>
      <c r="B427">
        <v>936</v>
      </c>
      <c r="C427">
        <v>116597</v>
      </c>
      <c r="D427" t="s">
        <v>13</v>
      </c>
      <c r="E427" t="s">
        <v>16</v>
      </c>
      <c r="F427" s="5">
        <v>30</v>
      </c>
      <c r="G427" s="5">
        <v>761</v>
      </c>
      <c r="H427" s="5">
        <v>0</v>
      </c>
      <c r="I427" s="8">
        <v>0</v>
      </c>
      <c r="J427" s="5">
        <v>1</v>
      </c>
      <c r="K427" s="5">
        <v>0</v>
      </c>
      <c r="L427" s="14">
        <f t="shared" si="30"/>
        <v>0</v>
      </c>
      <c r="M427" s="14" t="str">
        <f t="shared" si="34"/>
        <v xml:space="preserve"> </v>
      </c>
      <c r="N427" s="20">
        <f t="shared" si="31"/>
        <v>0</v>
      </c>
      <c r="O427" s="14" t="str">
        <f t="shared" si="32"/>
        <v xml:space="preserve"> </v>
      </c>
      <c r="P427" s="20">
        <f t="shared" si="33"/>
        <v>0</v>
      </c>
    </row>
    <row r="428" spans="1:16" x14ac:dyDescent="0.25">
      <c r="A428">
        <v>782754</v>
      </c>
      <c r="B428">
        <v>936</v>
      </c>
      <c r="C428">
        <v>116605</v>
      </c>
      <c r="D428" t="s">
        <v>13</v>
      </c>
      <c r="E428" t="s">
        <v>16</v>
      </c>
      <c r="F428" s="5">
        <v>26</v>
      </c>
      <c r="G428" s="5">
        <v>6532</v>
      </c>
      <c r="H428" s="5">
        <v>1</v>
      </c>
      <c r="I428" s="8">
        <v>1.6100000139999999</v>
      </c>
      <c r="J428" s="5">
        <v>1</v>
      </c>
      <c r="K428" s="5">
        <v>0</v>
      </c>
      <c r="L428" s="14">
        <f t="shared" si="30"/>
        <v>0.24647887538273117</v>
      </c>
      <c r="M428" s="14">
        <f t="shared" si="34"/>
        <v>1.6100000139999999</v>
      </c>
      <c r="N428" s="20">
        <f t="shared" si="31"/>
        <v>1.5309246785058175E-4</v>
      </c>
      <c r="O428" s="14" t="str">
        <f t="shared" si="32"/>
        <v xml:space="preserve"> </v>
      </c>
      <c r="P428" s="20">
        <f t="shared" si="33"/>
        <v>0</v>
      </c>
    </row>
    <row r="429" spans="1:16" x14ac:dyDescent="0.25">
      <c r="A429">
        <v>782815</v>
      </c>
      <c r="B429">
        <v>936</v>
      </c>
      <c r="C429">
        <v>116615</v>
      </c>
      <c r="D429" t="s">
        <v>14</v>
      </c>
      <c r="E429" t="s">
        <v>16</v>
      </c>
      <c r="F429" s="5">
        <v>10</v>
      </c>
      <c r="G429" s="5">
        <v>11537</v>
      </c>
      <c r="H429" s="5">
        <v>3</v>
      </c>
      <c r="I429" s="8">
        <v>4.3000001909999996</v>
      </c>
      <c r="J429" s="5">
        <v>1</v>
      </c>
      <c r="K429" s="5">
        <v>0</v>
      </c>
      <c r="L429" s="14">
        <f t="shared" si="30"/>
        <v>0.37271389364652852</v>
      </c>
      <c r="M429" s="14">
        <f t="shared" si="34"/>
        <v>1.433333397</v>
      </c>
      <c r="N429" s="20">
        <f t="shared" si="31"/>
        <v>2.6003293750541737E-4</v>
      </c>
      <c r="O429" s="14" t="str">
        <f t="shared" si="32"/>
        <v xml:space="preserve"> </v>
      </c>
      <c r="P429" s="20">
        <f t="shared" si="33"/>
        <v>0</v>
      </c>
    </row>
    <row r="430" spans="1:16" x14ac:dyDescent="0.25">
      <c r="A430">
        <v>782816</v>
      </c>
      <c r="B430">
        <v>936</v>
      </c>
      <c r="C430">
        <v>116615</v>
      </c>
      <c r="D430" t="s">
        <v>14</v>
      </c>
      <c r="E430" t="s">
        <v>16</v>
      </c>
      <c r="F430" s="5">
        <v>10</v>
      </c>
      <c r="G430" s="5">
        <v>12183</v>
      </c>
      <c r="H430" s="5">
        <v>3</v>
      </c>
      <c r="I430" s="8">
        <v>2.869999945</v>
      </c>
      <c r="J430" s="5">
        <v>1</v>
      </c>
      <c r="K430" s="5">
        <v>0</v>
      </c>
      <c r="L430" s="14">
        <f t="shared" si="30"/>
        <v>0.23557415620126407</v>
      </c>
      <c r="M430" s="14">
        <f t="shared" si="34"/>
        <v>0.95666664833333337</v>
      </c>
      <c r="N430" s="20">
        <f t="shared" si="31"/>
        <v>2.4624476729869491E-4</v>
      </c>
      <c r="O430" s="14" t="str">
        <f t="shared" si="32"/>
        <v xml:space="preserve"> </v>
      </c>
      <c r="P430" s="20">
        <f t="shared" si="33"/>
        <v>0</v>
      </c>
    </row>
    <row r="431" spans="1:16" x14ac:dyDescent="0.25">
      <c r="A431">
        <v>782862</v>
      </c>
      <c r="B431">
        <v>936</v>
      </c>
      <c r="C431">
        <v>116623</v>
      </c>
      <c r="D431" t="s">
        <v>13</v>
      </c>
      <c r="E431" t="s">
        <v>16</v>
      </c>
      <c r="F431" s="5">
        <v>64</v>
      </c>
      <c r="G431" s="5">
        <v>5912</v>
      </c>
      <c r="H431" s="5">
        <v>1</v>
      </c>
      <c r="I431" s="8">
        <v>1.559999943</v>
      </c>
      <c r="J431" s="5">
        <v>1</v>
      </c>
      <c r="K431" s="5">
        <v>1</v>
      </c>
      <c r="L431" s="14">
        <f t="shared" si="30"/>
        <v>0.26387008508119081</v>
      </c>
      <c r="M431" s="14">
        <f t="shared" si="34"/>
        <v>1.559999943</v>
      </c>
      <c r="N431" s="20">
        <f t="shared" si="31"/>
        <v>1.6914749661705008E-4</v>
      </c>
      <c r="O431" s="14">
        <f t="shared" si="32"/>
        <v>1.559999943</v>
      </c>
      <c r="P431" s="20">
        <f t="shared" si="33"/>
        <v>1</v>
      </c>
    </row>
    <row r="432" spans="1:16" x14ac:dyDescent="0.25">
      <c r="A432">
        <v>950068</v>
      </c>
      <c r="B432">
        <v>936</v>
      </c>
      <c r="C432">
        <v>123438</v>
      </c>
      <c r="D432" t="s">
        <v>11</v>
      </c>
      <c r="E432" t="s">
        <v>12</v>
      </c>
      <c r="F432" s="5">
        <v>10</v>
      </c>
      <c r="G432" s="5">
        <v>4012</v>
      </c>
      <c r="H432" s="5">
        <v>1</v>
      </c>
      <c r="I432" s="8">
        <v>1.5700000519999999</v>
      </c>
      <c r="J432" s="5">
        <v>1</v>
      </c>
      <c r="K432" s="5">
        <v>0</v>
      </c>
      <c r="L432" s="14">
        <f t="shared" si="30"/>
        <v>0.39132603489531403</v>
      </c>
      <c r="M432" s="14">
        <f t="shared" si="34"/>
        <v>1.5700000519999999</v>
      </c>
      <c r="N432" s="20">
        <f t="shared" si="31"/>
        <v>2.4925224327018941E-4</v>
      </c>
      <c r="O432" s="14" t="str">
        <f t="shared" si="32"/>
        <v xml:space="preserve"> </v>
      </c>
      <c r="P432" s="20">
        <f t="shared" si="33"/>
        <v>0</v>
      </c>
    </row>
    <row r="433" spans="1:16" x14ac:dyDescent="0.25">
      <c r="A433">
        <v>950078</v>
      </c>
      <c r="B433">
        <v>936</v>
      </c>
      <c r="C433">
        <v>123440</v>
      </c>
      <c r="D433" t="s">
        <v>11</v>
      </c>
      <c r="E433" t="s">
        <v>12</v>
      </c>
      <c r="F433" s="5">
        <v>16</v>
      </c>
      <c r="G433" s="5">
        <v>12396</v>
      </c>
      <c r="H433" s="5">
        <v>2</v>
      </c>
      <c r="I433" s="8">
        <v>3.210000038</v>
      </c>
      <c r="J433" s="5">
        <v>2</v>
      </c>
      <c r="K433" s="5">
        <v>1</v>
      </c>
      <c r="L433" s="14">
        <f t="shared" si="30"/>
        <v>0.25895450451758634</v>
      </c>
      <c r="M433" s="14">
        <f t="shared" si="34"/>
        <v>1.605000019</v>
      </c>
      <c r="N433" s="20">
        <f t="shared" si="31"/>
        <v>1.6134236850596966E-4</v>
      </c>
      <c r="O433" s="14">
        <f t="shared" si="32"/>
        <v>3.210000038</v>
      </c>
      <c r="P433" s="20">
        <f t="shared" si="33"/>
        <v>0.5</v>
      </c>
    </row>
    <row r="434" spans="1:16" x14ac:dyDescent="0.25">
      <c r="A434">
        <v>950079</v>
      </c>
      <c r="B434">
        <v>936</v>
      </c>
      <c r="C434">
        <v>123440</v>
      </c>
      <c r="D434" t="s">
        <v>11</v>
      </c>
      <c r="E434" t="s">
        <v>12</v>
      </c>
      <c r="F434" s="5">
        <v>16</v>
      </c>
      <c r="G434" s="5">
        <v>3142</v>
      </c>
      <c r="H434" s="5">
        <v>0</v>
      </c>
      <c r="I434" s="8">
        <v>0</v>
      </c>
      <c r="J434" s="5">
        <v>2</v>
      </c>
      <c r="K434" s="5">
        <v>2</v>
      </c>
      <c r="L434" s="14">
        <f t="shared" si="30"/>
        <v>0</v>
      </c>
      <c r="M434" s="14" t="str">
        <f t="shared" si="34"/>
        <v xml:space="preserve"> </v>
      </c>
      <c r="N434" s="20">
        <f t="shared" si="31"/>
        <v>0</v>
      </c>
      <c r="O434" s="14">
        <f t="shared" si="32"/>
        <v>0</v>
      </c>
      <c r="P434" s="20">
        <f t="shared" si="33"/>
        <v>0</v>
      </c>
    </row>
    <row r="435" spans="1:16" x14ac:dyDescent="0.25">
      <c r="A435">
        <v>950099</v>
      </c>
      <c r="B435">
        <v>936</v>
      </c>
      <c r="C435">
        <v>123443</v>
      </c>
      <c r="D435" t="s">
        <v>11</v>
      </c>
      <c r="E435" t="s">
        <v>12</v>
      </c>
      <c r="F435" s="5">
        <v>18</v>
      </c>
      <c r="G435" s="5">
        <v>1120</v>
      </c>
      <c r="H435" s="5">
        <v>0</v>
      </c>
      <c r="I435" s="8">
        <v>0</v>
      </c>
      <c r="J435" s="5">
        <v>1</v>
      </c>
      <c r="K435" s="5">
        <v>0</v>
      </c>
      <c r="L435" s="14">
        <f t="shared" si="30"/>
        <v>0</v>
      </c>
      <c r="M435" s="14" t="str">
        <f t="shared" si="34"/>
        <v xml:space="preserve"> </v>
      </c>
      <c r="N435" s="20">
        <f t="shared" si="31"/>
        <v>0</v>
      </c>
      <c r="O435" s="14" t="str">
        <f t="shared" si="32"/>
        <v xml:space="preserve"> </v>
      </c>
      <c r="P435" s="20">
        <f t="shared" si="33"/>
        <v>0</v>
      </c>
    </row>
    <row r="436" spans="1:16" x14ac:dyDescent="0.25">
      <c r="A436">
        <v>950109</v>
      </c>
      <c r="B436">
        <v>936</v>
      </c>
      <c r="C436">
        <v>123445</v>
      </c>
      <c r="D436" t="s">
        <v>11</v>
      </c>
      <c r="E436" t="s">
        <v>12</v>
      </c>
      <c r="F436" s="5">
        <v>20</v>
      </c>
      <c r="G436" s="5">
        <v>343</v>
      </c>
      <c r="H436" s="5">
        <v>0</v>
      </c>
      <c r="I436" s="8">
        <v>0</v>
      </c>
      <c r="J436" s="5">
        <v>1</v>
      </c>
      <c r="K436" s="5">
        <v>1</v>
      </c>
      <c r="L436" s="14">
        <f t="shared" si="30"/>
        <v>0</v>
      </c>
      <c r="M436" s="14" t="str">
        <f t="shared" si="34"/>
        <v xml:space="preserve"> </v>
      </c>
      <c r="N436" s="20">
        <f t="shared" si="31"/>
        <v>0</v>
      </c>
      <c r="O436" s="14">
        <f t="shared" si="32"/>
        <v>0</v>
      </c>
      <c r="P436" s="20">
        <f t="shared" si="33"/>
        <v>0</v>
      </c>
    </row>
    <row r="437" spans="1:16" x14ac:dyDescent="0.25">
      <c r="A437">
        <v>950170</v>
      </c>
      <c r="B437">
        <v>936</v>
      </c>
      <c r="C437">
        <v>123455</v>
      </c>
      <c r="D437" t="s">
        <v>11</v>
      </c>
      <c r="E437" t="s">
        <v>12</v>
      </c>
      <c r="F437" s="5">
        <v>15</v>
      </c>
      <c r="G437" s="5">
        <v>1720</v>
      </c>
      <c r="H437" s="5">
        <v>0</v>
      </c>
      <c r="I437" s="8">
        <v>0</v>
      </c>
      <c r="J437" s="5">
        <v>1</v>
      </c>
      <c r="K437" s="5">
        <v>1</v>
      </c>
      <c r="L437" s="14">
        <f t="shared" si="30"/>
        <v>0</v>
      </c>
      <c r="M437" s="14" t="str">
        <f t="shared" si="34"/>
        <v xml:space="preserve"> </v>
      </c>
      <c r="N437" s="20">
        <f t="shared" si="31"/>
        <v>0</v>
      </c>
      <c r="O437" s="14">
        <f t="shared" si="32"/>
        <v>0</v>
      </c>
      <c r="P437" s="20">
        <f t="shared" si="33"/>
        <v>0</v>
      </c>
    </row>
    <row r="438" spans="1:16" x14ac:dyDescent="0.25">
      <c r="A438">
        <v>950179</v>
      </c>
      <c r="B438">
        <v>936</v>
      </c>
      <c r="C438">
        <v>123457</v>
      </c>
      <c r="D438" t="s">
        <v>11</v>
      </c>
      <c r="E438" t="s">
        <v>12</v>
      </c>
      <c r="F438" s="5">
        <v>16</v>
      </c>
      <c r="G438" s="5">
        <v>3423</v>
      </c>
      <c r="H438" s="5">
        <v>0</v>
      </c>
      <c r="I438" s="8">
        <v>0</v>
      </c>
      <c r="J438" s="5">
        <v>1</v>
      </c>
      <c r="K438" s="5">
        <v>1</v>
      </c>
      <c r="L438" s="14">
        <f t="shared" si="30"/>
        <v>0</v>
      </c>
      <c r="M438" s="14" t="str">
        <f t="shared" si="34"/>
        <v xml:space="preserve"> </v>
      </c>
      <c r="N438" s="20">
        <f t="shared" si="31"/>
        <v>0</v>
      </c>
      <c r="O438" s="14">
        <f t="shared" si="32"/>
        <v>0</v>
      </c>
      <c r="P438" s="20">
        <f t="shared" si="33"/>
        <v>0</v>
      </c>
    </row>
    <row r="439" spans="1:16" x14ac:dyDescent="0.25">
      <c r="A439">
        <v>950182</v>
      </c>
      <c r="B439">
        <v>936</v>
      </c>
      <c r="C439">
        <v>123457</v>
      </c>
      <c r="D439" t="s">
        <v>11</v>
      </c>
      <c r="E439" t="s">
        <v>12</v>
      </c>
      <c r="F439" s="5">
        <v>16</v>
      </c>
      <c r="G439" s="5">
        <v>3242</v>
      </c>
      <c r="H439" s="5">
        <v>0</v>
      </c>
      <c r="I439" s="8">
        <v>0</v>
      </c>
      <c r="J439" s="5">
        <v>1</v>
      </c>
      <c r="K439" s="5">
        <v>0</v>
      </c>
      <c r="L439" s="14">
        <f t="shared" si="30"/>
        <v>0</v>
      </c>
      <c r="M439" s="14" t="str">
        <f t="shared" si="34"/>
        <v xml:space="preserve"> </v>
      </c>
      <c r="N439" s="20">
        <f t="shared" si="31"/>
        <v>0</v>
      </c>
      <c r="O439" s="14" t="str">
        <f t="shared" si="32"/>
        <v xml:space="preserve"> </v>
      </c>
      <c r="P439" s="20">
        <f t="shared" si="33"/>
        <v>0</v>
      </c>
    </row>
    <row r="440" spans="1:16" x14ac:dyDescent="0.25">
      <c r="A440">
        <v>950183</v>
      </c>
      <c r="B440">
        <v>936</v>
      </c>
      <c r="C440">
        <v>123457</v>
      </c>
      <c r="D440" t="s">
        <v>11</v>
      </c>
      <c r="E440" t="s">
        <v>12</v>
      </c>
      <c r="F440" s="5">
        <v>16</v>
      </c>
      <c r="G440" s="5">
        <v>15720</v>
      </c>
      <c r="H440" s="5">
        <v>1</v>
      </c>
      <c r="I440" s="8">
        <v>1.3799999949999999</v>
      </c>
      <c r="J440" s="5">
        <v>1</v>
      </c>
      <c r="K440" s="5">
        <v>0</v>
      </c>
      <c r="L440" s="14">
        <f t="shared" si="30"/>
        <v>8.778625922391857E-2</v>
      </c>
      <c r="M440" s="14">
        <f t="shared" si="34"/>
        <v>1.3799999949999999</v>
      </c>
      <c r="N440" s="20">
        <f t="shared" si="31"/>
        <v>6.3613231552162849E-5</v>
      </c>
      <c r="O440" s="14" t="str">
        <f t="shared" si="32"/>
        <v xml:space="preserve"> </v>
      </c>
      <c r="P440" s="20">
        <f t="shared" si="33"/>
        <v>0</v>
      </c>
    </row>
    <row r="441" spans="1:16" x14ac:dyDescent="0.25">
      <c r="A441">
        <v>950200</v>
      </c>
      <c r="B441">
        <v>936</v>
      </c>
      <c r="C441">
        <v>123460</v>
      </c>
      <c r="D441" t="s">
        <v>11</v>
      </c>
      <c r="E441" t="s">
        <v>12</v>
      </c>
      <c r="F441" s="5">
        <v>10</v>
      </c>
      <c r="G441" s="5">
        <v>1217</v>
      </c>
      <c r="H441" s="5">
        <v>0</v>
      </c>
      <c r="I441" s="8">
        <v>0</v>
      </c>
      <c r="J441" s="5">
        <v>1</v>
      </c>
      <c r="K441" s="5">
        <v>1</v>
      </c>
      <c r="L441" s="14">
        <f t="shared" si="30"/>
        <v>0</v>
      </c>
      <c r="M441" s="14" t="str">
        <f t="shared" si="34"/>
        <v xml:space="preserve"> </v>
      </c>
      <c r="N441" s="20">
        <f t="shared" si="31"/>
        <v>0</v>
      </c>
      <c r="O441" s="14">
        <f t="shared" si="32"/>
        <v>0</v>
      </c>
      <c r="P441" s="20">
        <f t="shared" si="33"/>
        <v>0</v>
      </c>
    </row>
    <row r="442" spans="1:16" x14ac:dyDescent="0.25">
      <c r="A442">
        <v>950224</v>
      </c>
      <c r="B442">
        <v>936</v>
      </c>
      <c r="C442">
        <v>123464</v>
      </c>
      <c r="D442" t="s">
        <v>14</v>
      </c>
      <c r="E442" t="s">
        <v>12</v>
      </c>
      <c r="F442" s="5">
        <v>20</v>
      </c>
      <c r="G442" s="5">
        <v>2367</v>
      </c>
      <c r="H442" s="5">
        <v>2</v>
      </c>
      <c r="I442" s="8">
        <v>2.8399999139999998</v>
      </c>
      <c r="J442" s="5">
        <v>1</v>
      </c>
      <c r="K442" s="5">
        <v>1</v>
      </c>
      <c r="L442" s="14">
        <f t="shared" si="30"/>
        <v>1.1998309733840302</v>
      </c>
      <c r="M442" s="14">
        <f t="shared" si="34"/>
        <v>1.4199999569999999</v>
      </c>
      <c r="N442" s="20">
        <f t="shared" si="31"/>
        <v>8.449514152936206E-4</v>
      </c>
      <c r="O442" s="14">
        <f t="shared" si="32"/>
        <v>2.8399999139999998</v>
      </c>
      <c r="P442" s="20">
        <f t="shared" si="33"/>
        <v>0.5</v>
      </c>
    </row>
    <row r="443" spans="1:16" x14ac:dyDescent="0.25">
      <c r="A443">
        <v>950326</v>
      </c>
      <c r="B443">
        <v>936</v>
      </c>
      <c r="C443">
        <v>123481</v>
      </c>
      <c r="D443" t="s">
        <v>13</v>
      </c>
      <c r="E443" t="s">
        <v>12</v>
      </c>
      <c r="F443" s="5">
        <v>16</v>
      </c>
      <c r="G443" s="5">
        <v>6607</v>
      </c>
      <c r="H443" s="5">
        <v>1</v>
      </c>
      <c r="I443" s="8">
        <v>1.3200000519999999</v>
      </c>
      <c r="J443" s="5">
        <v>2</v>
      </c>
      <c r="K443" s="5">
        <v>0</v>
      </c>
      <c r="L443" s="14">
        <f t="shared" si="30"/>
        <v>0.19978811139700317</v>
      </c>
      <c r="M443" s="14">
        <f t="shared" si="34"/>
        <v>1.3200000519999999</v>
      </c>
      <c r="N443" s="20">
        <f t="shared" si="31"/>
        <v>1.5135462388375965E-4</v>
      </c>
      <c r="O443" s="14" t="str">
        <f t="shared" si="32"/>
        <v xml:space="preserve"> </v>
      </c>
      <c r="P443" s="20">
        <f t="shared" si="33"/>
        <v>0</v>
      </c>
    </row>
    <row r="444" spans="1:16" x14ac:dyDescent="0.25">
      <c r="A444">
        <v>950345</v>
      </c>
      <c r="B444">
        <v>936</v>
      </c>
      <c r="C444">
        <v>123484</v>
      </c>
      <c r="D444" t="s">
        <v>11</v>
      </c>
      <c r="E444" t="s">
        <v>12</v>
      </c>
      <c r="F444" s="5">
        <v>64</v>
      </c>
      <c r="G444" s="5">
        <v>616</v>
      </c>
      <c r="H444" s="5">
        <v>0</v>
      </c>
      <c r="I444" s="8">
        <v>0</v>
      </c>
      <c r="J444" s="5">
        <v>1</v>
      </c>
      <c r="K444" s="5">
        <v>0</v>
      </c>
      <c r="L444" s="14">
        <f t="shared" si="30"/>
        <v>0</v>
      </c>
      <c r="M444" s="14" t="str">
        <f t="shared" si="34"/>
        <v xml:space="preserve"> </v>
      </c>
      <c r="N444" s="20">
        <f t="shared" si="31"/>
        <v>0</v>
      </c>
      <c r="O444" s="14" t="str">
        <f t="shared" si="32"/>
        <v xml:space="preserve"> </v>
      </c>
      <c r="P444" s="20">
        <f t="shared" si="33"/>
        <v>0</v>
      </c>
    </row>
    <row r="445" spans="1:16" x14ac:dyDescent="0.25">
      <c r="A445">
        <v>950452</v>
      </c>
      <c r="B445">
        <v>936</v>
      </c>
      <c r="C445">
        <v>123502</v>
      </c>
      <c r="D445" t="s">
        <v>15</v>
      </c>
      <c r="E445" t="s">
        <v>12</v>
      </c>
      <c r="F445" s="5">
        <v>16</v>
      </c>
      <c r="G445" s="5">
        <v>5537</v>
      </c>
      <c r="H445" s="5">
        <v>1</v>
      </c>
      <c r="I445" s="8">
        <v>1.519999981</v>
      </c>
      <c r="J445" s="5">
        <v>1</v>
      </c>
      <c r="K445" s="5">
        <v>0</v>
      </c>
      <c r="L445" s="14">
        <f t="shared" si="30"/>
        <v>0.27451688296911686</v>
      </c>
      <c r="M445" s="14">
        <f t="shared" si="34"/>
        <v>1.519999981</v>
      </c>
      <c r="N445" s="20">
        <f t="shared" si="31"/>
        <v>1.8060321473722233E-4</v>
      </c>
      <c r="O445" s="14" t="str">
        <f t="shared" si="32"/>
        <v xml:space="preserve"> </v>
      </c>
      <c r="P445" s="20">
        <f t="shared" si="33"/>
        <v>0</v>
      </c>
    </row>
    <row r="446" spans="1:16" x14ac:dyDescent="0.25">
      <c r="A446">
        <v>950463</v>
      </c>
      <c r="B446">
        <v>936</v>
      </c>
      <c r="C446">
        <v>123504</v>
      </c>
      <c r="D446" t="s">
        <v>15</v>
      </c>
      <c r="E446" t="s">
        <v>12</v>
      </c>
      <c r="F446" s="5">
        <v>15</v>
      </c>
      <c r="G446" s="5">
        <v>818</v>
      </c>
      <c r="H446" s="5">
        <v>0</v>
      </c>
      <c r="I446" s="8">
        <v>0</v>
      </c>
      <c r="J446" s="5">
        <v>1</v>
      </c>
      <c r="K446" s="5">
        <v>0</v>
      </c>
      <c r="L446" s="14">
        <f t="shared" si="30"/>
        <v>0</v>
      </c>
      <c r="M446" s="14" t="str">
        <f t="shared" si="34"/>
        <v xml:space="preserve"> </v>
      </c>
      <c r="N446" s="20">
        <f t="shared" si="31"/>
        <v>0</v>
      </c>
      <c r="O446" s="14" t="str">
        <f t="shared" si="32"/>
        <v xml:space="preserve"> </v>
      </c>
      <c r="P446" s="20">
        <f t="shared" si="33"/>
        <v>0</v>
      </c>
    </row>
    <row r="447" spans="1:16" x14ac:dyDescent="0.25">
      <c r="A447">
        <v>950495</v>
      </c>
      <c r="B447">
        <v>936</v>
      </c>
      <c r="C447">
        <v>123509</v>
      </c>
      <c r="D447" t="s">
        <v>15</v>
      </c>
      <c r="E447" t="s">
        <v>12</v>
      </c>
      <c r="F447" s="5">
        <v>21</v>
      </c>
      <c r="G447" s="5">
        <v>1909</v>
      </c>
      <c r="H447" s="5">
        <v>1</v>
      </c>
      <c r="I447" s="8">
        <v>0.980000019</v>
      </c>
      <c r="J447" s="5">
        <v>1</v>
      </c>
      <c r="K447" s="5">
        <v>0</v>
      </c>
      <c r="L447" s="14">
        <f t="shared" si="30"/>
        <v>0.51335778889470929</v>
      </c>
      <c r="M447" s="14">
        <f t="shared" si="34"/>
        <v>0.980000019</v>
      </c>
      <c r="N447" s="20">
        <f t="shared" si="31"/>
        <v>5.2383446830801469E-4</v>
      </c>
      <c r="O447" s="14" t="str">
        <f t="shared" si="32"/>
        <v xml:space="preserve"> </v>
      </c>
      <c r="P447" s="20">
        <f t="shared" si="33"/>
        <v>0</v>
      </c>
    </row>
    <row r="448" spans="1:16" x14ac:dyDescent="0.25">
      <c r="A448">
        <v>950521</v>
      </c>
      <c r="B448">
        <v>936</v>
      </c>
      <c r="C448">
        <v>123514</v>
      </c>
      <c r="D448" t="s">
        <v>11</v>
      </c>
      <c r="E448" t="s">
        <v>12</v>
      </c>
      <c r="F448" s="5">
        <v>21</v>
      </c>
      <c r="G448" s="5">
        <v>351</v>
      </c>
      <c r="H448" s="5">
        <v>0</v>
      </c>
      <c r="I448" s="8">
        <v>0</v>
      </c>
      <c r="J448" s="5">
        <v>1</v>
      </c>
      <c r="K448" s="5">
        <v>0</v>
      </c>
      <c r="L448" s="14">
        <f t="shared" si="30"/>
        <v>0</v>
      </c>
      <c r="M448" s="14" t="str">
        <f t="shared" si="34"/>
        <v xml:space="preserve"> </v>
      </c>
      <c r="N448" s="20">
        <f t="shared" si="31"/>
        <v>0</v>
      </c>
      <c r="O448" s="14" t="str">
        <f t="shared" si="32"/>
        <v xml:space="preserve"> </v>
      </c>
      <c r="P448" s="20">
        <f t="shared" si="33"/>
        <v>0</v>
      </c>
    </row>
    <row r="449" spans="1:16" x14ac:dyDescent="0.25">
      <c r="A449">
        <v>950531</v>
      </c>
      <c r="B449">
        <v>936</v>
      </c>
      <c r="C449">
        <v>123515</v>
      </c>
      <c r="D449" t="s">
        <v>15</v>
      </c>
      <c r="E449" t="s">
        <v>12</v>
      </c>
      <c r="F449" s="5">
        <v>22</v>
      </c>
      <c r="G449" s="5">
        <v>572</v>
      </c>
      <c r="H449" s="5">
        <v>0</v>
      </c>
      <c r="I449" s="8">
        <v>0</v>
      </c>
      <c r="J449" s="5">
        <v>1</v>
      </c>
      <c r="K449" s="5">
        <v>0</v>
      </c>
      <c r="L449" s="14">
        <f t="shared" si="30"/>
        <v>0</v>
      </c>
      <c r="M449" s="14" t="str">
        <f t="shared" si="34"/>
        <v xml:space="preserve"> </v>
      </c>
      <c r="N449" s="20">
        <f t="shared" si="31"/>
        <v>0</v>
      </c>
      <c r="O449" s="14" t="str">
        <f t="shared" si="32"/>
        <v xml:space="preserve"> </v>
      </c>
      <c r="P449" s="20">
        <f t="shared" si="33"/>
        <v>0</v>
      </c>
    </row>
    <row r="450" spans="1:16" x14ac:dyDescent="0.25">
      <c r="A450">
        <v>950537</v>
      </c>
      <c r="B450">
        <v>936</v>
      </c>
      <c r="C450">
        <v>123516</v>
      </c>
      <c r="D450" t="s">
        <v>14</v>
      </c>
      <c r="E450" t="s">
        <v>12</v>
      </c>
      <c r="F450" s="5">
        <v>36</v>
      </c>
      <c r="G450" s="5">
        <v>1884</v>
      </c>
      <c r="H450" s="5">
        <v>1</v>
      </c>
      <c r="I450" s="8">
        <v>1.4099999670000001</v>
      </c>
      <c r="J450" s="5">
        <v>1</v>
      </c>
      <c r="K450" s="5">
        <v>0</v>
      </c>
      <c r="L450" s="14">
        <f t="shared" si="30"/>
        <v>0.74840762579617837</v>
      </c>
      <c r="M450" s="14">
        <f t="shared" si="34"/>
        <v>1.4099999670000001</v>
      </c>
      <c r="N450" s="20">
        <f t="shared" si="31"/>
        <v>5.3078556263269638E-4</v>
      </c>
      <c r="O450" s="14" t="str">
        <f t="shared" si="32"/>
        <v xml:space="preserve"> </v>
      </c>
      <c r="P450" s="20">
        <f t="shared" si="33"/>
        <v>0</v>
      </c>
    </row>
    <row r="451" spans="1:16" x14ac:dyDescent="0.25">
      <c r="A451">
        <v>950550</v>
      </c>
      <c r="B451">
        <v>936</v>
      </c>
      <c r="C451">
        <v>123519</v>
      </c>
      <c r="D451" t="s">
        <v>11</v>
      </c>
      <c r="E451" t="s">
        <v>12</v>
      </c>
      <c r="F451" s="5">
        <v>30</v>
      </c>
      <c r="G451" s="5">
        <v>219</v>
      </c>
      <c r="H451" s="5">
        <v>0</v>
      </c>
      <c r="I451" s="8">
        <v>0</v>
      </c>
      <c r="J451" s="5">
        <v>1</v>
      </c>
      <c r="K451" s="5">
        <v>0</v>
      </c>
      <c r="L451" s="14">
        <f t="shared" ref="L451:L514" si="35">IF(G451=0,0,(I451/G451)*1000)</f>
        <v>0</v>
      </c>
      <c r="M451" s="14" t="str">
        <f t="shared" si="34"/>
        <v xml:space="preserve"> </v>
      </c>
      <c r="N451" s="20">
        <f t="shared" ref="N451:N514" si="36">IF(G451=0,0,(H451/G451))</f>
        <v>0</v>
      </c>
      <c r="O451" s="14" t="str">
        <f t="shared" ref="O451:O514" si="37">IF(K451&gt;0, I451/K451, " ")</f>
        <v xml:space="preserve"> </v>
      </c>
      <c r="P451" s="20">
        <f t="shared" ref="P451:P514" si="38">IF(H451=0,0,(K451/H451))</f>
        <v>0</v>
      </c>
    </row>
    <row r="452" spans="1:16" x14ac:dyDescent="0.25">
      <c r="A452">
        <v>950577</v>
      </c>
      <c r="B452">
        <v>936</v>
      </c>
      <c r="C452">
        <v>123523</v>
      </c>
      <c r="D452" t="s">
        <v>11</v>
      </c>
      <c r="E452" t="s">
        <v>12</v>
      </c>
      <c r="F452" s="5">
        <v>32</v>
      </c>
      <c r="G452" s="5">
        <v>540</v>
      </c>
      <c r="H452" s="5">
        <v>0</v>
      </c>
      <c r="I452" s="8">
        <v>0</v>
      </c>
      <c r="J452" s="5">
        <v>1</v>
      </c>
      <c r="K452" s="5">
        <v>1</v>
      </c>
      <c r="L452" s="14">
        <f t="shared" si="35"/>
        <v>0</v>
      </c>
      <c r="M452" s="14" t="str">
        <f t="shared" si="34"/>
        <v xml:space="preserve"> </v>
      </c>
      <c r="N452" s="20">
        <f t="shared" si="36"/>
        <v>0</v>
      </c>
      <c r="O452" s="14">
        <f t="shared" si="37"/>
        <v>0</v>
      </c>
      <c r="P452" s="20">
        <f t="shared" si="38"/>
        <v>0</v>
      </c>
    </row>
    <row r="453" spans="1:16" x14ac:dyDescent="0.25">
      <c r="A453">
        <v>950578</v>
      </c>
      <c r="B453">
        <v>936</v>
      </c>
      <c r="C453">
        <v>123523</v>
      </c>
      <c r="D453" t="s">
        <v>11</v>
      </c>
      <c r="E453" t="s">
        <v>12</v>
      </c>
      <c r="F453" s="5">
        <v>32</v>
      </c>
      <c r="G453" s="5">
        <v>550</v>
      </c>
      <c r="H453" s="5">
        <v>0</v>
      </c>
      <c r="I453" s="8">
        <v>0</v>
      </c>
      <c r="J453" s="5">
        <v>1</v>
      </c>
      <c r="K453" s="5">
        <v>0</v>
      </c>
      <c r="L453" s="14">
        <f t="shared" si="35"/>
        <v>0</v>
      </c>
      <c r="M453" s="14" t="str">
        <f t="shared" ref="M453:M516" si="39">IF(H453&gt;0, I453/H453, " ")</f>
        <v xml:space="preserve"> </v>
      </c>
      <c r="N453" s="20">
        <f t="shared" si="36"/>
        <v>0</v>
      </c>
      <c r="O453" s="14" t="str">
        <f t="shared" si="37"/>
        <v xml:space="preserve"> </v>
      </c>
      <c r="P453" s="20">
        <f t="shared" si="38"/>
        <v>0</v>
      </c>
    </row>
    <row r="454" spans="1:16" x14ac:dyDescent="0.25">
      <c r="A454">
        <v>950595</v>
      </c>
      <c r="B454">
        <v>936</v>
      </c>
      <c r="C454">
        <v>123526</v>
      </c>
      <c r="D454" t="s">
        <v>11</v>
      </c>
      <c r="E454" t="s">
        <v>12</v>
      </c>
      <c r="F454" s="5">
        <v>26</v>
      </c>
      <c r="G454" s="5">
        <v>465</v>
      </c>
      <c r="H454" s="5">
        <v>0</v>
      </c>
      <c r="I454" s="8">
        <v>0</v>
      </c>
      <c r="J454" s="5">
        <v>1</v>
      </c>
      <c r="K454" s="5">
        <v>0</v>
      </c>
      <c r="L454" s="14">
        <f t="shared" si="35"/>
        <v>0</v>
      </c>
      <c r="M454" s="14" t="str">
        <f t="shared" si="39"/>
        <v xml:space="preserve"> </v>
      </c>
      <c r="N454" s="20">
        <f t="shared" si="36"/>
        <v>0</v>
      </c>
      <c r="O454" s="14" t="str">
        <f t="shared" si="37"/>
        <v xml:space="preserve"> </v>
      </c>
      <c r="P454" s="20">
        <f t="shared" si="38"/>
        <v>0</v>
      </c>
    </row>
    <row r="455" spans="1:16" x14ac:dyDescent="0.25">
      <c r="A455">
        <v>950609</v>
      </c>
      <c r="B455">
        <v>936</v>
      </c>
      <c r="C455">
        <v>123528</v>
      </c>
      <c r="D455" t="s">
        <v>11</v>
      </c>
      <c r="E455" t="s">
        <v>12</v>
      </c>
      <c r="F455" s="5">
        <v>29</v>
      </c>
      <c r="G455" s="5">
        <v>1761</v>
      </c>
      <c r="H455" s="5">
        <v>0</v>
      </c>
      <c r="I455" s="8">
        <v>0</v>
      </c>
      <c r="J455" s="5">
        <v>1</v>
      </c>
      <c r="K455" s="5">
        <v>1</v>
      </c>
      <c r="L455" s="14">
        <f t="shared" si="35"/>
        <v>0</v>
      </c>
      <c r="M455" s="14" t="str">
        <f t="shared" si="39"/>
        <v xml:space="preserve"> </v>
      </c>
      <c r="N455" s="20">
        <f t="shared" si="36"/>
        <v>0</v>
      </c>
      <c r="O455" s="14">
        <f t="shared" si="37"/>
        <v>0</v>
      </c>
      <c r="P455" s="20">
        <f t="shared" si="38"/>
        <v>0</v>
      </c>
    </row>
    <row r="456" spans="1:16" x14ac:dyDescent="0.25">
      <c r="A456">
        <v>950629</v>
      </c>
      <c r="B456">
        <v>936</v>
      </c>
      <c r="C456">
        <v>123532</v>
      </c>
      <c r="D456" t="s">
        <v>11</v>
      </c>
      <c r="E456" t="s">
        <v>12</v>
      </c>
      <c r="F456" s="5">
        <v>65</v>
      </c>
      <c r="G456" s="5">
        <v>152</v>
      </c>
      <c r="H456" s="5">
        <v>0</v>
      </c>
      <c r="I456" s="8">
        <v>0</v>
      </c>
      <c r="J456" s="5">
        <v>1</v>
      </c>
      <c r="K456" s="5">
        <v>1</v>
      </c>
      <c r="L456" s="14">
        <f t="shared" si="35"/>
        <v>0</v>
      </c>
      <c r="M456" s="14" t="str">
        <f t="shared" si="39"/>
        <v xml:space="preserve"> </v>
      </c>
      <c r="N456" s="20">
        <f t="shared" si="36"/>
        <v>0</v>
      </c>
      <c r="O456" s="14">
        <f t="shared" si="37"/>
        <v>0</v>
      </c>
      <c r="P456" s="20">
        <f t="shared" si="38"/>
        <v>0</v>
      </c>
    </row>
    <row r="457" spans="1:16" x14ac:dyDescent="0.25">
      <c r="A457">
        <v>950631</v>
      </c>
      <c r="B457">
        <v>936</v>
      </c>
      <c r="C457">
        <v>123532</v>
      </c>
      <c r="D457" t="s">
        <v>11</v>
      </c>
      <c r="E457" t="s">
        <v>12</v>
      </c>
      <c r="F457" s="5">
        <v>65</v>
      </c>
      <c r="G457" s="5">
        <v>152</v>
      </c>
      <c r="H457" s="5">
        <v>0</v>
      </c>
      <c r="I457" s="8">
        <v>0</v>
      </c>
      <c r="J457" s="5">
        <v>1</v>
      </c>
      <c r="K457" s="5">
        <v>1</v>
      </c>
      <c r="L457" s="14">
        <f t="shared" si="35"/>
        <v>0</v>
      </c>
      <c r="M457" s="14" t="str">
        <f t="shared" si="39"/>
        <v xml:space="preserve"> </v>
      </c>
      <c r="N457" s="20">
        <f t="shared" si="36"/>
        <v>0</v>
      </c>
      <c r="O457" s="14">
        <f t="shared" si="37"/>
        <v>0</v>
      </c>
      <c r="P457" s="20">
        <f t="shared" si="38"/>
        <v>0</v>
      </c>
    </row>
    <row r="458" spans="1:16" x14ac:dyDescent="0.25">
      <c r="A458">
        <v>950649</v>
      </c>
      <c r="B458">
        <v>936</v>
      </c>
      <c r="C458">
        <v>123535</v>
      </c>
      <c r="D458" t="s">
        <v>11</v>
      </c>
      <c r="E458" t="s">
        <v>12</v>
      </c>
      <c r="F458" s="5">
        <v>64</v>
      </c>
      <c r="G458" s="5">
        <v>429</v>
      </c>
      <c r="H458" s="5">
        <v>0</v>
      </c>
      <c r="I458" s="8">
        <v>0</v>
      </c>
      <c r="J458" s="5">
        <v>1</v>
      </c>
      <c r="K458" s="5">
        <v>0</v>
      </c>
      <c r="L458" s="14">
        <f t="shared" si="35"/>
        <v>0</v>
      </c>
      <c r="M458" s="14" t="str">
        <f t="shared" si="39"/>
        <v xml:space="preserve"> </v>
      </c>
      <c r="N458" s="20">
        <f t="shared" si="36"/>
        <v>0</v>
      </c>
      <c r="O458" s="14" t="str">
        <f t="shared" si="37"/>
        <v xml:space="preserve"> </v>
      </c>
      <c r="P458" s="20">
        <f t="shared" si="38"/>
        <v>0</v>
      </c>
    </row>
    <row r="459" spans="1:16" x14ac:dyDescent="0.25">
      <c r="A459">
        <v>950745</v>
      </c>
      <c r="B459">
        <v>936</v>
      </c>
      <c r="C459">
        <v>123551</v>
      </c>
      <c r="D459" t="s">
        <v>11</v>
      </c>
      <c r="E459" t="s">
        <v>12</v>
      </c>
      <c r="F459" s="5">
        <v>29</v>
      </c>
      <c r="G459" s="5">
        <v>1514</v>
      </c>
      <c r="H459" s="5">
        <v>0</v>
      </c>
      <c r="I459" s="8">
        <v>0</v>
      </c>
      <c r="J459" s="5">
        <v>2</v>
      </c>
      <c r="K459" s="5">
        <v>2</v>
      </c>
      <c r="L459" s="14">
        <f t="shared" si="35"/>
        <v>0</v>
      </c>
      <c r="M459" s="14" t="str">
        <f t="shared" si="39"/>
        <v xml:space="preserve"> </v>
      </c>
      <c r="N459" s="20">
        <f t="shared" si="36"/>
        <v>0</v>
      </c>
      <c r="O459" s="14">
        <f t="shared" si="37"/>
        <v>0</v>
      </c>
      <c r="P459" s="20">
        <f t="shared" si="38"/>
        <v>0</v>
      </c>
    </row>
    <row r="460" spans="1:16" x14ac:dyDescent="0.25">
      <c r="A460">
        <v>950770</v>
      </c>
      <c r="B460">
        <v>936</v>
      </c>
      <c r="C460">
        <v>123555</v>
      </c>
      <c r="D460" t="s">
        <v>11</v>
      </c>
      <c r="E460" t="s">
        <v>12</v>
      </c>
      <c r="F460" s="5">
        <v>28</v>
      </c>
      <c r="G460" s="5">
        <v>7780</v>
      </c>
      <c r="H460" s="5">
        <v>3</v>
      </c>
      <c r="I460" s="8">
        <v>4.329999924</v>
      </c>
      <c r="J460" s="5">
        <v>2</v>
      </c>
      <c r="K460" s="5">
        <v>2</v>
      </c>
      <c r="L460" s="14">
        <f t="shared" si="35"/>
        <v>0.55655526015424162</v>
      </c>
      <c r="M460" s="14">
        <f t="shared" si="39"/>
        <v>1.4433333079999999</v>
      </c>
      <c r="N460" s="20">
        <f t="shared" si="36"/>
        <v>3.8560411311053987E-4</v>
      </c>
      <c r="O460" s="14">
        <f t="shared" si="37"/>
        <v>2.164999962</v>
      </c>
      <c r="P460" s="20">
        <f t="shared" si="38"/>
        <v>0.66666666666666663</v>
      </c>
    </row>
    <row r="461" spans="1:16" x14ac:dyDescent="0.25">
      <c r="A461">
        <v>950772</v>
      </c>
      <c r="B461">
        <v>936</v>
      </c>
      <c r="C461">
        <v>123556</v>
      </c>
      <c r="D461" t="s">
        <v>13</v>
      </c>
      <c r="E461" t="s">
        <v>12</v>
      </c>
      <c r="F461" s="5">
        <v>28</v>
      </c>
      <c r="G461" s="5">
        <v>460</v>
      </c>
      <c r="H461" s="5">
        <v>0</v>
      </c>
      <c r="I461" s="8">
        <v>0</v>
      </c>
      <c r="J461" s="5">
        <v>1</v>
      </c>
      <c r="K461" s="5">
        <v>0</v>
      </c>
      <c r="L461" s="14">
        <f t="shared" si="35"/>
        <v>0</v>
      </c>
      <c r="M461" s="14" t="str">
        <f t="shared" si="39"/>
        <v xml:space="preserve"> </v>
      </c>
      <c r="N461" s="20">
        <f t="shared" si="36"/>
        <v>0</v>
      </c>
      <c r="O461" s="14" t="str">
        <f t="shared" si="37"/>
        <v xml:space="preserve"> </v>
      </c>
      <c r="P461" s="20">
        <f t="shared" si="38"/>
        <v>0</v>
      </c>
    </row>
    <row r="462" spans="1:16" x14ac:dyDescent="0.25">
      <c r="A462">
        <v>950773</v>
      </c>
      <c r="B462">
        <v>936</v>
      </c>
      <c r="C462">
        <v>123556</v>
      </c>
      <c r="D462" t="s">
        <v>13</v>
      </c>
      <c r="E462" t="s">
        <v>12</v>
      </c>
      <c r="F462" s="5">
        <v>28</v>
      </c>
      <c r="G462" s="5">
        <v>471</v>
      </c>
      <c r="H462" s="5">
        <v>0</v>
      </c>
      <c r="I462" s="8">
        <v>0</v>
      </c>
      <c r="J462" s="5">
        <v>1</v>
      </c>
      <c r="K462" s="5">
        <v>0</v>
      </c>
      <c r="L462" s="14">
        <f t="shared" si="35"/>
        <v>0</v>
      </c>
      <c r="M462" s="14" t="str">
        <f t="shared" si="39"/>
        <v xml:space="preserve"> </v>
      </c>
      <c r="N462" s="20">
        <f t="shared" si="36"/>
        <v>0</v>
      </c>
      <c r="O462" s="14" t="str">
        <f t="shared" si="37"/>
        <v xml:space="preserve"> </v>
      </c>
      <c r="P462" s="20">
        <f t="shared" si="38"/>
        <v>0</v>
      </c>
    </row>
    <row r="463" spans="1:16" x14ac:dyDescent="0.25">
      <c r="A463">
        <v>950776</v>
      </c>
      <c r="B463">
        <v>936</v>
      </c>
      <c r="C463">
        <v>123556</v>
      </c>
      <c r="D463" t="s">
        <v>13</v>
      </c>
      <c r="E463" t="s">
        <v>12</v>
      </c>
      <c r="F463" s="5">
        <v>28</v>
      </c>
      <c r="G463" s="5">
        <v>2633</v>
      </c>
      <c r="H463" s="5">
        <v>1</v>
      </c>
      <c r="I463" s="8">
        <v>1.0700000519999999</v>
      </c>
      <c r="J463" s="5">
        <v>1</v>
      </c>
      <c r="K463" s="5">
        <v>0</v>
      </c>
      <c r="L463" s="14">
        <f t="shared" si="35"/>
        <v>0.40638057424990504</v>
      </c>
      <c r="M463" s="14">
        <f t="shared" si="39"/>
        <v>1.0700000519999999</v>
      </c>
      <c r="N463" s="20">
        <f t="shared" si="36"/>
        <v>3.7979491074819596E-4</v>
      </c>
      <c r="O463" s="14" t="str">
        <f t="shared" si="37"/>
        <v xml:space="preserve"> </v>
      </c>
      <c r="P463" s="20">
        <f t="shared" si="38"/>
        <v>0</v>
      </c>
    </row>
    <row r="464" spans="1:16" x14ac:dyDescent="0.25">
      <c r="A464">
        <v>950787</v>
      </c>
      <c r="B464">
        <v>936</v>
      </c>
      <c r="C464">
        <v>123558</v>
      </c>
      <c r="D464" t="s">
        <v>11</v>
      </c>
      <c r="E464" t="s">
        <v>12</v>
      </c>
      <c r="F464" s="5">
        <v>27</v>
      </c>
      <c r="G464" s="5">
        <v>199</v>
      </c>
      <c r="H464" s="5">
        <v>0</v>
      </c>
      <c r="I464" s="8">
        <v>0</v>
      </c>
      <c r="J464" s="5">
        <v>1</v>
      </c>
      <c r="K464" s="5">
        <v>0</v>
      </c>
      <c r="L464" s="14">
        <f t="shared" si="35"/>
        <v>0</v>
      </c>
      <c r="M464" s="14" t="str">
        <f t="shared" si="39"/>
        <v xml:space="preserve"> </v>
      </c>
      <c r="N464" s="20">
        <f t="shared" si="36"/>
        <v>0</v>
      </c>
      <c r="O464" s="14" t="str">
        <f t="shared" si="37"/>
        <v xml:space="preserve"> </v>
      </c>
      <c r="P464" s="20">
        <f t="shared" si="38"/>
        <v>0</v>
      </c>
    </row>
    <row r="465" spans="1:16" x14ac:dyDescent="0.25">
      <c r="A465">
        <v>950808</v>
      </c>
      <c r="B465">
        <v>936</v>
      </c>
      <c r="C465">
        <v>123562</v>
      </c>
      <c r="D465" t="s">
        <v>13</v>
      </c>
      <c r="E465" t="s">
        <v>12</v>
      </c>
      <c r="F465" s="5">
        <v>32</v>
      </c>
      <c r="G465" s="5">
        <v>398</v>
      </c>
      <c r="H465" s="5">
        <v>0</v>
      </c>
      <c r="I465" s="8">
        <v>0</v>
      </c>
      <c r="J465" s="5">
        <v>1</v>
      </c>
      <c r="K465" s="5">
        <v>0</v>
      </c>
      <c r="L465" s="14">
        <f t="shared" si="35"/>
        <v>0</v>
      </c>
      <c r="M465" s="14" t="str">
        <f t="shared" si="39"/>
        <v xml:space="preserve"> </v>
      </c>
      <c r="N465" s="20">
        <f t="shared" si="36"/>
        <v>0</v>
      </c>
      <c r="O465" s="14" t="str">
        <f t="shared" si="37"/>
        <v xml:space="preserve"> </v>
      </c>
      <c r="P465" s="20">
        <f t="shared" si="38"/>
        <v>0</v>
      </c>
    </row>
    <row r="466" spans="1:16" x14ac:dyDescent="0.25">
      <c r="A466">
        <v>950839</v>
      </c>
      <c r="B466">
        <v>936</v>
      </c>
      <c r="C466">
        <v>123567</v>
      </c>
      <c r="D466" t="s">
        <v>11</v>
      </c>
      <c r="E466" t="s">
        <v>12</v>
      </c>
      <c r="F466" s="5">
        <v>24</v>
      </c>
      <c r="G466" s="5">
        <v>246</v>
      </c>
      <c r="H466" s="5">
        <v>0</v>
      </c>
      <c r="I466" s="8">
        <v>0</v>
      </c>
      <c r="J466" s="5">
        <v>2</v>
      </c>
      <c r="K466" s="5">
        <v>2</v>
      </c>
      <c r="L466" s="14">
        <f t="shared" si="35"/>
        <v>0</v>
      </c>
      <c r="M466" s="14" t="str">
        <f t="shared" si="39"/>
        <v xml:space="preserve"> </v>
      </c>
      <c r="N466" s="20">
        <f t="shared" si="36"/>
        <v>0</v>
      </c>
      <c r="O466" s="14">
        <f t="shared" si="37"/>
        <v>0</v>
      </c>
      <c r="P466" s="20">
        <f t="shared" si="38"/>
        <v>0</v>
      </c>
    </row>
    <row r="467" spans="1:16" x14ac:dyDescent="0.25">
      <c r="A467">
        <v>950878</v>
      </c>
      <c r="B467">
        <v>936</v>
      </c>
      <c r="C467">
        <v>123573</v>
      </c>
      <c r="D467" t="s">
        <v>14</v>
      </c>
      <c r="E467" t="s">
        <v>12</v>
      </c>
      <c r="F467" s="5">
        <v>10</v>
      </c>
      <c r="G467" s="5">
        <v>2967</v>
      </c>
      <c r="H467" s="5">
        <v>1</v>
      </c>
      <c r="I467" s="8">
        <v>1.5</v>
      </c>
      <c r="J467" s="5">
        <v>1</v>
      </c>
      <c r="K467" s="5">
        <v>1</v>
      </c>
      <c r="L467" s="14">
        <f t="shared" si="35"/>
        <v>0.50556117290192115</v>
      </c>
      <c r="M467" s="14">
        <f t="shared" si="39"/>
        <v>1.5</v>
      </c>
      <c r="N467" s="20">
        <f t="shared" si="36"/>
        <v>3.370407819346141E-4</v>
      </c>
      <c r="O467" s="14">
        <f t="shared" si="37"/>
        <v>1.5</v>
      </c>
      <c r="P467" s="20">
        <f t="shared" si="38"/>
        <v>1</v>
      </c>
    </row>
    <row r="468" spans="1:16" x14ac:dyDescent="0.25">
      <c r="A468">
        <v>950969</v>
      </c>
      <c r="B468">
        <v>936</v>
      </c>
      <c r="C468">
        <v>123588</v>
      </c>
      <c r="D468" t="s">
        <v>15</v>
      </c>
      <c r="E468" t="s">
        <v>12</v>
      </c>
      <c r="F468" s="5">
        <v>36</v>
      </c>
      <c r="G468" s="5">
        <v>255</v>
      </c>
      <c r="H468" s="5">
        <v>0</v>
      </c>
      <c r="I468" s="8">
        <v>0</v>
      </c>
      <c r="J468" s="5">
        <v>1</v>
      </c>
      <c r="K468" s="5">
        <v>0</v>
      </c>
      <c r="L468" s="14">
        <f t="shared" si="35"/>
        <v>0</v>
      </c>
      <c r="M468" s="14" t="str">
        <f t="shared" si="39"/>
        <v xml:space="preserve"> </v>
      </c>
      <c r="N468" s="20">
        <f t="shared" si="36"/>
        <v>0</v>
      </c>
      <c r="O468" s="14" t="str">
        <f t="shared" si="37"/>
        <v xml:space="preserve"> </v>
      </c>
      <c r="P468" s="20">
        <f t="shared" si="38"/>
        <v>0</v>
      </c>
    </row>
    <row r="469" spans="1:16" x14ac:dyDescent="0.25">
      <c r="A469">
        <v>951021</v>
      </c>
      <c r="B469">
        <v>936</v>
      </c>
      <c r="C469">
        <v>123597</v>
      </c>
      <c r="D469" t="s">
        <v>11</v>
      </c>
      <c r="E469" t="s">
        <v>16</v>
      </c>
      <c r="F469" s="5">
        <v>7</v>
      </c>
      <c r="G469" s="5">
        <v>457</v>
      </c>
      <c r="H469" s="5">
        <v>0</v>
      </c>
      <c r="I469" s="8">
        <v>0</v>
      </c>
      <c r="J469" s="5">
        <v>1</v>
      </c>
      <c r="K469" s="5">
        <v>1</v>
      </c>
      <c r="L469" s="14">
        <f t="shared" si="35"/>
        <v>0</v>
      </c>
      <c r="M469" s="14" t="str">
        <f t="shared" si="39"/>
        <v xml:space="preserve"> </v>
      </c>
      <c r="N469" s="20">
        <f t="shared" si="36"/>
        <v>0</v>
      </c>
      <c r="O469" s="14">
        <f t="shared" si="37"/>
        <v>0</v>
      </c>
      <c r="P469" s="20">
        <f t="shared" si="38"/>
        <v>0</v>
      </c>
    </row>
    <row r="470" spans="1:16" x14ac:dyDescent="0.25">
      <c r="A470">
        <v>951033</v>
      </c>
      <c r="B470">
        <v>936</v>
      </c>
      <c r="C470">
        <v>123599</v>
      </c>
      <c r="D470" t="s">
        <v>11</v>
      </c>
      <c r="E470" t="s">
        <v>16</v>
      </c>
      <c r="F470" s="5">
        <v>10</v>
      </c>
      <c r="G470" s="5">
        <v>5517</v>
      </c>
      <c r="H470" s="5">
        <v>1</v>
      </c>
      <c r="I470" s="8">
        <v>1.230000019</v>
      </c>
      <c r="J470" s="5">
        <v>1</v>
      </c>
      <c r="K470" s="5">
        <v>0</v>
      </c>
      <c r="L470" s="14">
        <f t="shared" si="35"/>
        <v>0.22294725738626064</v>
      </c>
      <c r="M470" s="14">
        <f t="shared" si="39"/>
        <v>1.230000019</v>
      </c>
      <c r="N470" s="20">
        <f t="shared" si="36"/>
        <v>1.8125793003443902E-4</v>
      </c>
      <c r="O470" s="14" t="str">
        <f t="shared" si="37"/>
        <v xml:space="preserve"> </v>
      </c>
      <c r="P470" s="20">
        <f t="shared" si="38"/>
        <v>0</v>
      </c>
    </row>
    <row r="471" spans="1:16" x14ac:dyDescent="0.25">
      <c r="A471">
        <v>951035</v>
      </c>
      <c r="B471">
        <v>936</v>
      </c>
      <c r="C471">
        <v>123599</v>
      </c>
      <c r="D471" t="s">
        <v>11</v>
      </c>
      <c r="E471" t="s">
        <v>16</v>
      </c>
      <c r="F471" s="5">
        <v>10</v>
      </c>
      <c r="G471" s="5">
        <v>1539</v>
      </c>
      <c r="H471" s="5">
        <v>0</v>
      </c>
      <c r="I471" s="8">
        <v>0</v>
      </c>
      <c r="J471" s="5">
        <v>1</v>
      </c>
      <c r="K471" s="5">
        <v>1</v>
      </c>
      <c r="L471" s="14">
        <f t="shared" si="35"/>
        <v>0</v>
      </c>
      <c r="M471" s="14" t="str">
        <f t="shared" si="39"/>
        <v xml:space="preserve"> </v>
      </c>
      <c r="N471" s="20">
        <f t="shared" si="36"/>
        <v>0</v>
      </c>
      <c r="O471" s="14">
        <f t="shared" si="37"/>
        <v>0</v>
      </c>
      <c r="P471" s="20">
        <f t="shared" si="38"/>
        <v>0</v>
      </c>
    </row>
    <row r="472" spans="1:16" x14ac:dyDescent="0.25">
      <c r="A472">
        <v>951043</v>
      </c>
      <c r="B472">
        <v>936</v>
      </c>
      <c r="C472">
        <v>123601</v>
      </c>
      <c r="D472" t="s">
        <v>11</v>
      </c>
      <c r="E472" t="s">
        <v>16</v>
      </c>
      <c r="F472" s="5">
        <v>16</v>
      </c>
      <c r="G472" s="5">
        <v>3189</v>
      </c>
      <c r="H472" s="5">
        <v>0</v>
      </c>
      <c r="I472" s="8">
        <v>0</v>
      </c>
      <c r="J472" s="5">
        <v>1</v>
      </c>
      <c r="K472" s="5">
        <v>0</v>
      </c>
      <c r="L472" s="14">
        <f t="shared" si="35"/>
        <v>0</v>
      </c>
      <c r="M472" s="14" t="str">
        <f t="shared" si="39"/>
        <v xml:space="preserve"> </v>
      </c>
      <c r="N472" s="20">
        <f t="shared" si="36"/>
        <v>0</v>
      </c>
      <c r="O472" s="14" t="str">
        <f t="shared" si="37"/>
        <v xml:space="preserve"> </v>
      </c>
      <c r="P472" s="20">
        <f t="shared" si="38"/>
        <v>0</v>
      </c>
    </row>
    <row r="473" spans="1:16" x14ac:dyDescent="0.25">
      <c r="A473">
        <v>951045</v>
      </c>
      <c r="B473">
        <v>936</v>
      </c>
      <c r="C473">
        <v>123601</v>
      </c>
      <c r="D473" t="s">
        <v>11</v>
      </c>
      <c r="E473" t="s">
        <v>16</v>
      </c>
      <c r="F473" s="5">
        <v>16</v>
      </c>
      <c r="G473" s="5">
        <v>3348</v>
      </c>
      <c r="H473" s="5">
        <v>0</v>
      </c>
      <c r="I473" s="8">
        <v>0</v>
      </c>
      <c r="J473" s="5">
        <v>1</v>
      </c>
      <c r="K473" s="5">
        <v>0</v>
      </c>
      <c r="L473" s="14">
        <f t="shared" si="35"/>
        <v>0</v>
      </c>
      <c r="M473" s="14" t="str">
        <f t="shared" si="39"/>
        <v xml:space="preserve"> </v>
      </c>
      <c r="N473" s="20">
        <f t="shared" si="36"/>
        <v>0</v>
      </c>
      <c r="O473" s="14" t="str">
        <f t="shared" si="37"/>
        <v xml:space="preserve"> </v>
      </c>
      <c r="P473" s="20">
        <f t="shared" si="38"/>
        <v>0</v>
      </c>
    </row>
    <row r="474" spans="1:16" x14ac:dyDescent="0.25">
      <c r="A474">
        <v>951046</v>
      </c>
      <c r="B474">
        <v>936</v>
      </c>
      <c r="C474">
        <v>123601</v>
      </c>
      <c r="D474" t="s">
        <v>11</v>
      </c>
      <c r="E474" t="s">
        <v>16</v>
      </c>
      <c r="F474" s="5">
        <v>16</v>
      </c>
      <c r="G474" s="5">
        <v>20050</v>
      </c>
      <c r="H474" s="5">
        <v>4</v>
      </c>
      <c r="I474" s="8">
        <v>4.6599998469999999</v>
      </c>
      <c r="J474" s="5">
        <v>4</v>
      </c>
      <c r="K474" s="5">
        <v>1</v>
      </c>
      <c r="L474" s="14">
        <f t="shared" si="35"/>
        <v>0.23241894498753118</v>
      </c>
      <c r="M474" s="14">
        <f t="shared" si="39"/>
        <v>1.16499996175</v>
      </c>
      <c r="N474" s="20">
        <f t="shared" si="36"/>
        <v>1.9950124688279303E-4</v>
      </c>
      <c r="O474" s="14">
        <f t="shared" si="37"/>
        <v>4.6599998469999999</v>
      </c>
      <c r="P474" s="20">
        <f t="shared" si="38"/>
        <v>0.25</v>
      </c>
    </row>
    <row r="475" spans="1:16" x14ac:dyDescent="0.25">
      <c r="A475">
        <v>951102</v>
      </c>
      <c r="B475">
        <v>936</v>
      </c>
      <c r="C475">
        <v>123611</v>
      </c>
      <c r="D475" t="s">
        <v>15</v>
      </c>
      <c r="E475" t="s">
        <v>12</v>
      </c>
      <c r="F475" s="5">
        <v>16</v>
      </c>
      <c r="G475" s="5">
        <v>2254</v>
      </c>
      <c r="H475" s="5">
        <v>0</v>
      </c>
      <c r="I475" s="8">
        <v>0</v>
      </c>
      <c r="J475" s="5">
        <v>1</v>
      </c>
      <c r="K475" s="5">
        <v>0</v>
      </c>
      <c r="L475" s="14">
        <f t="shared" si="35"/>
        <v>0</v>
      </c>
      <c r="M475" s="14" t="str">
        <f t="shared" si="39"/>
        <v xml:space="preserve"> </v>
      </c>
      <c r="N475" s="20">
        <f t="shared" si="36"/>
        <v>0</v>
      </c>
      <c r="O475" s="14" t="str">
        <f t="shared" si="37"/>
        <v xml:space="preserve"> </v>
      </c>
      <c r="P475" s="20">
        <f t="shared" si="38"/>
        <v>0</v>
      </c>
    </row>
    <row r="476" spans="1:16" x14ac:dyDescent="0.25">
      <c r="A476">
        <v>951105</v>
      </c>
      <c r="B476">
        <v>936</v>
      </c>
      <c r="C476">
        <v>123611</v>
      </c>
      <c r="D476" t="s">
        <v>15</v>
      </c>
      <c r="E476" t="s">
        <v>12</v>
      </c>
      <c r="F476" s="5">
        <v>16</v>
      </c>
      <c r="G476" s="5">
        <v>5894</v>
      </c>
      <c r="H476" s="5">
        <v>1</v>
      </c>
      <c r="I476" s="8">
        <v>1.539999962</v>
      </c>
      <c r="J476" s="5">
        <v>1</v>
      </c>
      <c r="K476" s="5">
        <v>1</v>
      </c>
      <c r="L476" s="14">
        <f t="shared" si="35"/>
        <v>0.26128265388530714</v>
      </c>
      <c r="M476" s="14">
        <f t="shared" si="39"/>
        <v>1.539999962</v>
      </c>
      <c r="N476" s="20">
        <f t="shared" si="36"/>
        <v>1.6966406515100103E-4</v>
      </c>
      <c r="O476" s="14">
        <f t="shared" si="37"/>
        <v>1.539999962</v>
      </c>
      <c r="P476" s="20">
        <f t="shared" si="38"/>
        <v>1</v>
      </c>
    </row>
    <row r="477" spans="1:16" x14ac:dyDescent="0.25">
      <c r="A477">
        <v>951133</v>
      </c>
      <c r="B477">
        <v>936</v>
      </c>
      <c r="C477">
        <v>123616</v>
      </c>
      <c r="D477" t="s">
        <v>13</v>
      </c>
      <c r="E477" t="s">
        <v>12</v>
      </c>
      <c r="F477" s="5">
        <v>16</v>
      </c>
      <c r="G477" s="5">
        <v>9948</v>
      </c>
      <c r="H477" s="5">
        <v>2</v>
      </c>
      <c r="I477" s="8">
        <v>2.7200000289999999</v>
      </c>
      <c r="J477" s="5">
        <v>2</v>
      </c>
      <c r="K477" s="5">
        <v>0</v>
      </c>
      <c r="L477" s="14">
        <f t="shared" si="35"/>
        <v>0.27342179624045032</v>
      </c>
      <c r="M477" s="14">
        <f t="shared" si="39"/>
        <v>1.3600000145</v>
      </c>
      <c r="N477" s="20">
        <f t="shared" si="36"/>
        <v>2.010454362685967E-4</v>
      </c>
      <c r="O477" s="14" t="str">
        <f t="shared" si="37"/>
        <v xml:space="preserve"> </v>
      </c>
      <c r="P477" s="20">
        <f t="shared" si="38"/>
        <v>0</v>
      </c>
    </row>
    <row r="478" spans="1:16" x14ac:dyDescent="0.25">
      <c r="A478">
        <v>951202</v>
      </c>
      <c r="B478">
        <v>936</v>
      </c>
      <c r="C478">
        <v>123627</v>
      </c>
      <c r="D478" t="s">
        <v>15</v>
      </c>
      <c r="E478" t="s">
        <v>16</v>
      </c>
      <c r="F478" s="5">
        <v>26</v>
      </c>
      <c r="G478" s="5">
        <v>5307</v>
      </c>
      <c r="H478" s="5">
        <v>3</v>
      </c>
      <c r="I478" s="8">
        <v>4.2899999619999996</v>
      </c>
      <c r="J478" s="5">
        <v>2</v>
      </c>
      <c r="K478" s="5">
        <v>1</v>
      </c>
      <c r="L478" s="14">
        <f t="shared" si="35"/>
        <v>0.80836630148859989</v>
      </c>
      <c r="M478" s="14">
        <f t="shared" si="39"/>
        <v>1.4299999873333331</v>
      </c>
      <c r="N478" s="20">
        <f t="shared" si="36"/>
        <v>5.6529112492933857E-4</v>
      </c>
      <c r="O478" s="14">
        <f t="shared" si="37"/>
        <v>4.2899999619999996</v>
      </c>
      <c r="P478" s="20">
        <f t="shared" si="38"/>
        <v>0.33333333333333331</v>
      </c>
    </row>
    <row r="479" spans="1:16" x14ac:dyDescent="0.25">
      <c r="A479">
        <v>951225</v>
      </c>
      <c r="B479">
        <v>936</v>
      </c>
      <c r="C479">
        <v>123631</v>
      </c>
      <c r="D479" t="s">
        <v>13</v>
      </c>
      <c r="E479" t="s">
        <v>16</v>
      </c>
      <c r="F479" s="5">
        <v>22</v>
      </c>
      <c r="G479" s="5">
        <v>4621</v>
      </c>
      <c r="H479" s="5">
        <v>2</v>
      </c>
      <c r="I479" s="8">
        <v>3.25</v>
      </c>
      <c r="J479" s="5">
        <v>1</v>
      </c>
      <c r="K479" s="5">
        <v>1</v>
      </c>
      <c r="L479" s="14">
        <f t="shared" si="35"/>
        <v>0.70331097165115775</v>
      </c>
      <c r="M479" s="14">
        <f t="shared" si="39"/>
        <v>1.625</v>
      </c>
      <c r="N479" s="20">
        <f t="shared" si="36"/>
        <v>4.3280675178532783E-4</v>
      </c>
      <c r="O479" s="14">
        <f t="shared" si="37"/>
        <v>3.25</v>
      </c>
      <c r="P479" s="20">
        <f t="shared" si="38"/>
        <v>0.5</v>
      </c>
    </row>
    <row r="480" spans="1:16" x14ac:dyDescent="0.25">
      <c r="A480">
        <v>951270</v>
      </c>
      <c r="B480">
        <v>936</v>
      </c>
      <c r="C480">
        <v>123639</v>
      </c>
      <c r="D480" t="s">
        <v>13</v>
      </c>
      <c r="E480" t="s">
        <v>16</v>
      </c>
      <c r="F480" s="5">
        <v>18</v>
      </c>
      <c r="G480" s="5">
        <v>784</v>
      </c>
      <c r="H480" s="5">
        <v>0</v>
      </c>
      <c r="I480" s="8">
        <v>0</v>
      </c>
      <c r="J480" s="5">
        <v>1</v>
      </c>
      <c r="K480" s="5">
        <v>1</v>
      </c>
      <c r="L480" s="14">
        <f t="shared" si="35"/>
        <v>0</v>
      </c>
      <c r="M480" s="14" t="str">
        <f t="shared" si="39"/>
        <v xml:space="preserve"> </v>
      </c>
      <c r="N480" s="20">
        <f t="shared" si="36"/>
        <v>0</v>
      </c>
      <c r="O480" s="14">
        <f t="shared" si="37"/>
        <v>0</v>
      </c>
      <c r="P480" s="20">
        <f t="shared" si="38"/>
        <v>0</v>
      </c>
    </row>
    <row r="481" spans="1:16" x14ac:dyDescent="0.25">
      <c r="A481">
        <v>951282</v>
      </c>
      <c r="B481">
        <v>936</v>
      </c>
      <c r="C481">
        <v>123641</v>
      </c>
      <c r="D481" t="s">
        <v>13</v>
      </c>
      <c r="E481" t="s">
        <v>16</v>
      </c>
      <c r="F481" s="5">
        <v>16</v>
      </c>
      <c r="G481" s="5">
        <v>5775</v>
      </c>
      <c r="H481" s="5">
        <v>1</v>
      </c>
      <c r="I481" s="8">
        <v>1.5800000430000001</v>
      </c>
      <c r="J481" s="5">
        <v>1</v>
      </c>
      <c r="K481" s="5">
        <v>1</v>
      </c>
      <c r="L481" s="14">
        <f t="shared" si="35"/>
        <v>0.27359308103896107</v>
      </c>
      <c r="M481" s="14">
        <f t="shared" si="39"/>
        <v>1.5800000430000001</v>
      </c>
      <c r="N481" s="20">
        <f t="shared" si="36"/>
        <v>1.7316017316017316E-4</v>
      </c>
      <c r="O481" s="14">
        <f t="shared" si="37"/>
        <v>1.5800000430000001</v>
      </c>
      <c r="P481" s="20">
        <f t="shared" si="38"/>
        <v>1</v>
      </c>
    </row>
    <row r="482" spans="1:16" x14ac:dyDescent="0.25">
      <c r="A482">
        <v>951285</v>
      </c>
      <c r="B482">
        <v>936</v>
      </c>
      <c r="C482">
        <v>123641</v>
      </c>
      <c r="D482" t="s">
        <v>13</v>
      </c>
      <c r="E482" t="s">
        <v>16</v>
      </c>
      <c r="F482" s="5">
        <v>16</v>
      </c>
      <c r="G482" s="5">
        <v>9297</v>
      </c>
      <c r="H482" s="5">
        <v>2</v>
      </c>
      <c r="I482" s="8">
        <v>2.619999886</v>
      </c>
      <c r="J482" s="5">
        <v>2</v>
      </c>
      <c r="K482" s="5">
        <v>1</v>
      </c>
      <c r="L482" s="14">
        <f t="shared" si="35"/>
        <v>0.28181132472840703</v>
      </c>
      <c r="M482" s="14">
        <f t="shared" si="39"/>
        <v>1.309999943</v>
      </c>
      <c r="N482" s="20">
        <f t="shared" si="36"/>
        <v>2.1512315800795956E-4</v>
      </c>
      <c r="O482" s="14">
        <f t="shared" si="37"/>
        <v>2.619999886</v>
      </c>
      <c r="P482" s="20">
        <f t="shared" si="38"/>
        <v>0.5</v>
      </c>
    </row>
    <row r="483" spans="1:16" x14ac:dyDescent="0.25">
      <c r="A483">
        <v>951294</v>
      </c>
      <c r="B483">
        <v>936</v>
      </c>
      <c r="C483">
        <v>123643</v>
      </c>
      <c r="D483" t="s">
        <v>13</v>
      </c>
      <c r="E483" t="s">
        <v>16</v>
      </c>
      <c r="F483" s="5">
        <v>15</v>
      </c>
      <c r="G483" s="5">
        <v>699</v>
      </c>
      <c r="H483" s="5">
        <v>0</v>
      </c>
      <c r="I483" s="8">
        <v>0</v>
      </c>
      <c r="J483" s="5">
        <v>1</v>
      </c>
      <c r="K483" s="5">
        <v>0</v>
      </c>
      <c r="L483" s="14">
        <f t="shared" si="35"/>
        <v>0</v>
      </c>
      <c r="M483" s="14" t="str">
        <f t="shared" si="39"/>
        <v xml:space="preserve"> </v>
      </c>
      <c r="N483" s="20">
        <f t="shared" si="36"/>
        <v>0</v>
      </c>
      <c r="O483" s="14" t="str">
        <f t="shared" si="37"/>
        <v xml:space="preserve"> </v>
      </c>
      <c r="P483" s="20">
        <f t="shared" si="38"/>
        <v>0</v>
      </c>
    </row>
    <row r="484" spans="1:16" x14ac:dyDescent="0.25">
      <c r="A484">
        <v>951305</v>
      </c>
      <c r="B484">
        <v>936</v>
      </c>
      <c r="C484">
        <v>123644</v>
      </c>
      <c r="D484" t="s">
        <v>13</v>
      </c>
      <c r="E484" t="s">
        <v>16</v>
      </c>
      <c r="F484" s="5">
        <v>10</v>
      </c>
      <c r="G484" s="5">
        <v>1104</v>
      </c>
      <c r="H484" s="5">
        <v>0</v>
      </c>
      <c r="I484" s="8">
        <v>0</v>
      </c>
      <c r="J484" s="5">
        <v>1</v>
      </c>
      <c r="K484" s="5">
        <v>0</v>
      </c>
      <c r="L484" s="14">
        <f t="shared" si="35"/>
        <v>0</v>
      </c>
      <c r="M484" s="14" t="str">
        <f t="shared" si="39"/>
        <v xml:space="preserve"> </v>
      </c>
      <c r="N484" s="20">
        <f t="shared" si="36"/>
        <v>0</v>
      </c>
      <c r="O484" s="14" t="str">
        <f t="shared" si="37"/>
        <v xml:space="preserve"> </v>
      </c>
      <c r="P484" s="20">
        <f t="shared" si="38"/>
        <v>0</v>
      </c>
    </row>
    <row r="485" spans="1:16" x14ac:dyDescent="0.25">
      <c r="A485">
        <v>951334</v>
      </c>
      <c r="B485">
        <v>936</v>
      </c>
      <c r="C485">
        <v>123649</v>
      </c>
      <c r="D485" t="s">
        <v>11</v>
      </c>
      <c r="E485" t="s">
        <v>16</v>
      </c>
      <c r="F485" s="5">
        <v>64</v>
      </c>
      <c r="G485" s="5">
        <v>3717</v>
      </c>
      <c r="H485" s="5">
        <v>1</v>
      </c>
      <c r="I485" s="8">
        <v>1.539999962</v>
      </c>
      <c r="J485" s="5">
        <v>1</v>
      </c>
      <c r="K485" s="5">
        <v>0</v>
      </c>
      <c r="L485" s="14">
        <f t="shared" si="35"/>
        <v>0.41431260747914983</v>
      </c>
      <c r="M485" s="14">
        <f t="shared" si="39"/>
        <v>1.539999962</v>
      </c>
      <c r="N485" s="20">
        <f t="shared" si="36"/>
        <v>2.6903416733925207E-4</v>
      </c>
      <c r="O485" s="14" t="str">
        <f t="shared" si="37"/>
        <v xml:space="preserve"> </v>
      </c>
      <c r="P485" s="20">
        <f t="shared" si="38"/>
        <v>0</v>
      </c>
    </row>
    <row r="486" spans="1:16" x14ac:dyDescent="0.25">
      <c r="A486">
        <v>951391</v>
      </c>
      <c r="B486">
        <v>936</v>
      </c>
      <c r="C486">
        <v>123659</v>
      </c>
      <c r="D486" t="s">
        <v>11</v>
      </c>
      <c r="E486" t="s">
        <v>16</v>
      </c>
      <c r="F486" s="5">
        <v>28</v>
      </c>
      <c r="G486" s="5">
        <v>2879</v>
      </c>
      <c r="H486" s="5">
        <v>1</v>
      </c>
      <c r="I486" s="8">
        <v>1.5900000329999999</v>
      </c>
      <c r="J486" s="5">
        <v>2</v>
      </c>
      <c r="K486" s="5">
        <v>2</v>
      </c>
      <c r="L486" s="14">
        <f t="shared" si="35"/>
        <v>0.55227510698159077</v>
      </c>
      <c r="M486" s="14">
        <f t="shared" si="39"/>
        <v>1.5900000329999999</v>
      </c>
      <c r="N486" s="20">
        <f t="shared" si="36"/>
        <v>3.4734282737061478E-4</v>
      </c>
      <c r="O486" s="14">
        <f t="shared" si="37"/>
        <v>0.79500001649999996</v>
      </c>
      <c r="P486" s="20">
        <f t="shared" si="38"/>
        <v>2</v>
      </c>
    </row>
    <row r="487" spans="1:16" x14ac:dyDescent="0.25">
      <c r="A487">
        <v>951392</v>
      </c>
      <c r="B487">
        <v>936</v>
      </c>
      <c r="C487">
        <v>123659</v>
      </c>
      <c r="D487" t="s">
        <v>11</v>
      </c>
      <c r="E487" t="s">
        <v>16</v>
      </c>
      <c r="F487" s="5">
        <v>28</v>
      </c>
      <c r="G487" s="5">
        <v>2749</v>
      </c>
      <c r="H487" s="5">
        <v>1</v>
      </c>
      <c r="I487" s="8">
        <v>1.3899999860000001</v>
      </c>
      <c r="J487" s="5">
        <v>1</v>
      </c>
      <c r="K487" s="5">
        <v>0</v>
      </c>
      <c r="L487" s="14">
        <f t="shared" si="35"/>
        <v>0.5056384088759549</v>
      </c>
      <c r="M487" s="14">
        <f t="shared" si="39"/>
        <v>1.3899999860000001</v>
      </c>
      <c r="N487" s="20">
        <f t="shared" si="36"/>
        <v>3.6376864314296108E-4</v>
      </c>
      <c r="O487" s="14" t="str">
        <f t="shared" si="37"/>
        <v xml:space="preserve"> </v>
      </c>
      <c r="P487" s="20">
        <f t="shared" si="38"/>
        <v>0</v>
      </c>
    </row>
    <row r="488" spans="1:16" x14ac:dyDescent="0.25">
      <c r="A488">
        <v>951400</v>
      </c>
      <c r="B488">
        <v>936</v>
      </c>
      <c r="C488">
        <v>123660</v>
      </c>
      <c r="D488" t="s">
        <v>15</v>
      </c>
      <c r="E488" t="s">
        <v>16</v>
      </c>
      <c r="F488" s="5">
        <v>10</v>
      </c>
      <c r="G488" s="5">
        <v>24028</v>
      </c>
      <c r="H488" s="5">
        <v>9</v>
      </c>
      <c r="I488" s="8">
        <v>12.39000034</v>
      </c>
      <c r="J488" s="5">
        <v>2</v>
      </c>
      <c r="K488" s="5">
        <v>0</v>
      </c>
      <c r="L488" s="14">
        <f t="shared" si="35"/>
        <v>0.51564842433827207</v>
      </c>
      <c r="M488" s="14">
        <f t="shared" si="39"/>
        <v>1.3766667044444445</v>
      </c>
      <c r="N488" s="20">
        <f t="shared" si="36"/>
        <v>3.745630098218745E-4</v>
      </c>
      <c r="O488" s="14" t="str">
        <f t="shared" si="37"/>
        <v xml:space="preserve"> </v>
      </c>
      <c r="P488" s="20">
        <f t="shared" si="38"/>
        <v>0</v>
      </c>
    </row>
    <row r="489" spans="1:16" x14ac:dyDescent="0.25">
      <c r="A489">
        <v>951402</v>
      </c>
      <c r="B489">
        <v>936</v>
      </c>
      <c r="C489">
        <v>123661</v>
      </c>
      <c r="D489" t="s">
        <v>11</v>
      </c>
      <c r="E489" t="s">
        <v>16</v>
      </c>
      <c r="F489" s="5">
        <v>29</v>
      </c>
      <c r="G489" s="5">
        <v>1118</v>
      </c>
      <c r="H489" s="5">
        <v>0</v>
      </c>
      <c r="I489" s="8">
        <v>0</v>
      </c>
      <c r="J489" s="5">
        <v>1</v>
      </c>
      <c r="K489" s="5">
        <v>1</v>
      </c>
      <c r="L489" s="14">
        <f t="shared" si="35"/>
        <v>0</v>
      </c>
      <c r="M489" s="14" t="str">
        <f t="shared" si="39"/>
        <v xml:space="preserve"> </v>
      </c>
      <c r="N489" s="20">
        <f t="shared" si="36"/>
        <v>0</v>
      </c>
      <c r="O489" s="14">
        <f t="shared" si="37"/>
        <v>0</v>
      </c>
      <c r="P489" s="20">
        <f t="shared" si="38"/>
        <v>0</v>
      </c>
    </row>
    <row r="490" spans="1:16" x14ac:dyDescent="0.25">
      <c r="A490">
        <v>951413</v>
      </c>
      <c r="B490">
        <v>936</v>
      </c>
      <c r="C490">
        <v>123662</v>
      </c>
      <c r="D490" t="s">
        <v>11</v>
      </c>
      <c r="E490" t="s">
        <v>16</v>
      </c>
      <c r="F490" s="5">
        <v>26</v>
      </c>
      <c r="G490" s="5">
        <v>1083</v>
      </c>
      <c r="H490" s="5">
        <v>0</v>
      </c>
      <c r="I490" s="8">
        <v>0</v>
      </c>
      <c r="J490" s="5">
        <v>2</v>
      </c>
      <c r="K490" s="5">
        <v>1</v>
      </c>
      <c r="L490" s="14">
        <f t="shared" si="35"/>
        <v>0</v>
      </c>
      <c r="M490" s="14" t="str">
        <f t="shared" si="39"/>
        <v xml:space="preserve"> </v>
      </c>
      <c r="N490" s="20">
        <f t="shared" si="36"/>
        <v>0</v>
      </c>
      <c r="O490" s="14">
        <f t="shared" si="37"/>
        <v>0</v>
      </c>
      <c r="P490" s="20">
        <f t="shared" si="38"/>
        <v>0</v>
      </c>
    </row>
    <row r="491" spans="1:16" x14ac:dyDescent="0.25">
      <c r="A491">
        <v>951420</v>
      </c>
      <c r="B491">
        <v>936</v>
      </c>
      <c r="C491">
        <v>123664</v>
      </c>
      <c r="D491" t="s">
        <v>11</v>
      </c>
      <c r="E491" t="s">
        <v>16</v>
      </c>
      <c r="F491" s="5">
        <v>27</v>
      </c>
      <c r="G491" s="5">
        <v>843</v>
      </c>
      <c r="H491" s="5">
        <v>0</v>
      </c>
      <c r="I491" s="8">
        <v>0</v>
      </c>
      <c r="J491" s="5">
        <v>1</v>
      </c>
      <c r="K491" s="5">
        <v>0</v>
      </c>
      <c r="L491" s="14">
        <f t="shared" si="35"/>
        <v>0</v>
      </c>
      <c r="M491" s="14" t="str">
        <f t="shared" si="39"/>
        <v xml:space="preserve"> </v>
      </c>
      <c r="N491" s="20">
        <f t="shared" si="36"/>
        <v>0</v>
      </c>
      <c r="O491" s="14" t="str">
        <f t="shared" si="37"/>
        <v xml:space="preserve"> </v>
      </c>
      <c r="P491" s="20">
        <f t="shared" si="38"/>
        <v>0</v>
      </c>
    </row>
    <row r="492" spans="1:16" x14ac:dyDescent="0.25">
      <c r="A492">
        <v>951444</v>
      </c>
      <c r="B492">
        <v>936</v>
      </c>
      <c r="C492">
        <v>123668</v>
      </c>
      <c r="D492" t="s">
        <v>11</v>
      </c>
      <c r="E492" t="s">
        <v>16</v>
      </c>
      <c r="F492" s="5">
        <v>25</v>
      </c>
      <c r="G492" s="5">
        <v>2983</v>
      </c>
      <c r="H492" s="5">
        <v>1</v>
      </c>
      <c r="I492" s="8">
        <v>0.97000002900000004</v>
      </c>
      <c r="J492" s="5">
        <v>1</v>
      </c>
      <c r="K492" s="5">
        <v>0</v>
      </c>
      <c r="L492" s="14">
        <f t="shared" si="35"/>
        <v>0.32517600703989274</v>
      </c>
      <c r="M492" s="14">
        <f t="shared" si="39"/>
        <v>0.97000002900000004</v>
      </c>
      <c r="N492" s="20">
        <f t="shared" si="36"/>
        <v>3.3523298692591353E-4</v>
      </c>
      <c r="O492" s="14" t="str">
        <f t="shared" si="37"/>
        <v xml:space="preserve"> </v>
      </c>
      <c r="P492" s="20">
        <f t="shared" si="38"/>
        <v>0</v>
      </c>
    </row>
    <row r="493" spans="1:16" x14ac:dyDescent="0.25">
      <c r="A493">
        <v>951448</v>
      </c>
      <c r="B493">
        <v>936</v>
      </c>
      <c r="C493">
        <v>123668</v>
      </c>
      <c r="D493" t="s">
        <v>11</v>
      </c>
      <c r="E493" t="s">
        <v>16</v>
      </c>
      <c r="F493" s="5">
        <v>25</v>
      </c>
      <c r="G493" s="5">
        <v>696</v>
      </c>
      <c r="H493" s="5">
        <v>0</v>
      </c>
      <c r="I493" s="8">
        <v>0</v>
      </c>
      <c r="J493" s="5">
        <v>1</v>
      </c>
      <c r="K493" s="5">
        <v>0</v>
      </c>
      <c r="L493" s="14">
        <f t="shared" si="35"/>
        <v>0</v>
      </c>
      <c r="M493" s="14" t="str">
        <f t="shared" si="39"/>
        <v xml:space="preserve"> </v>
      </c>
      <c r="N493" s="20">
        <f t="shared" si="36"/>
        <v>0</v>
      </c>
      <c r="O493" s="14" t="str">
        <f t="shared" si="37"/>
        <v xml:space="preserve"> </v>
      </c>
      <c r="P493" s="20">
        <f t="shared" si="38"/>
        <v>0</v>
      </c>
    </row>
    <row r="494" spans="1:16" x14ac:dyDescent="0.25">
      <c r="A494">
        <v>951462</v>
      </c>
      <c r="B494">
        <v>936</v>
      </c>
      <c r="C494">
        <v>123671</v>
      </c>
      <c r="D494" t="s">
        <v>15</v>
      </c>
      <c r="E494" t="s">
        <v>16</v>
      </c>
      <c r="F494" s="5">
        <v>16</v>
      </c>
      <c r="G494" s="5">
        <v>7589</v>
      </c>
      <c r="H494" s="5">
        <v>2</v>
      </c>
      <c r="I494" s="8">
        <v>3.1500000950000002</v>
      </c>
      <c r="J494" s="5">
        <v>1</v>
      </c>
      <c r="K494" s="5">
        <v>1</v>
      </c>
      <c r="L494" s="14">
        <f t="shared" si="35"/>
        <v>0.4150744623797602</v>
      </c>
      <c r="M494" s="14">
        <f t="shared" si="39"/>
        <v>1.5750000475000001</v>
      </c>
      <c r="N494" s="20">
        <f t="shared" si="36"/>
        <v>2.635393332454869E-4</v>
      </c>
      <c r="O494" s="14">
        <f t="shared" si="37"/>
        <v>3.1500000950000002</v>
      </c>
      <c r="P494" s="20">
        <f t="shared" si="38"/>
        <v>0.5</v>
      </c>
    </row>
    <row r="495" spans="1:16" x14ac:dyDescent="0.25">
      <c r="A495">
        <v>951464</v>
      </c>
      <c r="B495">
        <v>936</v>
      </c>
      <c r="C495">
        <v>123671</v>
      </c>
      <c r="D495" t="s">
        <v>15</v>
      </c>
      <c r="E495" t="s">
        <v>16</v>
      </c>
      <c r="F495" s="5">
        <v>16</v>
      </c>
      <c r="G495" s="5">
        <v>20997</v>
      </c>
      <c r="H495" s="5">
        <v>10</v>
      </c>
      <c r="I495" s="8">
        <v>11.94999981</v>
      </c>
      <c r="J495" s="5">
        <v>1</v>
      </c>
      <c r="K495" s="5">
        <v>0</v>
      </c>
      <c r="L495" s="14">
        <f t="shared" si="35"/>
        <v>0.56912891413059008</v>
      </c>
      <c r="M495" s="14">
        <f t="shared" si="39"/>
        <v>1.194999981</v>
      </c>
      <c r="N495" s="20">
        <f t="shared" si="36"/>
        <v>4.7625851312092202E-4</v>
      </c>
      <c r="O495" s="14" t="str">
        <f t="shared" si="37"/>
        <v xml:space="preserve"> </v>
      </c>
      <c r="P495" s="20">
        <f t="shared" si="38"/>
        <v>0</v>
      </c>
    </row>
    <row r="496" spans="1:16" x14ac:dyDescent="0.25">
      <c r="A496">
        <v>951465</v>
      </c>
      <c r="B496">
        <v>936</v>
      </c>
      <c r="C496">
        <v>123671</v>
      </c>
      <c r="D496" t="s">
        <v>15</v>
      </c>
      <c r="E496" t="s">
        <v>16</v>
      </c>
      <c r="F496" s="5">
        <v>16</v>
      </c>
      <c r="G496" s="5">
        <v>4617</v>
      </c>
      <c r="H496" s="5">
        <v>1</v>
      </c>
      <c r="I496" s="8">
        <v>1.3600000139999999</v>
      </c>
      <c r="J496" s="5">
        <v>1</v>
      </c>
      <c r="K496" s="5">
        <v>0</v>
      </c>
      <c r="L496" s="14">
        <f t="shared" si="35"/>
        <v>0.2945635724496426</v>
      </c>
      <c r="M496" s="14">
        <f t="shared" si="39"/>
        <v>1.3600000139999999</v>
      </c>
      <c r="N496" s="20">
        <f t="shared" si="36"/>
        <v>2.1659085986571366E-4</v>
      </c>
      <c r="O496" s="14" t="str">
        <f t="shared" si="37"/>
        <v xml:space="preserve"> </v>
      </c>
      <c r="P496" s="20">
        <f t="shared" si="38"/>
        <v>0</v>
      </c>
    </row>
    <row r="497" spans="1:16" x14ac:dyDescent="0.25">
      <c r="A497">
        <v>951498</v>
      </c>
      <c r="B497">
        <v>936</v>
      </c>
      <c r="C497">
        <v>123677</v>
      </c>
      <c r="D497" t="s">
        <v>15</v>
      </c>
      <c r="E497" t="s">
        <v>16</v>
      </c>
      <c r="F497" s="5">
        <v>20</v>
      </c>
      <c r="G497" s="5">
        <v>259</v>
      </c>
      <c r="H497" s="5">
        <v>0</v>
      </c>
      <c r="I497" s="8">
        <v>0</v>
      </c>
      <c r="J497" s="5">
        <v>1</v>
      </c>
      <c r="K497" s="5">
        <v>0</v>
      </c>
      <c r="L497" s="14">
        <f t="shared" si="35"/>
        <v>0</v>
      </c>
      <c r="M497" s="14" t="str">
        <f t="shared" si="39"/>
        <v xml:space="preserve"> </v>
      </c>
      <c r="N497" s="20">
        <f t="shared" si="36"/>
        <v>0</v>
      </c>
      <c r="O497" s="14" t="str">
        <f t="shared" si="37"/>
        <v xml:space="preserve"> </v>
      </c>
      <c r="P497" s="20">
        <f t="shared" si="38"/>
        <v>0</v>
      </c>
    </row>
    <row r="498" spans="1:16" x14ac:dyDescent="0.25">
      <c r="A498">
        <v>951508</v>
      </c>
      <c r="B498">
        <v>936</v>
      </c>
      <c r="C498">
        <v>123678</v>
      </c>
      <c r="D498" t="s">
        <v>11</v>
      </c>
      <c r="E498" t="s">
        <v>16</v>
      </c>
      <c r="F498" s="5">
        <v>18</v>
      </c>
      <c r="G498" s="5">
        <v>1134</v>
      </c>
      <c r="H498" s="5">
        <v>0</v>
      </c>
      <c r="I498" s="8">
        <v>0</v>
      </c>
      <c r="J498" s="5">
        <v>1</v>
      </c>
      <c r="K498" s="5">
        <v>0</v>
      </c>
      <c r="L498" s="14">
        <f t="shared" si="35"/>
        <v>0</v>
      </c>
      <c r="M498" s="14" t="str">
        <f t="shared" si="39"/>
        <v xml:space="preserve"> </v>
      </c>
      <c r="N498" s="20">
        <f t="shared" si="36"/>
        <v>0</v>
      </c>
      <c r="O498" s="14" t="str">
        <f t="shared" si="37"/>
        <v xml:space="preserve"> </v>
      </c>
      <c r="P498" s="20">
        <f t="shared" si="38"/>
        <v>0</v>
      </c>
    </row>
    <row r="499" spans="1:16" x14ac:dyDescent="0.25">
      <c r="A499">
        <v>951542</v>
      </c>
      <c r="B499">
        <v>936</v>
      </c>
      <c r="C499">
        <v>123684</v>
      </c>
      <c r="D499" t="s">
        <v>14</v>
      </c>
      <c r="E499" t="s">
        <v>16</v>
      </c>
      <c r="F499" s="5">
        <v>27</v>
      </c>
      <c r="G499" s="5">
        <v>357</v>
      </c>
      <c r="H499" s="5">
        <v>0</v>
      </c>
      <c r="I499" s="8">
        <v>0</v>
      </c>
      <c r="J499" s="5">
        <v>1</v>
      </c>
      <c r="K499" s="5">
        <v>0</v>
      </c>
      <c r="L499" s="14">
        <f t="shared" si="35"/>
        <v>0</v>
      </c>
      <c r="M499" s="14" t="str">
        <f t="shared" si="39"/>
        <v xml:space="preserve"> </v>
      </c>
      <c r="N499" s="20">
        <f t="shared" si="36"/>
        <v>0</v>
      </c>
      <c r="O499" s="14" t="str">
        <f t="shared" si="37"/>
        <v xml:space="preserve"> </v>
      </c>
      <c r="P499" s="20">
        <f t="shared" si="38"/>
        <v>0</v>
      </c>
    </row>
    <row r="500" spans="1:16" x14ac:dyDescent="0.25">
      <c r="A500">
        <v>951607</v>
      </c>
      <c r="B500">
        <v>936</v>
      </c>
      <c r="C500">
        <v>123695</v>
      </c>
      <c r="D500" t="s">
        <v>14</v>
      </c>
      <c r="E500" t="s">
        <v>16</v>
      </c>
      <c r="F500" s="5">
        <v>10</v>
      </c>
      <c r="G500" s="5">
        <v>848</v>
      </c>
      <c r="H500" s="5">
        <v>0</v>
      </c>
      <c r="I500" s="8">
        <v>0</v>
      </c>
      <c r="J500" s="5">
        <v>1</v>
      </c>
      <c r="K500" s="5">
        <v>1</v>
      </c>
      <c r="L500" s="14">
        <f t="shared" si="35"/>
        <v>0</v>
      </c>
      <c r="M500" s="14" t="str">
        <f t="shared" si="39"/>
        <v xml:space="preserve"> </v>
      </c>
      <c r="N500" s="20">
        <f t="shared" si="36"/>
        <v>0</v>
      </c>
      <c r="O500" s="14">
        <f t="shared" si="37"/>
        <v>0</v>
      </c>
      <c r="P500" s="20">
        <f t="shared" si="38"/>
        <v>0</v>
      </c>
    </row>
    <row r="501" spans="1:16" x14ac:dyDescent="0.25">
      <c r="A501">
        <v>951608</v>
      </c>
      <c r="B501">
        <v>936</v>
      </c>
      <c r="C501">
        <v>123695</v>
      </c>
      <c r="D501" t="s">
        <v>14</v>
      </c>
      <c r="E501" t="s">
        <v>16</v>
      </c>
      <c r="F501" s="5">
        <v>10</v>
      </c>
      <c r="G501" s="5">
        <v>3149</v>
      </c>
      <c r="H501" s="5">
        <v>1</v>
      </c>
      <c r="I501" s="8">
        <v>1.480000019</v>
      </c>
      <c r="J501" s="5">
        <v>1</v>
      </c>
      <c r="K501" s="5">
        <v>0</v>
      </c>
      <c r="L501" s="14">
        <f t="shared" si="35"/>
        <v>0.46999047919974596</v>
      </c>
      <c r="M501" s="14">
        <f t="shared" si="39"/>
        <v>1.480000019</v>
      </c>
      <c r="N501" s="20">
        <f t="shared" si="36"/>
        <v>3.1756113051762465E-4</v>
      </c>
      <c r="O501" s="14" t="str">
        <f t="shared" si="37"/>
        <v xml:space="preserve"> </v>
      </c>
      <c r="P501" s="20">
        <f t="shared" si="38"/>
        <v>0</v>
      </c>
    </row>
    <row r="502" spans="1:16" x14ac:dyDescent="0.25">
      <c r="A502">
        <v>951641</v>
      </c>
      <c r="B502">
        <v>936</v>
      </c>
      <c r="C502">
        <v>123700</v>
      </c>
      <c r="D502" t="s">
        <v>14</v>
      </c>
      <c r="E502" t="s">
        <v>16</v>
      </c>
      <c r="F502" s="5">
        <v>2</v>
      </c>
      <c r="G502" s="5">
        <v>87</v>
      </c>
      <c r="H502" s="5">
        <v>0</v>
      </c>
      <c r="I502" s="8">
        <v>0</v>
      </c>
      <c r="J502" s="5">
        <v>1</v>
      </c>
      <c r="K502" s="5">
        <v>1</v>
      </c>
      <c r="L502" s="14">
        <f t="shared" si="35"/>
        <v>0</v>
      </c>
      <c r="M502" s="14" t="str">
        <f t="shared" si="39"/>
        <v xml:space="preserve"> </v>
      </c>
      <c r="N502" s="20">
        <f t="shared" si="36"/>
        <v>0</v>
      </c>
      <c r="O502" s="14">
        <f t="shared" si="37"/>
        <v>0</v>
      </c>
      <c r="P502" s="20">
        <f t="shared" si="38"/>
        <v>0</v>
      </c>
    </row>
    <row r="503" spans="1:16" x14ac:dyDescent="0.25">
      <c r="A503">
        <v>951677</v>
      </c>
      <c r="B503">
        <v>936</v>
      </c>
      <c r="C503">
        <v>123706</v>
      </c>
      <c r="D503" t="s">
        <v>13</v>
      </c>
      <c r="E503" t="s">
        <v>16</v>
      </c>
      <c r="F503" s="5">
        <v>27</v>
      </c>
      <c r="G503" s="5">
        <v>2563</v>
      </c>
      <c r="H503" s="5">
        <v>1</v>
      </c>
      <c r="I503" s="8">
        <v>1.480000019</v>
      </c>
      <c r="J503" s="5">
        <v>1</v>
      </c>
      <c r="K503" s="5">
        <v>0</v>
      </c>
      <c r="L503" s="14">
        <f t="shared" si="35"/>
        <v>0.57744831018337883</v>
      </c>
      <c r="M503" s="14">
        <f t="shared" si="39"/>
        <v>1.480000019</v>
      </c>
      <c r="N503" s="20">
        <f t="shared" si="36"/>
        <v>3.9016777214202108E-4</v>
      </c>
      <c r="O503" s="14" t="str">
        <f t="shared" si="37"/>
        <v xml:space="preserve"> </v>
      </c>
      <c r="P503" s="20">
        <f t="shared" si="38"/>
        <v>0</v>
      </c>
    </row>
    <row r="504" spans="1:16" x14ac:dyDescent="0.25">
      <c r="A504">
        <v>951692</v>
      </c>
      <c r="B504">
        <v>936</v>
      </c>
      <c r="C504">
        <v>123709</v>
      </c>
      <c r="D504" t="s">
        <v>13</v>
      </c>
      <c r="E504" t="s">
        <v>16</v>
      </c>
      <c r="F504" s="5">
        <v>10</v>
      </c>
      <c r="G504" s="5">
        <v>1107</v>
      </c>
      <c r="H504" s="5">
        <v>0</v>
      </c>
      <c r="I504" s="8">
        <v>0</v>
      </c>
      <c r="J504" s="5">
        <v>1</v>
      </c>
      <c r="K504" s="5">
        <v>0</v>
      </c>
      <c r="L504" s="14">
        <f t="shared" si="35"/>
        <v>0</v>
      </c>
      <c r="M504" s="14" t="str">
        <f t="shared" si="39"/>
        <v xml:space="preserve"> </v>
      </c>
      <c r="N504" s="20">
        <f t="shared" si="36"/>
        <v>0</v>
      </c>
      <c r="O504" s="14" t="str">
        <f t="shared" si="37"/>
        <v xml:space="preserve"> </v>
      </c>
      <c r="P504" s="20">
        <f t="shared" si="38"/>
        <v>0</v>
      </c>
    </row>
    <row r="505" spans="1:16" x14ac:dyDescent="0.25">
      <c r="A505">
        <v>951715</v>
      </c>
      <c r="B505">
        <v>936</v>
      </c>
      <c r="C505">
        <v>123713</v>
      </c>
      <c r="D505" t="s">
        <v>15</v>
      </c>
      <c r="E505" t="s">
        <v>16</v>
      </c>
      <c r="F505" s="5">
        <v>64</v>
      </c>
      <c r="G505" s="5">
        <v>10677</v>
      </c>
      <c r="H505" s="5">
        <v>5</v>
      </c>
      <c r="I505" s="8">
        <v>7.2699999809999998</v>
      </c>
      <c r="J505" s="5">
        <v>1</v>
      </c>
      <c r="K505" s="5">
        <v>0</v>
      </c>
      <c r="L505" s="14">
        <f t="shared" si="35"/>
        <v>0.68090287355998869</v>
      </c>
      <c r="M505" s="14">
        <f t="shared" si="39"/>
        <v>1.4539999961999999</v>
      </c>
      <c r="N505" s="20">
        <f t="shared" si="36"/>
        <v>4.6829633792263745E-4</v>
      </c>
      <c r="O505" s="14" t="str">
        <f t="shared" si="37"/>
        <v xml:space="preserve"> </v>
      </c>
      <c r="P505" s="20">
        <f t="shared" si="38"/>
        <v>0</v>
      </c>
    </row>
    <row r="506" spans="1:16" x14ac:dyDescent="0.25">
      <c r="A506">
        <v>951756</v>
      </c>
      <c r="B506">
        <v>936</v>
      </c>
      <c r="C506">
        <v>123720</v>
      </c>
      <c r="D506" t="s">
        <v>13</v>
      </c>
      <c r="E506" t="s">
        <v>16</v>
      </c>
      <c r="F506" s="5">
        <v>22</v>
      </c>
      <c r="G506" s="5">
        <v>2189</v>
      </c>
      <c r="H506" s="5">
        <v>1</v>
      </c>
      <c r="I506" s="8">
        <v>0.40999999599999998</v>
      </c>
      <c r="J506" s="5">
        <v>1</v>
      </c>
      <c r="K506" s="5">
        <v>0</v>
      </c>
      <c r="L506" s="14">
        <f t="shared" si="35"/>
        <v>0.18730013522156236</v>
      </c>
      <c r="M506" s="14">
        <f t="shared" si="39"/>
        <v>0.40999999599999998</v>
      </c>
      <c r="N506" s="20">
        <f t="shared" si="36"/>
        <v>4.5682960255824577E-4</v>
      </c>
      <c r="O506" s="14" t="str">
        <f t="shared" si="37"/>
        <v xml:space="preserve"> </v>
      </c>
      <c r="P506" s="20">
        <f t="shared" si="38"/>
        <v>0</v>
      </c>
    </row>
    <row r="507" spans="1:16" x14ac:dyDescent="0.25">
      <c r="A507">
        <v>951779</v>
      </c>
      <c r="B507">
        <v>936</v>
      </c>
      <c r="C507">
        <v>123723</v>
      </c>
      <c r="D507" t="s">
        <v>15</v>
      </c>
      <c r="E507" t="s">
        <v>16</v>
      </c>
      <c r="F507" s="5">
        <v>27</v>
      </c>
      <c r="G507" s="5">
        <v>3277</v>
      </c>
      <c r="H507" s="5">
        <v>2</v>
      </c>
      <c r="I507" s="8">
        <v>2.6800000669999999</v>
      </c>
      <c r="J507" s="5">
        <v>1</v>
      </c>
      <c r="K507" s="5">
        <v>0</v>
      </c>
      <c r="L507" s="14">
        <f t="shared" si="35"/>
        <v>0.81782119835215139</v>
      </c>
      <c r="M507" s="14">
        <f t="shared" si="39"/>
        <v>1.3400000335</v>
      </c>
      <c r="N507" s="20">
        <f t="shared" si="36"/>
        <v>6.1031431187061336E-4</v>
      </c>
      <c r="O507" s="14" t="str">
        <f t="shared" si="37"/>
        <v xml:space="preserve"> </v>
      </c>
      <c r="P507" s="20">
        <f t="shared" si="38"/>
        <v>0</v>
      </c>
    </row>
    <row r="508" spans="1:16" x14ac:dyDescent="0.25">
      <c r="A508">
        <v>951782</v>
      </c>
      <c r="B508">
        <v>936</v>
      </c>
      <c r="C508">
        <v>123724</v>
      </c>
      <c r="D508" t="s">
        <v>15</v>
      </c>
      <c r="E508" t="s">
        <v>16</v>
      </c>
      <c r="F508" s="5">
        <v>26</v>
      </c>
      <c r="G508" s="5">
        <v>781</v>
      </c>
      <c r="H508" s="5">
        <v>0</v>
      </c>
      <c r="I508" s="8">
        <v>0</v>
      </c>
      <c r="J508" s="5">
        <v>1</v>
      </c>
      <c r="K508" s="5">
        <v>0</v>
      </c>
      <c r="L508" s="14">
        <f t="shared" si="35"/>
        <v>0</v>
      </c>
      <c r="M508" s="14" t="str">
        <f t="shared" si="39"/>
        <v xml:space="preserve"> </v>
      </c>
      <c r="N508" s="20">
        <f t="shared" si="36"/>
        <v>0</v>
      </c>
      <c r="O508" s="14" t="str">
        <f t="shared" si="37"/>
        <v xml:space="preserve"> </v>
      </c>
      <c r="P508" s="20">
        <f t="shared" si="38"/>
        <v>0</v>
      </c>
    </row>
    <row r="509" spans="1:16" x14ac:dyDescent="0.25">
      <c r="A509">
        <v>951810</v>
      </c>
      <c r="B509">
        <v>936</v>
      </c>
      <c r="C509">
        <v>123729</v>
      </c>
      <c r="D509" t="s">
        <v>13</v>
      </c>
      <c r="E509" t="s">
        <v>16</v>
      </c>
      <c r="F509" s="5">
        <v>16</v>
      </c>
      <c r="G509" s="5">
        <v>2226</v>
      </c>
      <c r="H509" s="5">
        <v>0</v>
      </c>
      <c r="I509" s="8">
        <v>0</v>
      </c>
      <c r="J509" s="5">
        <v>1</v>
      </c>
      <c r="K509" s="5">
        <v>0</v>
      </c>
      <c r="L509" s="14">
        <f t="shared" si="35"/>
        <v>0</v>
      </c>
      <c r="M509" s="14" t="str">
        <f t="shared" si="39"/>
        <v xml:space="preserve"> </v>
      </c>
      <c r="N509" s="20">
        <f t="shared" si="36"/>
        <v>0</v>
      </c>
      <c r="O509" s="14" t="str">
        <f t="shared" si="37"/>
        <v xml:space="preserve"> </v>
      </c>
      <c r="P509" s="20">
        <f t="shared" si="38"/>
        <v>0</v>
      </c>
    </row>
    <row r="510" spans="1:16" x14ac:dyDescent="0.25">
      <c r="A510">
        <v>951812</v>
      </c>
      <c r="B510">
        <v>936</v>
      </c>
      <c r="C510">
        <v>123729</v>
      </c>
      <c r="D510" t="s">
        <v>13</v>
      </c>
      <c r="E510" t="s">
        <v>16</v>
      </c>
      <c r="F510" s="5">
        <v>16</v>
      </c>
      <c r="G510" s="5">
        <v>16274</v>
      </c>
      <c r="H510" s="5">
        <v>4</v>
      </c>
      <c r="I510" s="8">
        <v>6.079999924</v>
      </c>
      <c r="J510" s="5">
        <v>2</v>
      </c>
      <c r="K510" s="5">
        <v>0</v>
      </c>
      <c r="L510" s="14">
        <f t="shared" si="35"/>
        <v>0.37360205997296303</v>
      </c>
      <c r="M510" s="14">
        <f t="shared" si="39"/>
        <v>1.519999981</v>
      </c>
      <c r="N510" s="20">
        <f t="shared" si="36"/>
        <v>2.4579083200196631E-4</v>
      </c>
      <c r="O510" s="14" t="str">
        <f t="shared" si="37"/>
        <v xml:space="preserve"> </v>
      </c>
      <c r="P510" s="20">
        <f t="shared" si="38"/>
        <v>0</v>
      </c>
    </row>
    <row r="511" spans="1:16" x14ac:dyDescent="0.25">
      <c r="A511">
        <v>951837</v>
      </c>
      <c r="B511">
        <v>936</v>
      </c>
      <c r="C511">
        <v>123733</v>
      </c>
      <c r="D511" t="s">
        <v>15</v>
      </c>
      <c r="E511" t="s">
        <v>16</v>
      </c>
      <c r="F511" s="5">
        <v>20</v>
      </c>
      <c r="G511" s="5">
        <v>2077</v>
      </c>
      <c r="H511" s="5">
        <v>1</v>
      </c>
      <c r="I511" s="8">
        <v>1.5099999900000001</v>
      </c>
      <c r="J511" s="5">
        <v>1</v>
      </c>
      <c r="K511" s="5">
        <v>1</v>
      </c>
      <c r="L511" s="14">
        <f t="shared" si="35"/>
        <v>0.72701010592200288</v>
      </c>
      <c r="M511" s="14">
        <f t="shared" si="39"/>
        <v>1.5099999900000001</v>
      </c>
      <c r="N511" s="20">
        <f t="shared" si="36"/>
        <v>4.8146364949446316E-4</v>
      </c>
      <c r="O511" s="14">
        <f t="shared" si="37"/>
        <v>1.5099999900000001</v>
      </c>
      <c r="P511" s="20">
        <f t="shared" si="38"/>
        <v>1</v>
      </c>
    </row>
    <row r="512" spans="1:16" x14ac:dyDescent="0.25">
      <c r="A512">
        <v>951853</v>
      </c>
      <c r="B512">
        <v>936</v>
      </c>
      <c r="C512">
        <v>123736</v>
      </c>
      <c r="D512" t="s">
        <v>11</v>
      </c>
      <c r="E512" t="s">
        <v>16</v>
      </c>
      <c r="F512" s="5">
        <v>20</v>
      </c>
      <c r="G512" s="5">
        <v>529</v>
      </c>
      <c r="H512" s="5">
        <v>0</v>
      </c>
      <c r="I512" s="8">
        <v>0</v>
      </c>
      <c r="J512" s="5">
        <v>0</v>
      </c>
      <c r="K512" s="5">
        <v>0</v>
      </c>
      <c r="L512" s="14">
        <f t="shared" si="35"/>
        <v>0</v>
      </c>
      <c r="M512" s="14" t="str">
        <f t="shared" si="39"/>
        <v xml:space="preserve"> </v>
      </c>
      <c r="N512" s="20">
        <f t="shared" si="36"/>
        <v>0</v>
      </c>
      <c r="O512" s="14" t="str">
        <f t="shared" si="37"/>
        <v xml:space="preserve"> </v>
      </c>
      <c r="P512" s="20">
        <f t="shared" si="38"/>
        <v>0</v>
      </c>
    </row>
    <row r="513" spans="1:16" x14ac:dyDescent="0.25">
      <c r="A513">
        <v>951854</v>
      </c>
      <c r="B513">
        <v>936</v>
      </c>
      <c r="C513">
        <v>123736</v>
      </c>
      <c r="D513" t="s">
        <v>11</v>
      </c>
      <c r="E513" t="s">
        <v>16</v>
      </c>
      <c r="F513" s="5">
        <v>20</v>
      </c>
      <c r="G513" s="5">
        <v>487</v>
      </c>
      <c r="H513" s="5">
        <v>0</v>
      </c>
      <c r="I513" s="8">
        <v>0</v>
      </c>
      <c r="J513" s="5">
        <v>1</v>
      </c>
      <c r="K513" s="5">
        <v>0</v>
      </c>
      <c r="L513" s="14">
        <f t="shared" si="35"/>
        <v>0</v>
      </c>
      <c r="M513" s="14" t="str">
        <f t="shared" si="39"/>
        <v xml:space="preserve"> </v>
      </c>
      <c r="N513" s="20">
        <f t="shared" si="36"/>
        <v>0</v>
      </c>
      <c r="O513" s="14" t="str">
        <f t="shared" si="37"/>
        <v xml:space="preserve"> </v>
      </c>
      <c r="P513" s="20">
        <f t="shared" si="38"/>
        <v>0</v>
      </c>
    </row>
    <row r="514" spans="1:16" x14ac:dyDescent="0.25">
      <c r="A514">
        <v>951856</v>
      </c>
      <c r="B514">
        <v>936</v>
      </c>
      <c r="C514">
        <v>123736</v>
      </c>
      <c r="D514" t="s">
        <v>11</v>
      </c>
      <c r="E514" t="s">
        <v>16</v>
      </c>
      <c r="F514" s="5">
        <v>20</v>
      </c>
      <c r="G514" s="5">
        <v>4626</v>
      </c>
      <c r="H514" s="5">
        <v>2</v>
      </c>
      <c r="I514" s="8">
        <v>2.0999999049999998</v>
      </c>
      <c r="J514" s="5">
        <v>2</v>
      </c>
      <c r="K514" s="5">
        <v>0</v>
      </c>
      <c r="L514" s="14">
        <f t="shared" si="35"/>
        <v>0.45395588089061817</v>
      </c>
      <c r="M514" s="14">
        <f t="shared" si="39"/>
        <v>1.0499999524999999</v>
      </c>
      <c r="N514" s="20">
        <f t="shared" si="36"/>
        <v>4.3233895373973193E-4</v>
      </c>
      <c r="O514" s="14" t="str">
        <f t="shared" si="37"/>
        <v xml:space="preserve"> </v>
      </c>
      <c r="P514" s="20">
        <f t="shared" si="38"/>
        <v>0</v>
      </c>
    </row>
    <row r="515" spans="1:16" x14ac:dyDescent="0.25">
      <c r="A515">
        <v>951941</v>
      </c>
      <c r="B515">
        <v>936</v>
      </c>
      <c r="C515">
        <v>123750</v>
      </c>
      <c r="D515" t="s">
        <v>11</v>
      </c>
      <c r="E515" t="s">
        <v>16</v>
      </c>
      <c r="F515" s="5">
        <v>28</v>
      </c>
      <c r="G515" s="5">
        <v>2764</v>
      </c>
      <c r="H515" s="5">
        <v>1</v>
      </c>
      <c r="I515" s="8">
        <v>1.559999943</v>
      </c>
      <c r="J515" s="5">
        <v>1</v>
      </c>
      <c r="K515" s="5">
        <v>1</v>
      </c>
      <c r="L515" s="14">
        <f t="shared" ref="L515:L578" si="40">IF(G515=0,0,(I515/G515)*1000)</f>
        <v>0.56439940050651238</v>
      </c>
      <c r="M515" s="14">
        <f t="shared" si="39"/>
        <v>1.559999943</v>
      </c>
      <c r="N515" s="20">
        <f t="shared" ref="N515:N578" si="41">IF(G515=0,0,(H515/G515))</f>
        <v>3.6179450072358897E-4</v>
      </c>
      <c r="O515" s="14">
        <f t="shared" ref="O515:O578" si="42">IF(K515&gt;0, I515/K515, " ")</f>
        <v>1.559999943</v>
      </c>
      <c r="P515" s="20">
        <f t="shared" ref="P515:P578" si="43">IF(H515=0,0,(K515/H515))</f>
        <v>1</v>
      </c>
    </row>
    <row r="516" spans="1:16" x14ac:dyDescent="0.25">
      <c r="A516">
        <v>952001</v>
      </c>
      <c r="B516">
        <v>936</v>
      </c>
      <c r="C516">
        <v>123760</v>
      </c>
      <c r="D516" t="s">
        <v>15</v>
      </c>
      <c r="E516" t="s">
        <v>16</v>
      </c>
      <c r="F516" s="5">
        <v>10</v>
      </c>
      <c r="G516" s="5">
        <v>5447</v>
      </c>
      <c r="H516" s="5">
        <v>2</v>
      </c>
      <c r="I516" s="8">
        <v>2.960000038</v>
      </c>
      <c r="J516" s="5">
        <v>1</v>
      </c>
      <c r="K516" s="5">
        <v>0</v>
      </c>
      <c r="L516" s="14">
        <f t="shared" si="40"/>
        <v>0.54341840242335226</v>
      </c>
      <c r="M516" s="14">
        <f t="shared" si="39"/>
        <v>1.480000019</v>
      </c>
      <c r="N516" s="20">
        <f t="shared" si="41"/>
        <v>3.6717459151826694E-4</v>
      </c>
      <c r="O516" s="14" t="str">
        <f t="shared" si="42"/>
        <v xml:space="preserve"> </v>
      </c>
      <c r="P516" s="20">
        <f t="shared" si="43"/>
        <v>0</v>
      </c>
    </row>
    <row r="517" spans="1:16" x14ac:dyDescent="0.25">
      <c r="A517">
        <v>952031</v>
      </c>
      <c r="B517">
        <v>936</v>
      </c>
      <c r="C517">
        <v>123765</v>
      </c>
      <c r="D517" t="s">
        <v>14</v>
      </c>
      <c r="E517" t="s">
        <v>16</v>
      </c>
      <c r="F517" s="5">
        <v>16</v>
      </c>
      <c r="G517" s="5">
        <v>28169</v>
      </c>
      <c r="H517" s="5">
        <v>8</v>
      </c>
      <c r="I517" s="8">
        <v>12.369999890000001</v>
      </c>
      <c r="J517" s="5">
        <v>1</v>
      </c>
      <c r="K517" s="5">
        <v>1</v>
      </c>
      <c r="L517" s="14">
        <f t="shared" si="40"/>
        <v>0.43913521566260783</v>
      </c>
      <c r="M517" s="14">
        <f t="shared" ref="M517:M580" si="44">IF(H517&gt;0, I517/H517, " ")</f>
        <v>1.5462499862500001</v>
      </c>
      <c r="N517" s="20">
        <f t="shared" si="41"/>
        <v>2.8400014200007101E-4</v>
      </c>
      <c r="O517" s="14">
        <f t="shared" si="42"/>
        <v>12.369999890000001</v>
      </c>
      <c r="P517" s="20">
        <f t="shared" si="43"/>
        <v>0.125</v>
      </c>
    </row>
    <row r="518" spans="1:16" x14ac:dyDescent="0.25">
      <c r="A518">
        <v>952080</v>
      </c>
      <c r="B518">
        <v>936</v>
      </c>
      <c r="C518">
        <v>123774</v>
      </c>
      <c r="D518" t="s">
        <v>14</v>
      </c>
      <c r="E518" t="s">
        <v>16</v>
      </c>
      <c r="F518" s="5">
        <v>27</v>
      </c>
      <c r="G518" s="5">
        <v>415</v>
      </c>
      <c r="H518" s="5">
        <v>0</v>
      </c>
      <c r="I518" s="8">
        <v>0</v>
      </c>
      <c r="J518" s="5">
        <v>1</v>
      </c>
      <c r="K518" s="5">
        <v>0</v>
      </c>
      <c r="L518" s="14">
        <f t="shared" si="40"/>
        <v>0</v>
      </c>
      <c r="M518" s="14" t="str">
        <f t="shared" si="44"/>
        <v xml:space="preserve"> </v>
      </c>
      <c r="N518" s="20">
        <f t="shared" si="41"/>
        <v>0</v>
      </c>
      <c r="O518" s="14" t="str">
        <f t="shared" si="42"/>
        <v xml:space="preserve"> </v>
      </c>
      <c r="P518" s="20">
        <f t="shared" si="43"/>
        <v>0</v>
      </c>
    </row>
    <row r="519" spans="1:16" x14ac:dyDescent="0.25">
      <c r="A519">
        <v>952100</v>
      </c>
      <c r="B519">
        <v>936</v>
      </c>
      <c r="C519">
        <v>123777</v>
      </c>
      <c r="D519" t="s">
        <v>13</v>
      </c>
      <c r="E519" t="s">
        <v>16</v>
      </c>
      <c r="F519" s="5">
        <v>29</v>
      </c>
      <c r="G519" s="5">
        <v>810</v>
      </c>
      <c r="H519" s="5">
        <v>0</v>
      </c>
      <c r="I519" s="8">
        <v>0</v>
      </c>
      <c r="J519" s="5">
        <v>1</v>
      </c>
      <c r="K519" s="5">
        <v>1</v>
      </c>
      <c r="L519" s="14">
        <f t="shared" si="40"/>
        <v>0</v>
      </c>
      <c r="M519" s="14" t="str">
        <f t="shared" si="44"/>
        <v xml:space="preserve"> </v>
      </c>
      <c r="N519" s="20">
        <f t="shared" si="41"/>
        <v>0</v>
      </c>
      <c r="O519" s="14">
        <f t="shared" si="42"/>
        <v>0</v>
      </c>
      <c r="P519" s="20">
        <f t="shared" si="43"/>
        <v>0</v>
      </c>
    </row>
    <row r="520" spans="1:16" x14ac:dyDescent="0.25">
      <c r="A520">
        <v>1121091</v>
      </c>
      <c r="B520">
        <v>1178</v>
      </c>
      <c r="C520">
        <v>144531</v>
      </c>
      <c r="D520" t="s">
        <v>11</v>
      </c>
      <c r="E520" t="s">
        <v>12</v>
      </c>
      <c r="F520" s="5">
        <v>10</v>
      </c>
      <c r="G520" s="5">
        <v>1194718</v>
      </c>
      <c r="H520" s="5">
        <v>141</v>
      </c>
      <c r="I520" s="8">
        <v>254.04999599999999</v>
      </c>
      <c r="J520" s="5">
        <v>28</v>
      </c>
      <c r="K520" s="5">
        <v>14</v>
      </c>
      <c r="L520" s="14">
        <f t="shared" si="40"/>
        <v>0.21264431941261452</v>
      </c>
      <c r="M520" s="14">
        <f t="shared" si="44"/>
        <v>1.8017730212765957</v>
      </c>
      <c r="N520" s="20">
        <f t="shared" si="41"/>
        <v>1.1801948242179326E-4</v>
      </c>
      <c r="O520" s="14">
        <f t="shared" si="42"/>
        <v>18.146428285714286</v>
      </c>
      <c r="P520" s="20">
        <f t="shared" si="43"/>
        <v>9.9290780141843976E-2</v>
      </c>
    </row>
    <row r="521" spans="1:16" x14ac:dyDescent="0.25">
      <c r="A521">
        <v>1121092</v>
      </c>
      <c r="B521">
        <v>1178</v>
      </c>
      <c r="C521">
        <v>144531</v>
      </c>
      <c r="D521" t="s">
        <v>11</v>
      </c>
      <c r="E521" t="s">
        <v>12</v>
      </c>
      <c r="F521" s="5">
        <v>10</v>
      </c>
      <c r="G521" s="5">
        <v>637648</v>
      </c>
      <c r="H521" s="5">
        <v>67</v>
      </c>
      <c r="I521" s="8">
        <v>122.4</v>
      </c>
      <c r="J521" s="5">
        <v>13</v>
      </c>
      <c r="K521" s="5">
        <v>5</v>
      </c>
      <c r="L521" s="14">
        <f t="shared" si="40"/>
        <v>0.1919554362281384</v>
      </c>
      <c r="M521" s="14">
        <f t="shared" si="44"/>
        <v>1.826865671641791</v>
      </c>
      <c r="N521" s="20">
        <f t="shared" si="41"/>
        <v>1.050736456477555E-4</v>
      </c>
      <c r="O521" s="14">
        <f t="shared" si="42"/>
        <v>24.48</v>
      </c>
      <c r="P521" s="20">
        <f t="shared" si="43"/>
        <v>7.4626865671641784E-2</v>
      </c>
    </row>
    <row r="522" spans="1:16" x14ac:dyDescent="0.25">
      <c r="A522">
        <v>1121094</v>
      </c>
      <c r="B522">
        <v>1178</v>
      </c>
      <c r="C522">
        <v>144531</v>
      </c>
      <c r="D522" t="s">
        <v>11</v>
      </c>
      <c r="E522" t="s">
        <v>12</v>
      </c>
      <c r="F522" s="5">
        <v>10</v>
      </c>
      <c r="G522" s="5">
        <v>24362</v>
      </c>
      <c r="H522" s="5">
        <v>0</v>
      </c>
      <c r="I522" s="8">
        <v>0</v>
      </c>
      <c r="J522" s="5">
        <v>1</v>
      </c>
      <c r="K522" s="5">
        <v>1</v>
      </c>
      <c r="L522" s="14">
        <f t="shared" si="40"/>
        <v>0</v>
      </c>
      <c r="M522" s="14" t="str">
        <f t="shared" si="44"/>
        <v xml:space="preserve"> </v>
      </c>
      <c r="N522" s="20">
        <f t="shared" si="41"/>
        <v>0</v>
      </c>
      <c r="O522" s="14">
        <f t="shared" si="42"/>
        <v>0</v>
      </c>
      <c r="P522" s="20">
        <f t="shared" si="43"/>
        <v>0</v>
      </c>
    </row>
    <row r="523" spans="1:16" x14ac:dyDescent="0.25">
      <c r="A523">
        <v>1121095</v>
      </c>
      <c r="B523">
        <v>1178</v>
      </c>
      <c r="C523">
        <v>144531</v>
      </c>
      <c r="D523" t="s">
        <v>11</v>
      </c>
      <c r="E523" t="s">
        <v>12</v>
      </c>
      <c r="F523" s="5">
        <v>10</v>
      </c>
      <c r="G523" s="5">
        <v>459690</v>
      </c>
      <c r="H523" s="5">
        <v>50</v>
      </c>
      <c r="I523" s="8">
        <v>86.330001120000006</v>
      </c>
      <c r="J523" s="5">
        <v>5</v>
      </c>
      <c r="K523" s="5">
        <v>2</v>
      </c>
      <c r="L523" s="14">
        <f t="shared" si="40"/>
        <v>0.18780047666905961</v>
      </c>
      <c r="M523" s="14">
        <f t="shared" si="44"/>
        <v>1.7266000224000002</v>
      </c>
      <c r="N523" s="20">
        <f t="shared" si="41"/>
        <v>1.0876895299005852E-4</v>
      </c>
      <c r="O523" s="14">
        <f t="shared" si="42"/>
        <v>43.165000560000003</v>
      </c>
      <c r="P523" s="20">
        <f t="shared" si="43"/>
        <v>0.04</v>
      </c>
    </row>
    <row r="524" spans="1:16" x14ac:dyDescent="0.25">
      <c r="A524">
        <v>1121096</v>
      </c>
      <c r="B524">
        <v>1178</v>
      </c>
      <c r="C524">
        <v>144531</v>
      </c>
      <c r="D524" t="s">
        <v>11</v>
      </c>
      <c r="E524" t="s">
        <v>12</v>
      </c>
      <c r="F524" s="5">
        <v>10</v>
      </c>
      <c r="G524" s="5">
        <v>750060</v>
      </c>
      <c r="H524" s="5">
        <v>86</v>
      </c>
      <c r="I524" s="8">
        <v>161.90999909999999</v>
      </c>
      <c r="J524" s="5">
        <v>11</v>
      </c>
      <c r="K524" s="5">
        <v>2</v>
      </c>
      <c r="L524" s="14">
        <f t="shared" si="40"/>
        <v>0.21586272978161744</v>
      </c>
      <c r="M524" s="14">
        <f t="shared" si="44"/>
        <v>1.8826744081395348</v>
      </c>
      <c r="N524" s="20">
        <f t="shared" si="41"/>
        <v>1.1465749406714129E-4</v>
      </c>
      <c r="O524" s="14">
        <f t="shared" si="42"/>
        <v>80.954999549999997</v>
      </c>
      <c r="P524" s="20">
        <f t="shared" si="43"/>
        <v>2.3255813953488372E-2</v>
      </c>
    </row>
    <row r="525" spans="1:16" x14ac:dyDescent="0.25">
      <c r="A525">
        <v>1121097</v>
      </c>
      <c r="B525">
        <v>1178</v>
      </c>
      <c r="C525">
        <v>144532</v>
      </c>
      <c r="D525" t="s">
        <v>11</v>
      </c>
      <c r="E525" t="s">
        <v>12</v>
      </c>
      <c r="F525" s="5">
        <v>15</v>
      </c>
      <c r="G525" s="5">
        <v>30068</v>
      </c>
      <c r="H525" s="5">
        <v>1</v>
      </c>
      <c r="I525" s="8">
        <v>1.8200000519999999</v>
      </c>
      <c r="J525" s="5">
        <v>1</v>
      </c>
      <c r="K525" s="5">
        <v>0</v>
      </c>
      <c r="L525" s="14">
        <f t="shared" si="40"/>
        <v>6.0529468271916985E-2</v>
      </c>
      <c r="M525" s="14">
        <f t="shared" si="44"/>
        <v>1.8200000519999999</v>
      </c>
      <c r="N525" s="20">
        <f t="shared" si="41"/>
        <v>3.3257948649727285E-5</v>
      </c>
      <c r="O525" s="14" t="str">
        <f t="shared" si="42"/>
        <v xml:space="preserve"> </v>
      </c>
      <c r="P525" s="20">
        <f t="shared" si="43"/>
        <v>0</v>
      </c>
    </row>
    <row r="526" spans="1:16" x14ac:dyDescent="0.25">
      <c r="A526">
        <v>1121098</v>
      </c>
      <c r="B526">
        <v>1178</v>
      </c>
      <c r="C526">
        <v>144532</v>
      </c>
      <c r="D526" t="s">
        <v>11</v>
      </c>
      <c r="E526" t="s">
        <v>12</v>
      </c>
      <c r="F526" s="5">
        <v>15</v>
      </c>
      <c r="G526" s="5">
        <v>1267550</v>
      </c>
      <c r="H526" s="5">
        <v>123</v>
      </c>
      <c r="I526" s="8">
        <v>236.76999860000001</v>
      </c>
      <c r="J526" s="5">
        <v>24</v>
      </c>
      <c r="K526" s="5">
        <v>10</v>
      </c>
      <c r="L526" s="14">
        <f t="shared" si="40"/>
        <v>0.18679341927340143</v>
      </c>
      <c r="M526" s="14">
        <f t="shared" si="44"/>
        <v>1.9249593382113821</v>
      </c>
      <c r="N526" s="20">
        <f t="shared" si="41"/>
        <v>9.7037592205435677E-5</v>
      </c>
      <c r="O526" s="14">
        <f t="shared" si="42"/>
        <v>23.676999860000002</v>
      </c>
      <c r="P526" s="20">
        <f t="shared" si="43"/>
        <v>8.1300813008130079E-2</v>
      </c>
    </row>
    <row r="527" spans="1:16" x14ac:dyDescent="0.25">
      <c r="A527">
        <v>1121100</v>
      </c>
      <c r="B527">
        <v>1178</v>
      </c>
      <c r="C527">
        <v>144532</v>
      </c>
      <c r="D527" t="s">
        <v>11</v>
      </c>
      <c r="E527" t="s">
        <v>12</v>
      </c>
      <c r="F527" s="5">
        <v>15</v>
      </c>
      <c r="G527" s="5">
        <v>3052003</v>
      </c>
      <c r="H527" s="5">
        <v>340</v>
      </c>
      <c r="I527" s="8">
        <v>639.94999810000002</v>
      </c>
      <c r="J527" s="5">
        <v>60</v>
      </c>
      <c r="K527" s="5">
        <v>17</v>
      </c>
      <c r="L527" s="14">
        <f t="shared" si="40"/>
        <v>0.20968196889059415</v>
      </c>
      <c r="M527" s="14">
        <f t="shared" si="44"/>
        <v>1.8822058767647059</v>
      </c>
      <c r="N527" s="20">
        <f t="shared" si="41"/>
        <v>1.1140224960460393E-4</v>
      </c>
      <c r="O527" s="14">
        <f t="shared" si="42"/>
        <v>37.644117535294122</v>
      </c>
      <c r="P527" s="20">
        <f t="shared" si="43"/>
        <v>0.05</v>
      </c>
    </row>
    <row r="528" spans="1:16" x14ac:dyDescent="0.25">
      <c r="A528">
        <v>1121101</v>
      </c>
      <c r="B528">
        <v>1178</v>
      </c>
      <c r="C528">
        <v>144532</v>
      </c>
      <c r="D528" t="s">
        <v>11</v>
      </c>
      <c r="E528" t="s">
        <v>12</v>
      </c>
      <c r="F528" s="5">
        <v>15</v>
      </c>
      <c r="G528" s="5">
        <v>29945</v>
      </c>
      <c r="H528" s="5">
        <v>1</v>
      </c>
      <c r="I528" s="8">
        <v>1.5900000329999999</v>
      </c>
      <c r="J528" s="5">
        <v>2</v>
      </c>
      <c r="K528" s="5">
        <v>1</v>
      </c>
      <c r="L528" s="14">
        <f t="shared" si="40"/>
        <v>5.3097346234763726E-2</v>
      </c>
      <c r="M528" s="14">
        <f t="shared" si="44"/>
        <v>1.5900000329999999</v>
      </c>
      <c r="N528" s="20">
        <f t="shared" si="41"/>
        <v>3.3394556687259975E-5</v>
      </c>
      <c r="O528" s="14">
        <f t="shared" si="42"/>
        <v>1.5900000329999999</v>
      </c>
      <c r="P528" s="20">
        <f t="shared" si="43"/>
        <v>1</v>
      </c>
    </row>
    <row r="529" spans="1:16" x14ac:dyDescent="0.25">
      <c r="A529">
        <v>1121102</v>
      </c>
      <c r="B529">
        <v>1178</v>
      </c>
      <c r="C529">
        <v>144532</v>
      </c>
      <c r="D529" t="s">
        <v>11</v>
      </c>
      <c r="E529" t="s">
        <v>12</v>
      </c>
      <c r="F529" s="5">
        <v>15</v>
      </c>
      <c r="G529" s="5">
        <v>357856</v>
      </c>
      <c r="H529" s="5">
        <v>30</v>
      </c>
      <c r="I529" s="8">
        <v>52.970000149999997</v>
      </c>
      <c r="J529" s="5">
        <v>7</v>
      </c>
      <c r="K529" s="5">
        <v>3</v>
      </c>
      <c r="L529" s="14">
        <f t="shared" si="40"/>
        <v>0.14802043321894842</v>
      </c>
      <c r="M529" s="14">
        <f t="shared" si="44"/>
        <v>1.7656666716666665</v>
      </c>
      <c r="N529" s="20">
        <f t="shared" si="41"/>
        <v>8.3832603058213358E-5</v>
      </c>
      <c r="O529" s="14">
        <f t="shared" si="42"/>
        <v>17.656666716666667</v>
      </c>
      <c r="P529" s="20">
        <f t="shared" si="43"/>
        <v>0.1</v>
      </c>
    </row>
    <row r="530" spans="1:16" x14ac:dyDescent="0.25">
      <c r="A530">
        <v>1121104</v>
      </c>
      <c r="B530">
        <v>1178</v>
      </c>
      <c r="C530">
        <v>144533</v>
      </c>
      <c r="D530" t="s">
        <v>11</v>
      </c>
      <c r="E530" t="s">
        <v>12</v>
      </c>
      <c r="F530" s="5">
        <v>16</v>
      </c>
      <c r="G530" s="5">
        <v>2080666</v>
      </c>
      <c r="H530" s="5">
        <v>202</v>
      </c>
      <c r="I530" s="8">
        <v>360.15000149999997</v>
      </c>
      <c r="J530" s="5">
        <v>40</v>
      </c>
      <c r="K530" s="5">
        <v>21</v>
      </c>
      <c r="L530" s="14">
        <f t="shared" si="40"/>
        <v>0.17309361593835818</v>
      </c>
      <c r="M530" s="14">
        <f t="shared" si="44"/>
        <v>1.7829207995049503</v>
      </c>
      <c r="N530" s="20">
        <f t="shared" si="41"/>
        <v>9.7084298969656832E-5</v>
      </c>
      <c r="O530" s="14">
        <f t="shared" si="42"/>
        <v>17.150000071428572</v>
      </c>
      <c r="P530" s="20">
        <f t="shared" si="43"/>
        <v>0.10396039603960396</v>
      </c>
    </row>
    <row r="531" spans="1:16" x14ac:dyDescent="0.25">
      <c r="A531">
        <v>1121105</v>
      </c>
      <c r="B531">
        <v>1178</v>
      </c>
      <c r="C531">
        <v>144533</v>
      </c>
      <c r="D531" t="s">
        <v>11</v>
      </c>
      <c r="E531" t="s">
        <v>12</v>
      </c>
      <c r="F531" s="5">
        <v>16</v>
      </c>
      <c r="G531" s="5">
        <v>145999</v>
      </c>
      <c r="H531" s="5">
        <v>9</v>
      </c>
      <c r="I531" s="8">
        <v>16.520000100000001</v>
      </c>
      <c r="J531" s="5">
        <v>5</v>
      </c>
      <c r="K531" s="5">
        <v>2</v>
      </c>
      <c r="L531" s="14">
        <f t="shared" si="40"/>
        <v>0.11315146062644266</v>
      </c>
      <c r="M531" s="14">
        <f t="shared" si="44"/>
        <v>1.8355555666666667</v>
      </c>
      <c r="N531" s="20">
        <f t="shared" si="41"/>
        <v>6.1644257837382448E-5</v>
      </c>
      <c r="O531" s="14">
        <f t="shared" si="42"/>
        <v>8.2600000500000004</v>
      </c>
      <c r="P531" s="20">
        <f t="shared" si="43"/>
        <v>0.22222222222222221</v>
      </c>
    </row>
    <row r="532" spans="1:16" x14ac:dyDescent="0.25">
      <c r="A532">
        <v>1121107</v>
      </c>
      <c r="B532">
        <v>1178</v>
      </c>
      <c r="C532">
        <v>144533</v>
      </c>
      <c r="D532" t="s">
        <v>11</v>
      </c>
      <c r="E532" t="s">
        <v>12</v>
      </c>
      <c r="F532" s="5">
        <v>16</v>
      </c>
      <c r="G532" s="5">
        <v>32616</v>
      </c>
      <c r="H532" s="5">
        <v>1</v>
      </c>
      <c r="I532" s="8">
        <v>1.539999962</v>
      </c>
      <c r="J532" s="5">
        <v>2</v>
      </c>
      <c r="K532" s="5">
        <v>0</v>
      </c>
      <c r="L532" s="14">
        <f t="shared" si="40"/>
        <v>4.7216089097375527E-2</v>
      </c>
      <c r="M532" s="14">
        <f t="shared" si="44"/>
        <v>1.539999962</v>
      </c>
      <c r="N532" s="20">
        <f t="shared" si="41"/>
        <v>3.0659798871719399E-5</v>
      </c>
      <c r="O532" s="14" t="str">
        <f t="shared" si="42"/>
        <v xml:space="preserve"> </v>
      </c>
      <c r="P532" s="20">
        <f t="shared" si="43"/>
        <v>0</v>
      </c>
    </row>
    <row r="533" spans="1:16" x14ac:dyDescent="0.25">
      <c r="A533">
        <v>1121108</v>
      </c>
      <c r="B533">
        <v>1178</v>
      </c>
      <c r="C533">
        <v>144533</v>
      </c>
      <c r="D533" t="s">
        <v>11</v>
      </c>
      <c r="E533" t="s">
        <v>12</v>
      </c>
      <c r="F533" s="5">
        <v>16</v>
      </c>
      <c r="G533" s="5">
        <v>984521</v>
      </c>
      <c r="H533" s="5">
        <v>95</v>
      </c>
      <c r="I533" s="8">
        <v>163.8999972</v>
      </c>
      <c r="J533" s="5">
        <v>26</v>
      </c>
      <c r="K533" s="5">
        <v>14</v>
      </c>
      <c r="L533" s="14">
        <f t="shared" si="40"/>
        <v>0.16647689302716753</v>
      </c>
      <c r="M533" s="14">
        <f t="shared" si="44"/>
        <v>1.7252631284210527</v>
      </c>
      <c r="N533" s="20">
        <f t="shared" si="41"/>
        <v>9.6493624818566595E-5</v>
      </c>
      <c r="O533" s="14">
        <f t="shared" si="42"/>
        <v>11.707142657142857</v>
      </c>
      <c r="P533" s="20">
        <f t="shared" si="43"/>
        <v>0.14736842105263157</v>
      </c>
    </row>
    <row r="534" spans="1:16" x14ac:dyDescent="0.25">
      <c r="A534">
        <v>1121110</v>
      </c>
      <c r="B534">
        <v>1178</v>
      </c>
      <c r="C534">
        <v>144534</v>
      </c>
      <c r="D534" t="s">
        <v>11</v>
      </c>
      <c r="E534" t="s">
        <v>12</v>
      </c>
      <c r="F534" s="5">
        <v>18</v>
      </c>
      <c r="G534" s="5">
        <v>880814</v>
      </c>
      <c r="H534" s="5">
        <v>123</v>
      </c>
      <c r="I534" s="8">
        <v>210.36000060000001</v>
      </c>
      <c r="J534" s="5">
        <v>6</v>
      </c>
      <c r="K534" s="5">
        <v>2</v>
      </c>
      <c r="L534" s="14">
        <f t="shared" si="40"/>
        <v>0.23882454252543672</v>
      </c>
      <c r="M534" s="14">
        <f t="shared" si="44"/>
        <v>1.7102439073170732</v>
      </c>
      <c r="N534" s="20">
        <f t="shared" si="41"/>
        <v>1.3964355698251843E-4</v>
      </c>
      <c r="O534" s="14">
        <f t="shared" si="42"/>
        <v>105.1800003</v>
      </c>
      <c r="P534" s="20">
        <f t="shared" si="43"/>
        <v>1.6260162601626018E-2</v>
      </c>
    </row>
    <row r="535" spans="1:16" x14ac:dyDescent="0.25">
      <c r="A535">
        <v>1121111</v>
      </c>
      <c r="B535">
        <v>1178</v>
      </c>
      <c r="C535">
        <v>144534</v>
      </c>
      <c r="D535" t="s">
        <v>11</v>
      </c>
      <c r="E535" t="s">
        <v>12</v>
      </c>
      <c r="F535" s="5">
        <v>18</v>
      </c>
      <c r="G535" s="5">
        <v>182452</v>
      </c>
      <c r="H535" s="5">
        <v>20</v>
      </c>
      <c r="I535" s="8">
        <v>35.730000259999997</v>
      </c>
      <c r="J535" s="5">
        <v>4</v>
      </c>
      <c r="K535" s="5">
        <v>1</v>
      </c>
      <c r="L535" s="14">
        <f t="shared" si="40"/>
        <v>0.19583232992787142</v>
      </c>
      <c r="M535" s="14">
        <f t="shared" si="44"/>
        <v>1.7865000129999999</v>
      </c>
      <c r="N535" s="20">
        <f t="shared" si="41"/>
        <v>1.0961787209786684E-4</v>
      </c>
      <c r="O535" s="14">
        <f t="shared" si="42"/>
        <v>35.730000259999997</v>
      </c>
      <c r="P535" s="20">
        <f t="shared" si="43"/>
        <v>0.05</v>
      </c>
    </row>
    <row r="536" spans="1:16" x14ac:dyDescent="0.25">
      <c r="A536">
        <v>1121113</v>
      </c>
      <c r="B536">
        <v>1178</v>
      </c>
      <c r="C536">
        <v>144534</v>
      </c>
      <c r="D536" t="s">
        <v>11</v>
      </c>
      <c r="E536" t="s">
        <v>12</v>
      </c>
      <c r="F536" s="5">
        <v>18</v>
      </c>
      <c r="G536" s="5">
        <v>894911</v>
      </c>
      <c r="H536" s="5">
        <v>120</v>
      </c>
      <c r="I536" s="8">
        <v>215.83999940000001</v>
      </c>
      <c r="J536" s="5">
        <v>7</v>
      </c>
      <c r="K536" s="5">
        <v>4</v>
      </c>
      <c r="L536" s="14">
        <f t="shared" si="40"/>
        <v>0.2411859943614505</v>
      </c>
      <c r="M536" s="14">
        <f t="shared" si="44"/>
        <v>1.7986666616666667</v>
      </c>
      <c r="N536" s="20">
        <f t="shared" si="41"/>
        <v>1.3409154653367766E-4</v>
      </c>
      <c r="O536" s="14">
        <f t="shared" si="42"/>
        <v>53.959999850000003</v>
      </c>
      <c r="P536" s="20">
        <f t="shared" si="43"/>
        <v>3.3333333333333333E-2</v>
      </c>
    </row>
    <row r="537" spans="1:16" x14ac:dyDescent="0.25">
      <c r="A537">
        <v>1121114</v>
      </c>
      <c r="B537">
        <v>1178</v>
      </c>
      <c r="C537">
        <v>144534</v>
      </c>
      <c r="D537" t="s">
        <v>11</v>
      </c>
      <c r="E537" t="s">
        <v>12</v>
      </c>
      <c r="F537" s="5">
        <v>18</v>
      </c>
      <c r="G537" s="5">
        <v>31349</v>
      </c>
      <c r="H537" s="5">
        <v>2</v>
      </c>
      <c r="I537" s="8">
        <v>3.800000072</v>
      </c>
      <c r="J537" s="5">
        <v>1</v>
      </c>
      <c r="K537" s="5">
        <v>0</v>
      </c>
      <c r="L537" s="14">
        <f t="shared" si="40"/>
        <v>0.12121599004752943</v>
      </c>
      <c r="M537" s="14">
        <f t="shared" si="44"/>
        <v>1.900000036</v>
      </c>
      <c r="N537" s="20">
        <f t="shared" si="41"/>
        <v>6.3797888289897611E-5</v>
      </c>
      <c r="O537" s="14" t="str">
        <f t="shared" si="42"/>
        <v xml:space="preserve"> </v>
      </c>
      <c r="P537" s="20">
        <f t="shared" si="43"/>
        <v>0</v>
      </c>
    </row>
    <row r="538" spans="1:16" x14ac:dyDescent="0.25">
      <c r="A538">
        <v>1121115</v>
      </c>
      <c r="B538">
        <v>1178</v>
      </c>
      <c r="C538">
        <v>144535</v>
      </c>
      <c r="D538" t="s">
        <v>11</v>
      </c>
      <c r="E538" t="s">
        <v>12</v>
      </c>
      <c r="F538" s="5">
        <v>19</v>
      </c>
      <c r="G538" s="5">
        <v>410310</v>
      </c>
      <c r="H538" s="5">
        <v>55</v>
      </c>
      <c r="I538" s="8">
        <v>96.800000549999993</v>
      </c>
      <c r="J538" s="5">
        <v>3</v>
      </c>
      <c r="K538" s="5">
        <v>0</v>
      </c>
      <c r="L538" s="14">
        <f t="shared" si="40"/>
        <v>0.23591918439716311</v>
      </c>
      <c r="M538" s="14">
        <f t="shared" si="44"/>
        <v>1.7600000099999999</v>
      </c>
      <c r="N538" s="20">
        <f t="shared" si="41"/>
        <v>1.3404499037313251E-4</v>
      </c>
      <c r="O538" s="14" t="str">
        <f t="shared" si="42"/>
        <v xml:space="preserve"> </v>
      </c>
      <c r="P538" s="20">
        <f t="shared" si="43"/>
        <v>0</v>
      </c>
    </row>
    <row r="539" spans="1:16" x14ac:dyDescent="0.25">
      <c r="A539">
        <v>1121116</v>
      </c>
      <c r="B539">
        <v>1178</v>
      </c>
      <c r="C539">
        <v>144535</v>
      </c>
      <c r="D539" t="s">
        <v>11</v>
      </c>
      <c r="E539" t="s">
        <v>12</v>
      </c>
      <c r="F539" s="5">
        <v>19</v>
      </c>
      <c r="G539" s="5">
        <v>572450</v>
      </c>
      <c r="H539" s="5">
        <v>89</v>
      </c>
      <c r="I539" s="8">
        <v>157.32999799999999</v>
      </c>
      <c r="J539" s="5">
        <v>7</v>
      </c>
      <c r="K539" s="5">
        <v>4</v>
      </c>
      <c r="L539" s="14">
        <f t="shared" si="40"/>
        <v>0.27483622674469388</v>
      </c>
      <c r="M539" s="14">
        <f t="shared" si="44"/>
        <v>1.7677527865168539</v>
      </c>
      <c r="N539" s="20">
        <f t="shared" si="41"/>
        <v>1.5547209363263168E-4</v>
      </c>
      <c r="O539" s="14">
        <f t="shared" si="42"/>
        <v>39.332499499999997</v>
      </c>
      <c r="P539" s="20">
        <f t="shared" si="43"/>
        <v>4.49438202247191E-2</v>
      </c>
    </row>
    <row r="540" spans="1:16" x14ac:dyDescent="0.25">
      <c r="A540">
        <v>1121117</v>
      </c>
      <c r="B540">
        <v>1178</v>
      </c>
      <c r="C540">
        <v>144535</v>
      </c>
      <c r="D540" t="s">
        <v>11</v>
      </c>
      <c r="E540" t="s">
        <v>12</v>
      </c>
      <c r="F540" s="5">
        <v>19</v>
      </c>
      <c r="G540" s="5">
        <v>98759</v>
      </c>
      <c r="H540" s="5">
        <v>15</v>
      </c>
      <c r="I540" s="8">
        <v>26.569999459999998</v>
      </c>
      <c r="J540" s="5">
        <v>1</v>
      </c>
      <c r="K540" s="5">
        <v>1</v>
      </c>
      <c r="L540" s="14">
        <f t="shared" si="40"/>
        <v>0.26903876568211504</v>
      </c>
      <c r="M540" s="14">
        <f t="shared" si="44"/>
        <v>1.7713332973333331</v>
      </c>
      <c r="N540" s="20">
        <f t="shared" si="41"/>
        <v>1.5188489150355918E-4</v>
      </c>
      <c r="O540" s="14">
        <f t="shared" si="42"/>
        <v>26.569999459999998</v>
      </c>
      <c r="P540" s="20">
        <f t="shared" si="43"/>
        <v>6.6666666666666666E-2</v>
      </c>
    </row>
    <row r="541" spans="1:16" x14ac:dyDescent="0.25">
      <c r="A541">
        <v>1121119</v>
      </c>
      <c r="B541">
        <v>1178</v>
      </c>
      <c r="C541">
        <v>144535</v>
      </c>
      <c r="D541" t="s">
        <v>11</v>
      </c>
      <c r="E541" t="s">
        <v>12</v>
      </c>
      <c r="F541" s="5">
        <v>19</v>
      </c>
      <c r="G541" s="5">
        <v>345371</v>
      </c>
      <c r="H541" s="5">
        <v>54</v>
      </c>
      <c r="I541" s="8">
        <v>93.089999910000003</v>
      </c>
      <c r="J541" s="5">
        <v>7</v>
      </c>
      <c r="K541" s="5">
        <v>3</v>
      </c>
      <c r="L541" s="14">
        <f t="shared" si="40"/>
        <v>0.26953623758219425</v>
      </c>
      <c r="M541" s="14">
        <f t="shared" si="44"/>
        <v>1.7238888872222222</v>
      </c>
      <c r="N541" s="20">
        <f t="shared" si="41"/>
        <v>1.5635360235804395E-4</v>
      </c>
      <c r="O541" s="14">
        <f t="shared" si="42"/>
        <v>31.029999970000002</v>
      </c>
      <c r="P541" s="20">
        <f t="shared" si="43"/>
        <v>5.5555555555555552E-2</v>
      </c>
    </row>
    <row r="542" spans="1:16" x14ac:dyDescent="0.25">
      <c r="A542">
        <v>1121121</v>
      </c>
      <c r="B542">
        <v>1178</v>
      </c>
      <c r="C542">
        <v>144536</v>
      </c>
      <c r="D542" t="s">
        <v>11</v>
      </c>
      <c r="E542" t="s">
        <v>12</v>
      </c>
      <c r="F542" s="5">
        <v>20</v>
      </c>
      <c r="G542" s="5">
        <v>323899</v>
      </c>
      <c r="H542" s="5">
        <v>46</v>
      </c>
      <c r="I542" s="8">
        <v>78.920000200000004</v>
      </c>
      <c r="J542" s="5">
        <v>5</v>
      </c>
      <c r="K542" s="5">
        <v>1</v>
      </c>
      <c r="L542" s="14">
        <f t="shared" si="40"/>
        <v>0.24365620208768785</v>
      </c>
      <c r="M542" s="14">
        <f t="shared" si="44"/>
        <v>1.7156521782608696</v>
      </c>
      <c r="N542" s="20">
        <f t="shared" si="41"/>
        <v>1.4201958017777148E-4</v>
      </c>
      <c r="O542" s="14">
        <f t="shared" si="42"/>
        <v>78.920000200000004</v>
      </c>
      <c r="P542" s="20">
        <f t="shared" si="43"/>
        <v>2.1739130434782608E-2</v>
      </c>
    </row>
    <row r="543" spans="1:16" x14ac:dyDescent="0.25">
      <c r="A543">
        <v>1121122</v>
      </c>
      <c r="B543">
        <v>1178</v>
      </c>
      <c r="C543">
        <v>144536</v>
      </c>
      <c r="D543" t="s">
        <v>11</v>
      </c>
      <c r="E543" t="s">
        <v>12</v>
      </c>
      <c r="F543" s="5">
        <v>20</v>
      </c>
      <c r="G543" s="5">
        <v>399199</v>
      </c>
      <c r="H543" s="5">
        <v>58</v>
      </c>
      <c r="I543" s="8">
        <v>103.15000019999999</v>
      </c>
      <c r="J543" s="5">
        <v>3</v>
      </c>
      <c r="K543" s="5">
        <v>0</v>
      </c>
      <c r="L543" s="14">
        <f t="shared" si="40"/>
        <v>0.25839243134376588</v>
      </c>
      <c r="M543" s="14">
        <f t="shared" si="44"/>
        <v>1.7784482793103447</v>
      </c>
      <c r="N543" s="20">
        <f t="shared" si="41"/>
        <v>1.4529094511759799E-4</v>
      </c>
      <c r="O543" s="14" t="str">
        <f t="shared" si="42"/>
        <v xml:space="preserve"> </v>
      </c>
      <c r="P543" s="20">
        <f t="shared" si="43"/>
        <v>0</v>
      </c>
    </row>
    <row r="544" spans="1:16" x14ac:dyDescent="0.25">
      <c r="A544">
        <v>1121123</v>
      </c>
      <c r="B544">
        <v>1178</v>
      </c>
      <c r="C544">
        <v>144536</v>
      </c>
      <c r="D544" t="s">
        <v>11</v>
      </c>
      <c r="E544" t="s">
        <v>12</v>
      </c>
      <c r="F544" s="5">
        <v>20</v>
      </c>
      <c r="G544" s="5">
        <v>171202</v>
      </c>
      <c r="H544" s="5">
        <v>22</v>
      </c>
      <c r="I544" s="8">
        <v>36.530000209999997</v>
      </c>
      <c r="J544" s="5">
        <v>3</v>
      </c>
      <c r="K544" s="5">
        <v>1</v>
      </c>
      <c r="L544" s="14">
        <f t="shared" si="40"/>
        <v>0.21337367676779476</v>
      </c>
      <c r="M544" s="14">
        <f t="shared" si="44"/>
        <v>1.6604545549999998</v>
      </c>
      <c r="N544" s="20">
        <f t="shared" si="41"/>
        <v>1.285031716919195E-4</v>
      </c>
      <c r="O544" s="14">
        <f t="shared" si="42"/>
        <v>36.530000209999997</v>
      </c>
      <c r="P544" s="20">
        <f t="shared" si="43"/>
        <v>4.5454545454545456E-2</v>
      </c>
    </row>
    <row r="545" spans="1:16" x14ac:dyDescent="0.25">
      <c r="A545">
        <v>1121124</v>
      </c>
      <c r="B545">
        <v>1178</v>
      </c>
      <c r="C545">
        <v>144536</v>
      </c>
      <c r="D545" t="s">
        <v>11</v>
      </c>
      <c r="E545" t="s">
        <v>12</v>
      </c>
      <c r="F545" s="5">
        <v>20</v>
      </c>
      <c r="G545" s="5">
        <v>128386</v>
      </c>
      <c r="H545" s="5">
        <v>15</v>
      </c>
      <c r="I545" s="8">
        <v>28.85000002</v>
      </c>
      <c r="J545" s="5">
        <v>2</v>
      </c>
      <c r="K545" s="5">
        <v>1</v>
      </c>
      <c r="L545" s="14">
        <f t="shared" si="40"/>
        <v>0.22471297509074198</v>
      </c>
      <c r="M545" s="14">
        <f t="shared" si="44"/>
        <v>1.9233333346666666</v>
      </c>
      <c r="N545" s="20">
        <f t="shared" si="41"/>
        <v>1.1683516894365429E-4</v>
      </c>
      <c r="O545" s="14">
        <f t="shared" si="42"/>
        <v>28.85000002</v>
      </c>
      <c r="P545" s="20">
        <f t="shared" si="43"/>
        <v>6.6666666666666666E-2</v>
      </c>
    </row>
    <row r="546" spans="1:16" x14ac:dyDescent="0.25">
      <c r="A546">
        <v>1121125</v>
      </c>
      <c r="B546">
        <v>1178</v>
      </c>
      <c r="C546">
        <v>144536</v>
      </c>
      <c r="D546" t="s">
        <v>11</v>
      </c>
      <c r="E546" t="s">
        <v>12</v>
      </c>
      <c r="F546" s="5">
        <v>20</v>
      </c>
      <c r="G546" s="5">
        <v>1034284</v>
      </c>
      <c r="H546" s="5">
        <v>152</v>
      </c>
      <c r="I546" s="8">
        <v>257.70999860000001</v>
      </c>
      <c r="J546" s="5">
        <v>20</v>
      </c>
      <c r="K546" s="5">
        <v>9</v>
      </c>
      <c r="L546" s="14">
        <f t="shared" si="40"/>
        <v>0.24916753870310279</v>
      </c>
      <c r="M546" s="14">
        <f t="shared" si="44"/>
        <v>1.6954605171052632</v>
      </c>
      <c r="N546" s="20">
        <f t="shared" si="41"/>
        <v>1.4696156954956279E-4</v>
      </c>
      <c r="O546" s="14">
        <f t="shared" si="42"/>
        <v>28.63444428888889</v>
      </c>
      <c r="P546" s="20">
        <f t="shared" si="43"/>
        <v>5.921052631578947E-2</v>
      </c>
    </row>
    <row r="547" spans="1:16" x14ac:dyDescent="0.25">
      <c r="A547">
        <v>1121126</v>
      </c>
      <c r="B547">
        <v>1178</v>
      </c>
      <c r="C547">
        <v>144536</v>
      </c>
      <c r="D547" t="s">
        <v>11</v>
      </c>
      <c r="E547" t="s">
        <v>12</v>
      </c>
      <c r="F547" s="5">
        <v>20</v>
      </c>
      <c r="G547" s="5">
        <v>45923</v>
      </c>
      <c r="H547" s="5">
        <v>5</v>
      </c>
      <c r="I547" s="8">
        <v>7.2200001479999996</v>
      </c>
      <c r="J547" s="5">
        <v>2</v>
      </c>
      <c r="K547" s="5">
        <v>0</v>
      </c>
      <c r="L547" s="14">
        <f t="shared" si="40"/>
        <v>0.15721969705811903</v>
      </c>
      <c r="M547" s="14">
        <f t="shared" si="44"/>
        <v>1.4440000296</v>
      </c>
      <c r="N547" s="20">
        <f t="shared" si="41"/>
        <v>1.0887790431809768E-4</v>
      </c>
      <c r="O547" s="14" t="str">
        <f t="shared" si="42"/>
        <v xml:space="preserve"> </v>
      </c>
      <c r="P547" s="20">
        <f t="shared" si="43"/>
        <v>0</v>
      </c>
    </row>
    <row r="548" spans="1:16" x14ac:dyDescent="0.25">
      <c r="A548">
        <v>1121127</v>
      </c>
      <c r="B548">
        <v>1178</v>
      </c>
      <c r="C548">
        <v>144537</v>
      </c>
      <c r="D548" t="s">
        <v>11</v>
      </c>
      <c r="E548" t="s">
        <v>12</v>
      </c>
      <c r="F548" s="5">
        <v>21</v>
      </c>
      <c r="G548" s="5">
        <v>40873</v>
      </c>
      <c r="H548" s="5">
        <v>4</v>
      </c>
      <c r="I548" s="8">
        <v>7.8999999760000001</v>
      </c>
      <c r="J548" s="5">
        <v>2</v>
      </c>
      <c r="K548" s="5">
        <v>1</v>
      </c>
      <c r="L548" s="14">
        <f t="shared" si="40"/>
        <v>0.19328162787170014</v>
      </c>
      <c r="M548" s="14">
        <f t="shared" si="44"/>
        <v>1.974999994</v>
      </c>
      <c r="N548" s="20">
        <f t="shared" si="41"/>
        <v>9.7864115675384727E-5</v>
      </c>
      <c r="O548" s="14">
        <f t="shared" si="42"/>
        <v>7.8999999760000001</v>
      </c>
      <c r="P548" s="20">
        <f t="shared" si="43"/>
        <v>0.25</v>
      </c>
    </row>
    <row r="549" spans="1:16" x14ac:dyDescent="0.25">
      <c r="A549">
        <v>1121128</v>
      </c>
      <c r="B549">
        <v>1178</v>
      </c>
      <c r="C549">
        <v>144537</v>
      </c>
      <c r="D549" t="s">
        <v>11</v>
      </c>
      <c r="E549" t="s">
        <v>12</v>
      </c>
      <c r="F549" s="5">
        <v>21</v>
      </c>
      <c r="G549" s="5">
        <v>286553</v>
      </c>
      <c r="H549" s="5">
        <v>34</v>
      </c>
      <c r="I549" s="8">
        <v>62.060000420000001</v>
      </c>
      <c r="J549" s="5">
        <v>2</v>
      </c>
      <c r="K549" s="5">
        <v>1</v>
      </c>
      <c r="L549" s="14">
        <f t="shared" si="40"/>
        <v>0.21657424776568385</v>
      </c>
      <c r="M549" s="14">
        <f t="shared" si="44"/>
        <v>1.8252941300000001</v>
      </c>
      <c r="N549" s="20">
        <f t="shared" si="41"/>
        <v>1.1865169794069509E-4</v>
      </c>
      <c r="O549" s="14">
        <f t="shared" si="42"/>
        <v>62.060000420000001</v>
      </c>
      <c r="P549" s="20">
        <f t="shared" si="43"/>
        <v>2.9411764705882353E-2</v>
      </c>
    </row>
    <row r="550" spans="1:16" x14ac:dyDescent="0.25">
      <c r="A550">
        <v>1121129</v>
      </c>
      <c r="B550">
        <v>1178</v>
      </c>
      <c r="C550">
        <v>144537</v>
      </c>
      <c r="D550" t="s">
        <v>11</v>
      </c>
      <c r="E550" t="s">
        <v>12</v>
      </c>
      <c r="F550" s="5">
        <v>21</v>
      </c>
      <c r="G550" s="5">
        <v>20618</v>
      </c>
      <c r="H550" s="5">
        <v>1</v>
      </c>
      <c r="I550" s="8">
        <v>2.0999999049999998</v>
      </c>
      <c r="J550" s="5">
        <v>2</v>
      </c>
      <c r="K550" s="5">
        <v>1</v>
      </c>
      <c r="L550" s="14">
        <f t="shared" si="40"/>
        <v>0.10185274541662624</v>
      </c>
      <c r="M550" s="14">
        <f t="shared" si="44"/>
        <v>2.0999999049999998</v>
      </c>
      <c r="N550" s="20">
        <f t="shared" si="41"/>
        <v>4.8501309535357458E-5</v>
      </c>
      <c r="O550" s="14">
        <f t="shared" si="42"/>
        <v>2.0999999049999998</v>
      </c>
      <c r="P550" s="20">
        <f t="shared" si="43"/>
        <v>1</v>
      </c>
    </row>
    <row r="551" spans="1:16" x14ac:dyDescent="0.25">
      <c r="A551">
        <v>1121131</v>
      </c>
      <c r="B551">
        <v>1178</v>
      </c>
      <c r="C551">
        <v>144537</v>
      </c>
      <c r="D551" t="s">
        <v>11</v>
      </c>
      <c r="E551" t="s">
        <v>12</v>
      </c>
      <c r="F551" s="5">
        <v>21</v>
      </c>
      <c r="G551" s="5">
        <v>83591</v>
      </c>
      <c r="H551" s="5">
        <v>7</v>
      </c>
      <c r="I551" s="8">
        <v>14.14000046</v>
      </c>
      <c r="J551" s="5">
        <v>2</v>
      </c>
      <c r="K551" s="5">
        <v>2</v>
      </c>
      <c r="L551" s="14">
        <f t="shared" si="40"/>
        <v>0.16915697216207487</v>
      </c>
      <c r="M551" s="14">
        <f t="shared" si="44"/>
        <v>2.0200000657142856</v>
      </c>
      <c r="N551" s="20">
        <f t="shared" si="41"/>
        <v>8.3741072603509952E-5</v>
      </c>
      <c r="O551" s="14">
        <f t="shared" si="42"/>
        <v>7.0700002299999998</v>
      </c>
      <c r="P551" s="20">
        <f t="shared" si="43"/>
        <v>0.2857142857142857</v>
      </c>
    </row>
    <row r="552" spans="1:16" x14ac:dyDescent="0.25">
      <c r="A552">
        <v>1121132</v>
      </c>
      <c r="B552">
        <v>1178</v>
      </c>
      <c r="C552">
        <v>144537</v>
      </c>
      <c r="D552" t="s">
        <v>11</v>
      </c>
      <c r="E552" t="s">
        <v>12</v>
      </c>
      <c r="F552" s="5">
        <v>21</v>
      </c>
      <c r="G552" s="5">
        <v>114923</v>
      </c>
      <c r="H552" s="5">
        <v>12</v>
      </c>
      <c r="I552" s="8">
        <v>23.730000260000001</v>
      </c>
      <c r="J552" s="5">
        <v>4</v>
      </c>
      <c r="K552" s="5">
        <v>2</v>
      </c>
      <c r="L552" s="14">
        <f t="shared" si="40"/>
        <v>0.20648608424771367</v>
      </c>
      <c r="M552" s="14">
        <f t="shared" si="44"/>
        <v>1.9775000216666667</v>
      </c>
      <c r="N552" s="20">
        <f t="shared" si="41"/>
        <v>1.0441774057412354E-4</v>
      </c>
      <c r="O552" s="14">
        <f t="shared" si="42"/>
        <v>11.86500013</v>
      </c>
      <c r="P552" s="20">
        <f t="shared" si="43"/>
        <v>0.16666666666666666</v>
      </c>
    </row>
    <row r="553" spans="1:16" x14ac:dyDescent="0.25">
      <c r="A553">
        <v>1121133</v>
      </c>
      <c r="B553">
        <v>1178</v>
      </c>
      <c r="C553">
        <v>144538</v>
      </c>
      <c r="D553" t="s">
        <v>11</v>
      </c>
      <c r="E553" t="s">
        <v>12</v>
      </c>
      <c r="F553" s="5">
        <v>22</v>
      </c>
      <c r="G553" s="5">
        <v>25002</v>
      </c>
      <c r="H553" s="5">
        <v>1</v>
      </c>
      <c r="I553" s="8">
        <v>1.710000038</v>
      </c>
      <c r="J553" s="5">
        <v>1</v>
      </c>
      <c r="K553" s="5">
        <v>0</v>
      </c>
      <c r="L553" s="14">
        <f t="shared" si="40"/>
        <v>6.8394529957603395E-2</v>
      </c>
      <c r="M553" s="14">
        <f t="shared" si="44"/>
        <v>1.710000038</v>
      </c>
      <c r="N553" s="20">
        <f t="shared" si="41"/>
        <v>3.9996800255979519E-5</v>
      </c>
      <c r="O553" s="14" t="str">
        <f t="shared" si="42"/>
        <v xml:space="preserve"> </v>
      </c>
      <c r="P553" s="20">
        <f t="shared" si="43"/>
        <v>0</v>
      </c>
    </row>
    <row r="554" spans="1:16" x14ac:dyDescent="0.25">
      <c r="A554">
        <v>1121134</v>
      </c>
      <c r="B554">
        <v>1178</v>
      </c>
      <c r="C554">
        <v>144538</v>
      </c>
      <c r="D554" t="s">
        <v>11</v>
      </c>
      <c r="E554" t="s">
        <v>12</v>
      </c>
      <c r="F554" s="5">
        <v>22</v>
      </c>
      <c r="G554" s="5">
        <v>68905</v>
      </c>
      <c r="H554" s="5">
        <v>5</v>
      </c>
      <c r="I554" s="8">
        <v>9.4400000570000007</v>
      </c>
      <c r="J554" s="5">
        <v>1</v>
      </c>
      <c r="K554" s="5">
        <v>0</v>
      </c>
      <c r="L554" s="14">
        <f t="shared" si="40"/>
        <v>0.13700021851824976</v>
      </c>
      <c r="M554" s="14">
        <f t="shared" si="44"/>
        <v>1.8880000114000002</v>
      </c>
      <c r="N554" s="20">
        <f t="shared" si="41"/>
        <v>7.2563674624482989E-5</v>
      </c>
      <c r="O554" s="14" t="str">
        <f t="shared" si="42"/>
        <v xml:space="preserve"> </v>
      </c>
      <c r="P554" s="20">
        <f t="shared" si="43"/>
        <v>0</v>
      </c>
    </row>
    <row r="555" spans="1:16" x14ac:dyDescent="0.25">
      <c r="A555">
        <v>1121136</v>
      </c>
      <c r="B555">
        <v>1178</v>
      </c>
      <c r="C555">
        <v>144538</v>
      </c>
      <c r="D555" t="s">
        <v>11</v>
      </c>
      <c r="E555" t="s">
        <v>12</v>
      </c>
      <c r="F555" s="5">
        <v>22</v>
      </c>
      <c r="G555" s="5">
        <v>169588</v>
      </c>
      <c r="H555" s="5">
        <v>16</v>
      </c>
      <c r="I555" s="8">
        <v>27.799999239999998</v>
      </c>
      <c r="J555" s="5">
        <v>1</v>
      </c>
      <c r="K555" s="5">
        <v>0</v>
      </c>
      <c r="L555" s="14">
        <f t="shared" si="40"/>
        <v>0.16392668844493713</v>
      </c>
      <c r="M555" s="14">
        <f t="shared" si="44"/>
        <v>1.7374999524999999</v>
      </c>
      <c r="N555" s="20">
        <f t="shared" si="41"/>
        <v>9.43462980871288E-5</v>
      </c>
      <c r="O555" s="14" t="str">
        <f t="shared" si="42"/>
        <v xml:space="preserve"> </v>
      </c>
      <c r="P555" s="20">
        <f t="shared" si="43"/>
        <v>0</v>
      </c>
    </row>
    <row r="556" spans="1:16" x14ac:dyDescent="0.25">
      <c r="A556">
        <v>1121138</v>
      </c>
      <c r="B556">
        <v>1178</v>
      </c>
      <c r="C556">
        <v>144538</v>
      </c>
      <c r="D556" t="s">
        <v>11</v>
      </c>
      <c r="E556" t="s">
        <v>12</v>
      </c>
      <c r="F556" s="5">
        <v>22</v>
      </c>
      <c r="G556" s="5">
        <v>328991</v>
      </c>
      <c r="H556" s="5">
        <v>35</v>
      </c>
      <c r="I556" s="8">
        <v>67.650000570000003</v>
      </c>
      <c r="J556" s="5">
        <v>5</v>
      </c>
      <c r="K556" s="5">
        <v>2</v>
      </c>
      <c r="L556" s="14">
        <f t="shared" si="40"/>
        <v>0.20562872713843236</v>
      </c>
      <c r="M556" s="14">
        <f t="shared" si="44"/>
        <v>1.9328571591428572</v>
      </c>
      <c r="N556" s="20">
        <f t="shared" si="41"/>
        <v>1.0638588897568627E-4</v>
      </c>
      <c r="O556" s="14">
        <f t="shared" si="42"/>
        <v>33.825000285000002</v>
      </c>
      <c r="P556" s="20">
        <f t="shared" si="43"/>
        <v>5.7142857142857141E-2</v>
      </c>
    </row>
    <row r="557" spans="1:16" x14ac:dyDescent="0.25">
      <c r="A557">
        <v>1121141</v>
      </c>
      <c r="B557">
        <v>1178</v>
      </c>
      <c r="C557">
        <v>144539</v>
      </c>
      <c r="D557" t="s">
        <v>11</v>
      </c>
      <c r="E557" t="s">
        <v>12</v>
      </c>
      <c r="F557" s="5">
        <v>23</v>
      </c>
      <c r="G557" s="5">
        <v>23198</v>
      </c>
      <c r="H557" s="5">
        <v>2</v>
      </c>
      <c r="I557" s="8">
        <v>2.9800000190000002</v>
      </c>
      <c r="J557" s="5">
        <v>1</v>
      </c>
      <c r="K557" s="5">
        <v>0</v>
      </c>
      <c r="L557" s="14">
        <f t="shared" si="40"/>
        <v>0.1284593507629968</v>
      </c>
      <c r="M557" s="14">
        <f t="shared" si="44"/>
        <v>1.4900000095000001</v>
      </c>
      <c r="N557" s="20">
        <f t="shared" si="41"/>
        <v>8.6214328821450129E-5</v>
      </c>
      <c r="O557" s="14" t="str">
        <f t="shared" si="42"/>
        <v xml:space="preserve"> </v>
      </c>
      <c r="P557" s="20">
        <f t="shared" si="43"/>
        <v>0</v>
      </c>
    </row>
    <row r="558" spans="1:16" x14ac:dyDescent="0.25">
      <c r="A558">
        <v>1121142</v>
      </c>
      <c r="B558">
        <v>1178</v>
      </c>
      <c r="C558">
        <v>144539</v>
      </c>
      <c r="D558" t="s">
        <v>11</v>
      </c>
      <c r="E558" t="s">
        <v>12</v>
      </c>
      <c r="F558" s="5">
        <v>23</v>
      </c>
      <c r="G558" s="5">
        <v>26890</v>
      </c>
      <c r="H558" s="5">
        <v>2</v>
      </c>
      <c r="I558" s="8">
        <v>3.2400000100000002</v>
      </c>
      <c r="J558" s="5">
        <v>1</v>
      </c>
      <c r="K558" s="5">
        <v>0</v>
      </c>
      <c r="L558" s="14">
        <f t="shared" si="40"/>
        <v>0.12049088917813314</v>
      </c>
      <c r="M558" s="14">
        <f t="shared" si="44"/>
        <v>1.6200000050000001</v>
      </c>
      <c r="N558" s="20">
        <f t="shared" si="41"/>
        <v>7.4377091855708447E-5</v>
      </c>
      <c r="O558" s="14" t="str">
        <f t="shared" si="42"/>
        <v xml:space="preserve"> </v>
      </c>
      <c r="P558" s="20">
        <f t="shared" si="43"/>
        <v>0</v>
      </c>
    </row>
    <row r="559" spans="1:16" x14ac:dyDescent="0.25">
      <c r="A559">
        <v>1121143</v>
      </c>
      <c r="B559">
        <v>1178</v>
      </c>
      <c r="C559">
        <v>144539</v>
      </c>
      <c r="D559" t="s">
        <v>11</v>
      </c>
      <c r="E559" t="s">
        <v>12</v>
      </c>
      <c r="F559" s="5">
        <v>23</v>
      </c>
      <c r="G559" s="5">
        <v>221695</v>
      </c>
      <c r="H559" s="5">
        <v>31</v>
      </c>
      <c r="I559" s="8">
        <v>52.26000011</v>
      </c>
      <c r="J559" s="5">
        <v>5</v>
      </c>
      <c r="K559" s="5">
        <v>2</v>
      </c>
      <c r="L559" s="14">
        <f t="shared" si="40"/>
        <v>0.23572926818376597</v>
      </c>
      <c r="M559" s="14">
        <f t="shared" si="44"/>
        <v>1.6858064551612904</v>
      </c>
      <c r="N559" s="20">
        <f t="shared" si="41"/>
        <v>1.3983175082884144E-4</v>
      </c>
      <c r="O559" s="14">
        <f t="shared" si="42"/>
        <v>26.130000055</v>
      </c>
      <c r="P559" s="20">
        <f t="shared" si="43"/>
        <v>6.4516129032258063E-2</v>
      </c>
    </row>
    <row r="560" spans="1:16" x14ac:dyDescent="0.25">
      <c r="A560">
        <v>1121152</v>
      </c>
      <c r="B560">
        <v>1178</v>
      </c>
      <c r="C560">
        <v>144541</v>
      </c>
      <c r="D560" t="s">
        <v>11</v>
      </c>
      <c r="E560" t="s">
        <v>12</v>
      </c>
      <c r="F560" s="5">
        <v>24</v>
      </c>
      <c r="G560" s="5">
        <v>88443</v>
      </c>
      <c r="H560" s="5">
        <v>7</v>
      </c>
      <c r="I560" s="8">
        <v>13.0400002</v>
      </c>
      <c r="J560" s="5">
        <v>1</v>
      </c>
      <c r="K560" s="5">
        <v>1</v>
      </c>
      <c r="L560" s="14">
        <f t="shared" si="40"/>
        <v>0.14743959612405733</v>
      </c>
      <c r="M560" s="14">
        <f t="shared" si="44"/>
        <v>1.8628571714285713</v>
      </c>
      <c r="N560" s="20">
        <f t="shared" si="41"/>
        <v>7.9147021245321847E-5</v>
      </c>
      <c r="O560" s="14">
        <f t="shared" si="42"/>
        <v>13.0400002</v>
      </c>
      <c r="P560" s="20">
        <f t="shared" si="43"/>
        <v>0.14285714285714285</v>
      </c>
    </row>
    <row r="561" spans="1:16" x14ac:dyDescent="0.25">
      <c r="A561">
        <v>1121153</v>
      </c>
      <c r="B561">
        <v>1178</v>
      </c>
      <c r="C561">
        <v>144541</v>
      </c>
      <c r="D561" t="s">
        <v>11</v>
      </c>
      <c r="E561" t="s">
        <v>12</v>
      </c>
      <c r="F561" s="5">
        <v>24</v>
      </c>
      <c r="G561" s="5">
        <v>187856</v>
      </c>
      <c r="H561" s="5">
        <v>23</v>
      </c>
      <c r="I561" s="8">
        <v>38.389999750000001</v>
      </c>
      <c r="J561" s="5">
        <v>5</v>
      </c>
      <c r="K561" s="5">
        <v>1</v>
      </c>
      <c r="L561" s="14">
        <f t="shared" si="40"/>
        <v>0.20435865636444936</v>
      </c>
      <c r="M561" s="14">
        <f t="shared" si="44"/>
        <v>1.6691304239130436</v>
      </c>
      <c r="N561" s="20">
        <f t="shared" si="41"/>
        <v>1.2243420492291968E-4</v>
      </c>
      <c r="O561" s="14">
        <f t="shared" si="42"/>
        <v>38.389999750000001</v>
      </c>
      <c r="P561" s="20">
        <f t="shared" si="43"/>
        <v>4.3478260869565216E-2</v>
      </c>
    </row>
    <row r="562" spans="1:16" x14ac:dyDescent="0.25">
      <c r="A562">
        <v>1121164</v>
      </c>
      <c r="B562">
        <v>1178</v>
      </c>
      <c r="C562">
        <v>144545</v>
      </c>
      <c r="D562" t="s">
        <v>11</v>
      </c>
      <c r="E562" t="s">
        <v>12</v>
      </c>
      <c r="F562" s="5">
        <v>25</v>
      </c>
      <c r="G562" s="5">
        <v>570699</v>
      </c>
      <c r="H562" s="5">
        <v>80</v>
      </c>
      <c r="I562" s="8">
        <v>138.7699997</v>
      </c>
      <c r="J562" s="5">
        <v>9</v>
      </c>
      <c r="K562" s="5">
        <v>2</v>
      </c>
      <c r="L562" s="14">
        <f t="shared" si="40"/>
        <v>0.24315795138943647</v>
      </c>
      <c r="M562" s="14">
        <f t="shared" si="44"/>
        <v>1.73462499625</v>
      </c>
      <c r="N562" s="20">
        <f t="shared" si="41"/>
        <v>1.4017897350442177E-4</v>
      </c>
      <c r="O562" s="14">
        <f t="shared" si="42"/>
        <v>69.38499985</v>
      </c>
      <c r="P562" s="20">
        <f t="shared" si="43"/>
        <v>2.5000000000000001E-2</v>
      </c>
    </row>
    <row r="563" spans="1:16" x14ac:dyDescent="0.25">
      <c r="A563">
        <v>1121167</v>
      </c>
      <c r="B563">
        <v>1178</v>
      </c>
      <c r="C563">
        <v>144545</v>
      </c>
      <c r="D563" t="s">
        <v>11</v>
      </c>
      <c r="E563" t="s">
        <v>12</v>
      </c>
      <c r="F563" s="5">
        <v>25</v>
      </c>
      <c r="G563" s="5">
        <v>1063508</v>
      </c>
      <c r="H563" s="5">
        <v>145</v>
      </c>
      <c r="I563" s="8">
        <v>260.3800013</v>
      </c>
      <c r="J563" s="5">
        <v>23</v>
      </c>
      <c r="K563" s="5">
        <v>7</v>
      </c>
      <c r="L563" s="14">
        <f t="shared" si="40"/>
        <v>0.24483125778085357</v>
      </c>
      <c r="M563" s="14">
        <f t="shared" si="44"/>
        <v>1.7957241468965517</v>
      </c>
      <c r="N563" s="20">
        <f t="shared" si="41"/>
        <v>1.3634124049842597E-4</v>
      </c>
      <c r="O563" s="14">
        <f t="shared" si="42"/>
        <v>37.197143042857142</v>
      </c>
      <c r="P563" s="20">
        <f t="shared" si="43"/>
        <v>4.8275862068965517E-2</v>
      </c>
    </row>
    <row r="564" spans="1:16" x14ac:dyDescent="0.25">
      <c r="A564">
        <v>1121168</v>
      </c>
      <c r="B564">
        <v>1178</v>
      </c>
      <c r="C564">
        <v>144545</v>
      </c>
      <c r="D564" t="s">
        <v>11</v>
      </c>
      <c r="E564" t="s">
        <v>12</v>
      </c>
      <c r="F564" s="5">
        <v>25</v>
      </c>
      <c r="G564" s="5">
        <v>50523</v>
      </c>
      <c r="H564" s="5">
        <v>6</v>
      </c>
      <c r="I564" s="8">
        <v>8.5499999520000003</v>
      </c>
      <c r="J564" s="5">
        <v>1</v>
      </c>
      <c r="K564" s="5">
        <v>0</v>
      </c>
      <c r="L564" s="14">
        <f t="shared" si="40"/>
        <v>0.16922985475921859</v>
      </c>
      <c r="M564" s="14">
        <f t="shared" si="44"/>
        <v>1.424999992</v>
      </c>
      <c r="N564" s="20">
        <f t="shared" si="41"/>
        <v>1.1875779348019714E-4</v>
      </c>
      <c r="O564" s="14" t="str">
        <f t="shared" si="42"/>
        <v xml:space="preserve"> </v>
      </c>
      <c r="P564" s="20">
        <f t="shared" si="43"/>
        <v>0</v>
      </c>
    </row>
    <row r="565" spans="1:16" x14ac:dyDescent="0.25">
      <c r="A565">
        <v>1121172</v>
      </c>
      <c r="B565">
        <v>1178</v>
      </c>
      <c r="C565">
        <v>144547</v>
      </c>
      <c r="D565" t="s">
        <v>11</v>
      </c>
      <c r="E565" t="s">
        <v>12</v>
      </c>
      <c r="F565" s="5">
        <v>26</v>
      </c>
      <c r="G565" s="5">
        <v>87935</v>
      </c>
      <c r="H565" s="5">
        <v>9</v>
      </c>
      <c r="I565" s="8">
        <v>15.63000023</v>
      </c>
      <c r="J565" s="5">
        <v>1</v>
      </c>
      <c r="K565" s="5">
        <v>0</v>
      </c>
      <c r="L565" s="14">
        <f t="shared" si="40"/>
        <v>0.17774492784443055</v>
      </c>
      <c r="M565" s="14">
        <f t="shared" si="44"/>
        <v>1.7366666922222223</v>
      </c>
      <c r="N565" s="20">
        <f t="shared" si="41"/>
        <v>1.0234832546767499E-4</v>
      </c>
      <c r="O565" s="14" t="str">
        <f t="shared" si="42"/>
        <v xml:space="preserve"> </v>
      </c>
      <c r="P565" s="20">
        <f t="shared" si="43"/>
        <v>0</v>
      </c>
    </row>
    <row r="566" spans="1:16" x14ac:dyDescent="0.25">
      <c r="A566">
        <v>1121173</v>
      </c>
      <c r="B566">
        <v>1178</v>
      </c>
      <c r="C566">
        <v>144547</v>
      </c>
      <c r="D566" t="s">
        <v>11</v>
      </c>
      <c r="E566" t="s">
        <v>12</v>
      </c>
      <c r="F566" s="5">
        <v>26</v>
      </c>
      <c r="G566" s="5">
        <v>278225</v>
      </c>
      <c r="H566" s="5">
        <v>33</v>
      </c>
      <c r="I566" s="8">
        <v>60.199999570000003</v>
      </c>
      <c r="J566" s="5">
        <v>3</v>
      </c>
      <c r="K566" s="5">
        <v>0</v>
      </c>
      <c r="L566" s="14">
        <f t="shared" si="40"/>
        <v>0.21637164011142063</v>
      </c>
      <c r="M566" s="14">
        <f t="shared" si="44"/>
        <v>1.8242424112121214</v>
      </c>
      <c r="N566" s="20">
        <f t="shared" si="41"/>
        <v>1.1860903944649115E-4</v>
      </c>
      <c r="O566" s="14" t="str">
        <f t="shared" si="42"/>
        <v xml:space="preserve"> </v>
      </c>
      <c r="P566" s="20">
        <f t="shared" si="43"/>
        <v>0</v>
      </c>
    </row>
    <row r="567" spans="1:16" x14ac:dyDescent="0.25">
      <c r="A567">
        <v>1121175</v>
      </c>
      <c r="B567">
        <v>1178</v>
      </c>
      <c r="C567">
        <v>144547</v>
      </c>
      <c r="D567" t="s">
        <v>11</v>
      </c>
      <c r="E567" t="s">
        <v>12</v>
      </c>
      <c r="F567" s="5">
        <v>26</v>
      </c>
      <c r="G567" s="5">
        <v>209461</v>
      </c>
      <c r="H567" s="5">
        <v>20</v>
      </c>
      <c r="I567" s="8">
        <v>34.190000060000003</v>
      </c>
      <c r="J567" s="5">
        <v>1</v>
      </c>
      <c r="K567" s="5">
        <v>0</v>
      </c>
      <c r="L567" s="14">
        <f t="shared" si="40"/>
        <v>0.16322847718668393</v>
      </c>
      <c r="M567" s="14">
        <f t="shared" si="44"/>
        <v>1.709500003</v>
      </c>
      <c r="N567" s="20">
        <f t="shared" si="41"/>
        <v>9.5483168704436631E-5</v>
      </c>
      <c r="O567" s="14" t="str">
        <f t="shared" si="42"/>
        <v xml:space="preserve"> </v>
      </c>
      <c r="P567" s="20">
        <f t="shared" si="43"/>
        <v>0</v>
      </c>
    </row>
    <row r="568" spans="1:16" x14ac:dyDescent="0.25">
      <c r="A568">
        <v>1121177</v>
      </c>
      <c r="B568">
        <v>1178</v>
      </c>
      <c r="C568">
        <v>144547</v>
      </c>
      <c r="D568" t="s">
        <v>11</v>
      </c>
      <c r="E568" t="s">
        <v>12</v>
      </c>
      <c r="F568" s="5">
        <v>26</v>
      </c>
      <c r="G568" s="5">
        <v>26316</v>
      </c>
      <c r="H568" s="5">
        <v>2</v>
      </c>
      <c r="I568" s="8">
        <v>3.2400000100000002</v>
      </c>
      <c r="J568" s="5">
        <v>3</v>
      </c>
      <c r="K568" s="5">
        <v>0</v>
      </c>
      <c r="L568" s="14">
        <f t="shared" si="40"/>
        <v>0.12311901542787657</v>
      </c>
      <c r="M568" s="14">
        <f t="shared" si="44"/>
        <v>1.6200000050000001</v>
      </c>
      <c r="N568" s="20">
        <f t="shared" si="41"/>
        <v>7.5999392004863956E-5</v>
      </c>
      <c r="O568" s="14" t="str">
        <f t="shared" si="42"/>
        <v xml:space="preserve"> </v>
      </c>
      <c r="P568" s="20">
        <f t="shared" si="43"/>
        <v>0</v>
      </c>
    </row>
    <row r="569" spans="1:16" x14ac:dyDescent="0.25">
      <c r="A569">
        <v>1121181</v>
      </c>
      <c r="B569">
        <v>1178</v>
      </c>
      <c r="C569">
        <v>144549</v>
      </c>
      <c r="D569" t="s">
        <v>11</v>
      </c>
      <c r="E569" t="s">
        <v>12</v>
      </c>
      <c r="F569" s="5">
        <v>27</v>
      </c>
      <c r="G569" s="5">
        <v>41030</v>
      </c>
      <c r="H569" s="5">
        <v>3</v>
      </c>
      <c r="I569" s="8">
        <v>5.1400001050000004</v>
      </c>
      <c r="J569" s="5">
        <v>2</v>
      </c>
      <c r="K569" s="5">
        <v>1</v>
      </c>
      <c r="L569" s="14">
        <f t="shared" si="40"/>
        <v>0.12527419217645627</v>
      </c>
      <c r="M569" s="14">
        <f t="shared" si="44"/>
        <v>1.7133333683333334</v>
      </c>
      <c r="N569" s="20">
        <f t="shared" si="41"/>
        <v>7.3117231294175E-5</v>
      </c>
      <c r="O569" s="14">
        <f t="shared" si="42"/>
        <v>5.1400001050000004</v>
      </c>
      <c r="P569" s="20">
        <f t="shared" si="43"/>
        <v>0.33333333333333331</v>
      </c>
    </row>
    <row r="570" spans="1:16" x14ac:dyDescent="0.25">
      <c r="A570">
        <v>1121182</v>
      </c>
      <c r="B570">
        <v>1178</v>
      </c>
      <c r="C570">
        <v>144549</v>
      </c>
      <c r="D570" t="s">
        <v>11</v>
      </c>
      <c r="E570" t="s">
        <v>12</v>
      </c>
      <c r="F570" s="5">
        <v>27</v>
      </c>
      <c r="G570" s="5">
        <v>876671</v>
      </c>
      <c r="H570" s="5">
        <v>120</v>
      </c>
      <c r="I570" s="8">
        <v>216.5599982</v>
      </c>
      <c r="J570" s="5">
        <v>22</v>
      </c>
      <c r="K570" s="5">
        <v>4</v>
      </c>
      <c r="L570" s="14">
        <f t="shared" si="40"/>
        <v>0.24702539287828618</v>
      </c>
      <c r="M570" s="14">
        <f t="shared" si="44"/>
        <v>1.8046666516666667</v>
      </c>
      <c r="N570" s="20">
        <f t="shared" si="41"/>
        <v>1.3688145267723011E-4</v>
      </c>
      <c r="O570" s="14">
        <f t="shared" si="42"/>
        <v>54.139999549999999</v>
      </c>
      <c r="P570" s="20">
        <f t="shared" si="43"/>
        <v>3.3333333333333333E-2</v>
      </c>
    </row>
    <row r="571" spans="1:16" x14ac:dyDescent="0.25">
      <c r="A571">
        <v>1121183</v>
      </c>
      <c r="B571">
        <v>1178</v>
      </c>
      <c r="C571">
        <v>144549</v>
      </c>
      <c r="D571" t="s">
        <v>11</v>
      </c>
      <c r="E571" t="s">
        <v>12</v>
      </c>
      <c r="F571" s="5">
        <v>27</v>
      </c>
      <c r="G571" s="5">
        <v>399392</v>
      </c>
      <c r="H571" s="5">
        <v>53</v>
      </c>
      <c r="I571" s="8">
        <v>93.070000410000006</v>
      </c>
      <c r="J571" s="5">
        <v>5</v>
      </c>
      <c r="K571" s="5">
        <v>0</v>
      </c>
      <c r="L571" s="14">
        <f t="shared" si="40"/>
        <v>0.23302920541723421</v>
      </c>
      <c r="M571" s="14">
        <f t="shared" si="44"/>
        <v>1.7560377435849057</v>
      </c>
      <c r="N571" s="20">
        <f t="shared" si="41"/>
        <v>1.3270170659402292E-4</v>
      </c>
      <c r="O571" s="14" t="str">
        <f t="shared" si="42"/>
        <v xml:space="preserve"> </v>
      </c>
      <c r="P571" s="20">
        <f t="shared" si="43"/>
        <v>0</v>
      </c>
    </row>
    <row r="572" spans="1:16" x14ac:dyDescent="0.25">
      <c r="A572">
        <v>1121184</v>
      </c>
      <c r="B572">
        <v>1178</v>
      </c>
      <c r="C572">
        <v>144549</v>
      </c>
      <c r="D572" t="s">
        <v>11</v>
      </c>
      <c r="E572" t="s">
        <v>12</v>
      </c>
      <c r="F572" s="5">
        <v>27</v>
      </c>
      <c r="G572" s="5">
        <v>283858</v>
      </c>
      <c r="H572" s="5">
        <v>30</v>
      </c>
      <c r="I572" s="8">
        <v>56.059999230000003</v>
      </c>
      <c r="J572" s="5">
        <v>1</v>
      </c>
      <c r="K572" s="5">
        <v>0</v>
      </c>
      <c r="L572" s="14">
        <f t="shared" si="40"/>
        <v>0.19749311004093598</v>
      </c>
      <c r="M572" s="14">
        <f t="shared" si="44"/>
        <v>1.8686666410000001</v>
      </c>
      <c r="N572" s="20">
        <f t="shared" si="41"/>
        <v>1.0568664613997139E-4</v>
      </c>
      <c r="O572" s="14" t="str">
        <f t="shared" si="42"/>
        <v xml:space="preserve"> </v>
      </c>
      <c r="P572" s="20">
        <f t="shared" si="43"/>
        <v>0</v>
      </c>
    </row>
    <row r="573" spans="1:16" x14ac:dyDescent="0.25">
      <c r="A573">
        <v>1121185</v>
      </c>
      <c r="B573">
        <v>1178</v>
      </c>
      <c r="C573">
        <v>144549</v>
      </c>
      <c r="D573" t="s">
        <v>11</v>
      </c>
      <c r="E573" t="s">
        <v>12</v>
      </c>
      <c r="F573" s="5">
        <v>27</v>
      </c>
      <c r="G573" s="5">
        <v>260699</v>
      </c>
      <c r="H573" s="5">
        <v>31</v>
      </c>
      <c r="I573" s="8">
        <v>54.099998710000001</v>
      </c>
      <c r="J573" s="5">
        <v>5</v>
      </c>
      <c r="K573" s="5">
        <v>2</v>
      </c>
      <c r="L573" s="14">
        <f t="shared" si="40"/>
        <v>0.20751901123517927</v>
      </c>
      <c r="M573" s="14">
        <f t="shared" si="44"/>
        <v>1.7451612487096775</v>
      </c>
      <c r="N573" s="20">
        <f t="shared" si="41"/>
        <v>1.1891108136203054E-4</v>
      </c>
      <c r="O573" s="14">
        <f t="shared" si="42"/>
        <v>27.049999355000001</v>
      </c>
      <c r="P573" s="20">
        <f t="shared" si="43"/>
        <v>6.4516129032258063E-2</v>
      </c>
    </row>
    <row r="574" spans="1:16" x14ac:dyDescent="0.25">
      <c r="A574">
        <v>1121193</v>
      </c>
      <c r="B574">
        <v>1178</v>
      </c>
      <c r="C574">
        <v>144552</v>
      </c>
      <c r="D574" t="s">
        <v>11</v>
      </c>
      <c r="E574" t="s">
        <v>12</v>
      </c>
      <c r="F574" s="5">
        <v>28</v>
      </c>
      <c r="G574" s="5">
        <v>57781</v>
      </c>
      <c r="H574" s="5">
        <v>5</v>
      </c>
      <c r="I574" s="8">
        <v>7.8000000719999996</v>
      </c>
      <c r="J574" s="5">
        <v>2</v>
      </c>
      <c r="K574" s="5">
        <v>1</v>
      </c>
      <c r="L574" s="14">
        <f t="shared" si="40"/>
        <v>0.13499247281978505</v>
      </c>
      <c r="M574" s="14">
        <f t="shared" si="44"/>
        <v>1.5600000143999999</v>
      </c>
      <c r="N574" s="20">
        <f t="shared" si="41"/>
        <v>8.6533635624167117E-5</v>
      </c>
      <c r="O574" s="14">
        <f t="shared" si="42"/>
        <v>7.8000000719999996</v>
      </c>
      <c r="P574" s="20">
        <f t="shared" si="43"/>
        <v>0.2</v>
      </c>
    </row>
    <row r="575" spans="1:16" x14ac:dyDescent="0.25">
      <c r="A575">
        <v>1121195</v>
      </c>
      <c r="B575">
        <v>1178</v>
      </c>
      <c r="C575">
        <v>144552</v>
      </c>
      <c r="D575" t="s">
        <v>11</v>
      </c>
      <c r="E575" t="s">
        <v>12</v>
      </c>
      <c r="F575" s="5">
        <v>28</v>
      </c>
      <c r="G575" s="5">
        <v>38757</v>
      </c>
      <c r="H575" s="5">
        <v>3</v>
      </c>
      <c r="I575" s="8">
        <v>5.2200000290000004</v>
      </c>
      <c r="J575" s="5">
        <v>1</v>
      </c>
      <c r="K575" s="5">
        <v>0</v>
      </c>
      <c r="L575" s="14">
        <f t="shared" si="40"/>
        <v>0.13468534791134507</v>
      </c>
      <c r="M575" s="14">
        <f t="shared" si="44"/>
        <v>1.7400000096666668</v>
      </c>
      <c r="N575" s="20">
        <f t="shared" si="41"/>
        <v>7.740537193281214E-5</v>
      </c>
      <c r="O575" s="14" t="str">
        <f t="shared" si="42"/>
        <v xml:space="preserve"> </v>
      </c>
      <c r="P575" s="20">
        <f t="shared" si="43"/>
        <v>0</v>
      </c>
    </row>
    <row r="576" spans="1:16" x14ac:dyDescent="0.25">
      <c r="A576">
        <v>1121196</v>
      </c>
      <c r="B576">
        <v>1178</v>
      </c>
      <c r="C576">
        <v>144552</v>
      </c>
      <c r="D576" t="s">
        <v>11</v>
      </c>
      <c r="E576" t="s">
        <v>12</v>
      </c>
      <c r="F576" s="5">
        <v>28</v>
      </c>
      <c r="G576" s="5">
        <v>1392288</v>
      </c>
      <c r="H576" s="5">
        <v>206</v>
      </c>
      <c r="I576" s="8">
        <v>358.55000289999998</v>
      </c>
      <c r="J576" s="5">
        <v>31</v>
      </c>
      <c r="K576" s="5">
        <v>7</v>
      </c>
      <c r="L576" s="14">
        <f t="shared" si="40"/>
        <v>0.2575257438834494</v>
      </c>
      <c r="M576" s="14">
        <f t="shared" si="44"/>
        <v>1.7405339946601941</v>
      </c>
      <c r="N576" s="20">
        <f t="shared" si="41"/>
        <v>1.4795789376910524E-4</v>
      </c>
      <c r="O576" s="14">
        <f t="shared" si="42"/>
        <v>51.221428985714283</v>
      </c>
      <c r="P576" s="20">
        <f t="shared" si="43"/>
        <v>3.3980582524271843E-2</v>
      </c>
    </row>
    <row r="577" spans="1:16" x14ac:dyDescent="0.25">
      <c r="A577">
        <v>1121197</v>
      </c>
      <c r="B577">
        <v>1178</v>
      </c>
      <c r="C577">
        <v>144552</v>
      </c>
      <c r="D577" t="s">
        <v>11</v>
      </c>
      <c r="E577" t="s">
        <v>12</v>
      </c>
      <c r="F577" s="5">
        <v>28</v>
      </c>
      <c r="G577" s="5">
        <v>1109387</v>
      </c>
      <c r="H577" s="5">
        <v>159</v>
      </c>
      <c r="I577" s="8">
        <v>280.98999950000001</v>
      </c>
      <c r="J577" s="5">
        <v>13</v>
      </c>
      <c r="K577" s="5">
        <v>2</v>
      </c>
      <c r="L577" s="14">
        <f t="shared" si="40"/>
        <v>0.25328402036439945</v>
      </c>
      <c r="M577" s="14">
        <f t="shared" si="44"/>
        <v>1.7672327012578617</v>
      </c>
      <c r="N577" s="20">
        <f t="shared" si="41"/>
        <v>1.4332239335777326E-4</v>
      </c>
      <c r="O577" s="14">
        <f t="shared" si="42"/>
        <v>140.49499975000001</v>
      </c>
      <c r="P577" s="20">
        <f t="shared" si="43"/>
        <v>1.2578616352201259E-2</v>
      </c>
    </row>
    <row r="578" spans="1:16" x14ac:dyDescent="0.25">
      <c r="A578">
        <v>1121202</v>
      </c>
      <c r="B578">
        <v>1178</v>
      </c>
      <c r="C578">
        <v>144554</v>
      </c>
      <c r="D578" t="s">
        <v>11</v>
      </c>
      <c r="E578" t="s">
        <v>12</v>
      </c>
      <c r="F578" s="5">
        <v>29</v>
      </c>
      <c r="G578" s="5">
        <v>581281</v>
      </c>
      <c r="H578" s="5">
        <v>65</v>
      </c>
      <c r="I578" s="8">
        <v>115.1200008</v>
      </c>
      <c r="J578" s="5">
        <v>10</v>
      </c>
      <c r="K578" s="5">
        <v>5</v>
      </c>
      <c r="L578" s="14">
        <f t="shared" si="40"/>
        <v>0.19804535293601544</v>
      </c>
      <c r="M578" s="14">
        <f t="shared" si="44"/>
        <v>1.7710769353846154</v>
      </c>
      <c r="N578" s="20">
        <f t="shared" si="41"/>
        <v>1.1182199314961266E-4</v>
      </c>
      <c r="O578" s="14">
        <f t="shared" si="42"/>
        <v>23.02400016</v>
      </c>
      <c r="P578" s="20">
        <f t="shared" si="43"/>
        <v>7.6923076923076927E-2</v>
      </c>
    </row>
    <row r="579" spans="1:16" x14ac:dyDescent="0.25">
      <c r="A579">
        <v>1121203</v>
      </c>
      <c r="B579">
        <v>1178</v>
      </c>
      <c r="C579">
        <v>144554</v>
      </c>
      <c r="D579" t="s">
        <v>11</v>
      </c>
      <c r="E579" t="s">
        <v>12</v>
      </c>
      <c r="F579" s="5">
        <v>29</v>
      </c>
      <c r="G579" s="5">
        <v>1048861</v>
      </c>
      <c r="H579" s="5">
        <v>128</v>
      </c>
      <c r="I579" s="8">
        <v>219.77000200000001</v>
      </c>
      <c r="J579" s="5">
        <v>22</v>
      </c>
      <c r="K579" s="5">
        <v>8</v>
      </c>
      <c r="L579" s="14">
        <f t="shared" ref="L579:L642" si="45">IF(G579=0,0,(I579/G579)*1000)</f>
        <v>0.20953205620191809</v>
      </c>
      <c r="M579" s="14">
        <f t="shared" si="44"/>
        <v>1.716953140625</v>
      </c>
      <c r="N579" s="20">
        <f t="shared" ref="N579:N642" si="46">IF(G579=0,0,(H579/G579))</f>
        <v>1.220371431486155E-4</v>
      </c>
      <c r="O579" s="14">
        <f t="shared" ref="O579:O642" si="47">IF(K579&gt;0, I579/K579, " ")</f>
        <v>27.471250250000001</v>
      </c>
      <c r="P579" s="20">
        <f t="shared" ref="P579:P642" si="48">IF(H579=0,0,(K579/H579))</f>
        <v>6.25E-2</v>
      </c>
    </row>
    <row r="580" spans="1:16" x14ac:dyDescent="0.25">
      <c r="A580">
        <v>1121205</v>
      </c>
      <c r="B580">
        <v>1178</v>
      </c>
      <c r="C580">
        <v>144554</v>
      </c>
      <c r="D580" t="s">
        <v>11</v>
      </c>
      <c r="E580" t="s">
        <v>12</v>
      </c>
      <c r="F580" s="5">
        <v>29</v>
      </c>
      <c r="G580" s="5">
        <v>297452</v>
      </c>
      <c r="H580" s="5">
        <v>30</v>
      </c>
      <c r="I580" s="8">
        <v>52.019999859999999</v>
      </c>
      <c r="J580" s="5">
        <v>4</v>
      </c>
      <c r="K580" s="5">
        <v>1</v>
      </c>
      <c r="L580" s="14">
        <f t="shared" si="45"/>
        <v>0.1748853591840028</v>
      </c>
      <c r="M580" s="14">
        <f t="shared" si="44"/>
        <v>1.7339999953333334</v>
      </c>
      <c r="N580" s="20">
        <f t="shared" si="46"/>
        <v>1.0085660879738579E-4</v>
      </c>
      <c r="O580" s="14">
        <f t="shared" si="47"/>
        <v>52.019999859999999</v>
      </c>
      <c r="P580" s="20">
        <f t="shared" si="48"/>
        <v>3.3333333333333333E-2</v>
      </c>
    </row>
    <row r="581" spans="1:16" x14ac:dyDescent="0.25">
      <c r="A581">
        <v>1121206</v>
      </c>
      <c r="B581">
        <v>1178</v>
      </c>
      <c r="C581">
        <v>144554</v>
      </c>
      <c r="D581" t="s">
        <v>11</v>
      </c>
      <c r="E581" t="s">
        <v>12</v>
      </c>
      <c r="F581" s="5">
        <v>29</v>
      </c>
      <c r="G581" s="5">
        <v>227925</v>
      </c>
      <c r="H581" s="5">
        <v>22</v>
      </c>
      <c r="I581" s="8">
        <v>35.309999939999997</v>
      </c>
      <c r="J581" s="5">
        <v>22</v>
      </c>
      <c r="K581" s="5">
        <v>12</v>
      </c>
      <c r="L581" s="14">
        <f t="shared" si="45"/>
        <v>0.15491938111220796</v>
      </c>
      <c r="M581" s="14">
        <f t="shared" ref="M581:M644" si="49">IF(H581&gt;0, I581/H581, " ")</f>
        <v>1.6049999972727271</v>
      </c>
      <c r="N581" s="20">
        <f t="shared" si="46"/>
        <v>9.6522979050126136E-5</v>
      </c>
      <c r="O581" s="14">
        <f t="shared" si="47"/>
        <v>2.9424999949999999</v>
      </c>
      <c r="P581" s="20">
        <f t="shared" si="48"/>
        <v>0.54545454545454541</v>
      </c>
    </row>
    <row r="582" spans="1:16" x14ac:dyDescent="0.25">
      <c r="A582">
        <v>1121207</v>
      </c>
      <c r="B582">
        <v>1178</v>
      </c>
      <c r="C582">
        <v>144554</v>
      </c>
      <c r="D582" t="s">
        <v>11</v>
      </c>
      <c r="E582" t="s">
        <v>12</v>
      </c>
      <c r="F582" s="5">
        <v>29</v>
      </c>
      <c r="G582" s="5">
        <v>374175</v>
      </c>
      <c r="H582" s="5">
        <v>38</v>
      </c>
      <c r="I582" s="8">
        <v>63.320001009999999</v>
      </c>
      <c r="J582" s="5">
        <v>8</v>
      </c>
      <c r="K582" s="5">
        <v>3</v>
      </c>
      <c r="L582" s="14">
        <f t="shared" si="45"/>
        <v>0.16922563241798624</v>
      </c>
      <c r="M582" s="14">
        <f t="shared" si="49"/>
        <v>1.6663158160526315</v>
      </c>
      <c r="N582" s="20">
        <f t="shared" si="46"/>
        <v>1.0155675820137636E-4</v>
      </c>
      <c r="O582" s="14">
        <f t="shared" si="47"/>
        <v>21.106667003333332</v>
      </c>
      <c r="P582" s="20">
        <f t="shared" si="48"/>
        <v>7.8947368421052627E-2</v>
      </c>
    </row>
    <row r="583" spans="1:16" x14ac:dyDescent="0.25">
      <c r="A583">
        <v>1121211</v>
      </c>
      <c r="B583">
        <v>1178</v>
      </c>
      <c r="C583">
        <v>144556</v>
      </c>
      <c r="D583" t="s">
        <v>11</v>
      </c>
      <c r="E583" t="s">
        <v>12</v>
      </c>
      <c r="F583" s="5">
        <v>30</v>
      </c>
      <c r="G583" s="5">
        <v>223586</v>
      </c>
      <c r="H583" s="5">
        <v>32</v>
      </c>
      <c r="I583" s="8">
        <v>54.240000369999997</v>
      </c>
      <c r="J583" s="5">
        <v>1</v>
      </c>
      <c r="K583" s="5">
        <v>0</v>
      </c>
      <c r="L583" s="14">
        <f t="shared" si="45"/>
        <v>0.24259121935183775</v>
      </c>
      <c r="M583" s="14">
        <f t="shared" si="49"/>
        <v>1.6950000115624999</v>
      </c>
      <c r="N583" s="20">
        <f t="shared" si="46"/>
        <v>1.4312166235810829E-4</v>
      </c>
      <c r="O583" s="14" t="str">
        <f t="shared" si="47"/>
        <v xml:space="preserve"> </v>
      </c>
      <c r="P583" s="20">
        <f t="shared" si="48"/>
        <v>0</v>
      </c>
    </row>
    <row r="584" spans="1:16" x14ac:dyDescent="0.25">
      <c r="A584">
        <v>1121213</v>
      </c>
      <c r="B584">
        <v>1178</v>
      </c>
      <c r="C584">
        <v>144556</v>
      </c>
      <c r="D584" t="s">
        <v>11</v>
      </c>
      <c r="E584" t="s">
        <v>12</v>
      </c>
      <c r="F584" s="5">
        <v>30</v>
      </c>
      <c r="G584" s="5">
        <v>283170</v>
      </c>
      <c r="H584" s="5">
        <v>39</v>
      </c>
      <c r="I584" s="8">
        <v>65.229999960000001</v>
      </c>
      <c r="J584" s="5">
        <v>2</v>
      </c>
      <c r="K584" s="5">
        <v>1</v>
      </c>
      <c r="L584" s="14">
        <f t="shared" si="45"/>
        <v>0.23035632291556307</v>
      </c>
      <c r="M584" s="14">
        <f t="shared" si="49"/>
        <v>1.6725641015384616</v>
      </c>
      <c r="N584" s="20">
        <f t="shared" si="46"/>
        <v>1.3772645407352473E-4</v>
      </c>
      <c r="O584" s="14">
        <f t="shared" si="47"/>
        <v>65.229999960000001</v>
      </c>
      <c r="P584" s="20">
        <f t="shared" si="48"/>
        <v>2.564102564102564E-2</v>
      </c>
    </row>
    <row r="585" spans="1:16" x14ac:dyDescent="0.25">
      <c r="A585">
        <v>1121215</v>
      </c>
      <c r="B585">
        <v>1178</v>
      </c>
      <c r="C585">
        <v>144556</v>
      </c>
      <c r="D585" t="s">
        <v>11</v>
      </c>
      <c r="E585" t="s">
        <v>12</v>
      </c>
      <c r="F585" s="5">
        <v>30</v>
      </c>
      <c r="G585" s="5">
        <v>41636</v>
      </c>
      <c r="H585" s="5">
        <v>3</v>
      </c>
      <c r="I585" s="8">
        <v>4.2100000380000004</v>
      </c>
      <c r="J585" s="5">
        <v>1</v>
      </c>
      <c r="K585" s="5">
        <v>0</v>
      </c>
      <c r="L585" s="14">
        <f t="shared" si="45"/>
        <v>0.10111442112594871</v>
      </c>
      <c r="M585" s="14">
        <f t="shared" si="49"/>
        <v>1.4033333460000001</v>
      </c>
      <c r="N585" s="20">
        <f t="shared" si="46"/>
        <v>7.2053031030838702E-5</v>
      </c>
      <c r="O585" s="14" t="str">
        <f t="shared" si="47"/>
        <v xml:space="preserve"> </v>
      </c>
      <c r="P585" s="20">
        <f t="shared" si="48"/>
        <v>0</v>
      </c>
    </row>
    <row r="586" spans="1:16" x14ac:dyDescent="0.25">
      <c r="A586">
        <v>1121216</v>
      </c>
      <c r="B586">
        <v>1178</v>
      </c>
      <c r="C586">
        <v>144556</v>
      </c>
      <c r="D586" t="s">
        <v>11</v>
      </c>
      <c r="E586" t="s">
        <v>12</v>
      </c>
      <c r="F586" s="5">
        <v>30</v>
      </c>
      <c r="G586" s="5">
        <v>198658</v>
      </c>
      <c r="H586" s="5">
        <v>30</v>
      </c>
      <c r="I586" s="8">
        <v>48.609999780000003</v>
      </c>
      <c r="J586" s="5">
        <v>8</v>
      </c>
      <c r="K586" s="5">
        <v>1</v>
      </c>
      <c r="L586" s="14">
        <f t="shared" si="45"/>
        <v>0.24469188142435744</v>
      </c>
      <c r="M586" s="14">
        <f t="shared" si="49"/>
        <v>1.6203333260000001</v>
      </c>
      <c r="N586" s="20">
        <f t="shared" si="46"/>
        <v>1.5101329923788621E-4</v>
      </c>
      <c r="O586" s="14">
        <f t="shared" si="47"/>
        <v>48.609999780000003</v>
      </c>
      <c r="P586" s="20">
        <f t="shared" si="48"/>
        <v>3.3333333333333333E-2</v>
      </c>
    </row>
    <row r="587" spans="1:16" x14ac:dyDescent="0.25">
      <c r="A587">
        <v>1121220</v>
      </c>
      <c r="B587">
        <v>1178</v>
      </c>
      <c r="C587">
        <v>144558</v>
      </c>
      <c r="D587" t="s">
        <v>11</v>
      </c>
      <c r="E587" t="s">
        <v>12</v>
      </c>
      <c r="F587" s="5">
        <v>31</v>
      </c>
      <c r="G587" s="5">
        <v>100596</v>
      </c>
      <c r="H587" s="5">
        <v>10</v>
      </c>
      <c r="I587" s="8">
        <v>13.91999972</v>
      </c>
      <c r="J587" s="5">
        <v>4</v>
      </c>
      <c r="K587" s="5">
        <v>2</v>
      </c>
      <c r="L587" s="14">
        <f t="shared" si="45"/>
        <v>0.13837528052805281</v>
      </c>
      <c r="M587" s="14">
        <f t="shared" si="49"/>
        <v>1.391999972</v>
      </c>
      <c r="N587" s="20">
        <f t="shared" si="46"/>
        <v>9.9407531114557233E-5</v>
      </c>
      <c r="O587" s="14">
        <f t="shared" si="47"/>
        <v>6.9599998599999999</v>
      </c>
      <c r="P587" s="20">
        <f t="shared" si="48"/>
        <v>0.2</v>
      </c>
    </row>
    <row r="588" spans="1:16" x14ac:dyDescent="0.25">
      <c r="A588">
        <v>1121223</v>
      </c>
      <c r="B588">
        <v>1178</v>
      </c>
      <c r="C588">
        <v>144558</v>
      </c>
      <c r="D588" t="s">
        <v>11</v>
      </c>
      <c r="E588" t="s">
        <v>12</v>
      </c>
      <c r="F588" s="5">
        <v>31</v>
      </c>
      <c r="G588" s="5">
        <v>64020</v>
      </c>
      <c r="H588" s="5">
        <v>5</v>
      </c>
      <c r="I588" s="8">
        <v>11.059999700000001</v>
      </c>
      <c r="J588" s="5">
        <v>1</v>
      </c>
      <c r="K588" s="5">
        <v>0</v>
      </c>
      <c r="L588" s="14">
        <f t="shared" si="45"/>
        <v>0.17275850827866293</v>
      </c>
      <c r="M588" s="14">
        <f t="shared" si="49"/>
        <v>2.2119999400000001</v>
      </c>
      <c r="N588" s="20">
        <f t="shared" si="46"/>
        <v>7.8100593564511088E-5</v>
      </c>
      <c r="O588" s="14" t="str">
        <f t="shared" si="47"/>
        <v xml:space="preserve"> </v>
      </c>
      <c r="P588" s="20">
        <f t="shared" si="48"/>
        <v>0</v>
      </c>
    </row>
    <row r="589" spans="1:16" x14ac:dyDescent="0.25">
      <c r="A589">
        <v>1121224</v>
      </c>
      <c r="B589">
        <v>1178</v>
      </c>
      <c r="C589">
        <v>144558</v>
      </c>
      <c r="D589" t="s">
        <v>11</v>
      </c>
      <c r="E589" t="s">
        <v>12</v>
      </c>
      <c r="F589" s="5">
        <v>31</v>
      </c>
      <c r="G589" s="5">
        <v>14289</v>
      </c>
      <c r="H589" s="5">
        <v>0</v>
      </c>
      <c r="I589" s="8">
        <v>0</v>
      </c>
      <c r="J589" s="5">
        <v>1</v>
      </c>
      <c r="K589" s="5">
        <v>0</v>
      </c>
      <c r="L589" s="14">
        <f t="shared" si="45"/>
        <v>0</v>
      </c>
      <c r="M589" s="14" t="str">
        <f t="shared" si="49"/>
        <v xml:space="preserve"> </v>
      </c>
      <c r="N589" s="20">
        <f t="shared" si="46"/>
        <v>0</v>
      </c>
      <c r="O589" s="14" t="str">
        <f t="shared" si="47"/>
        <v xml:space="preserve"> </v>
      </c>
      <c r="P589" s="20">
        <f t="shared" si="48"/>
        <v>0</v>
      </c>
    </row>
    <row r="590" spans="1:16" x14ac:dyDescent="0.25">
      <c r="A590">
        <v>1121229</v>
      </c>
      <c r="B590">
        <v>1178</v>
      </c>
      <c r="C590">
        <v>144561</v>
      </c>
      <c r="D590" t="s">
        <v>11</v>
      </c>
      <c r="E590" t="s">
        <v>12</v>
      </c>
      <c r="F590" s="5">
        <v>32</v>
      </c>
      <c r="G590" s="5">
        <v>404866</v>
      </c>
      <c r="H590" s="5">
        <v>43</v>
      </c>
      <c r="I590" s="8">
        <v>87.420000790000003</v>
      </c>
      <c r="J590" s="5">
        <v>4</v>
      </c>
      <c r="K590" s="5">
        <v>0</v>
      </c>
      <c r="L590" s="14">
        <f t="shared" si="45"/>
        <v>0.2159232950902274</v>
      </c>
      <c r="M590" s="14">
        <f t="shared" si="49"/>
        <v>2.0330232741860468</v>
      </c>
      <c r="N590" s="20">
        <f t="shared" si="46"/>
        <v>1.0620797992422184E-4</v>
      </c>
      <c r="O590" s="14" t="str">
        <f t="shared" si="47"/>
        <v xml:space="preserve"> </v>
      </c>
      <c r="P590" s="20">
        <f t="shared" si="48"/>
        <v>0</v>
      </c>
    </row>
    <row r="591" spans="1:16" x14ac:dyDescent="0.25">
      <c r="A591">
        <v>1121231</v>
      </c>
      <c r="B591">
        <v>1178</v>
      </c>
      <c r="C591">
        <v>144561</v>
      </c>
      <c r="D591" t="s">
        <v>11</v>
      </c>
      <c r="E591" t="s">
        <v>12</v>
      </c>
      <c r="F591" s="5">
        <v>32</v>
      </c>
      <c r="G591" s="5">
        <v>22256</v>
      </c>
      <c r="H591" s="5">
        <v>1</v>
      </c>
      <c r="I591" s="8">
        <v>1.6599999670000001</v>
      </c>
      <c r="J591" s="5">
        <v>1</v>
      </c>
      <c r="K591" s="5">
        <v>1</v>
      </c>
      <c r="L591" s="14">
        <f t="shared" si="45"/>
        <v>7.4586626842199855E-2</v>
      </c>
      <c r="M591" s="14">
        <f t="shared" si="49"/>
        <v>1.6599999670000001</v>
      </c>
      <c r="N591" s="20">
        <f t="shared" si="46"/>
        <v>4.4931703810208485E-5</v>
      </c>
      <c r="O591" s="14">
        <f t="shared" si="47"/>
        <v>1.6599999670000001</v>
      </c>
      <c r="P591" s="20">
        <f t="shared" si="48"/>
        <v>1</v>
      </c>
    </row>
    <row r="592" spans="1:16" x14ac:dyDescent="0.25">
      <c r="A592">
        <v>1121233</v>
      </c>
      <c r="B592">
        <v>1178</v>
      </c>
      <c r="C592">
        <v>144561</v>
      </c>
      <c r="D592" t="s">
        <v>11</v>
      </c>
      <c r="E592" t="s">
        <v>12</v>
      </c>
      <c r="F592" s="5">
        <v>32</v>
      </c>
      <c r="G592" s="5">
        <v>57690</v>
      </c>
      <c r="H592" s="5">
        <v>4</v>
      </c>
      <c r="I592" s="8">
        <v>6.7400000100000002</v>
      </c>
      <c r="J592" s="5">
        <v>1</v>
      </c>
      <c r="K592" s="5">
        <v>0</v>
      </c>
      <c r="L592" s="14">
        <f t="shared" si="45"/>
        <v>0.11683134009360374</v>
      </c>
      <c r="M592" s="14">
        <f t="shared" si="49"/>
        <v>1.6850000025</v>
      </c>
      <c r="N592" s="20">
        <f t="shared" si="46"/>
        <v>6.9336106777604433E-5</v>
      </c>
      <c r="O592" s="14" t="str">
        <f t="shared" si="47"/>
        <v xml:space="preserve"> </v>
      </c>
      <c r="P592" s="20">
        <f t="shared" si="48"/>
        <v>0</v>
      </c>
    </row>
    <row r="593" spans="1:16" x14ac:dyDescent="0.25">
      <c r="A593">
        <v>1121241</v>
      </c>
      <c r="B593">
        <v>1178</v>
      </c>
      <c r="C593">
        <v>144562</v>
      </c>
      <c r="D593" t="s">
        <v>11</v>
      </c>
      <c r="E593" t="s">
        <v>12</v>
      </c>
      <c r="F593" s="5">
        <v>36</v>
      </c>
      <c r="G593" s="5">
        <v>24952</v>
      </c>
      <c r="H593" s="5">
        <v>5</v>
      </c>
      <c r="I593" s="8">
        <v>8.2200002669999996</v>
      </c>
      <c r="J593" s="5">
        <v>3</v>
      </c>
      <c r="K593" s="5">
        <v>2</v>
      </c>
      <c r="L593" s="14">
        <f t="shared" si="45"/>
        <v>0.32943252112055144</v>
      </c>
      <c r="M593" s="14">
        <f t="shared" si="49"/>
        <v>1.6440000533999999</v>
      </c>
      <c r="N593" s="20">
        <f t="shared" si="46"/>
        <v>2.0038473869830073E-4</v>
      </c>
      <c r="O593" s="14">
        <f t="shared" si="47"/>
        <v>4.1100001334999998</v>
      </c>
      <c r="P593" s="20">
        <f t="shared" si="48"/>
        <v>0.4</v>
      </c>
    </row>
    <row r="594" spans="1:16" x14ac:dyDescent="0.25">
      <c r="A594">
        <v>1121242</v>
      </c>
      <c r="B594">
        <v>1178</v>
      </c>
      <c r="C594">
        <v>144562</v>
      </c>
      <c r="D594" t="s">
        <v>11</v>
      </c>
      <c r="E594" t="s">
        <v>12</v>
      </c>
      <c r="F594" s="5">
        <v>36</v>
      </c>
      <c r="G594" s="5">
        <v>38900</v>
      </c>
      <c r="H594" s="5">
        <v>3</v>
      </c>
      <c r="I594" s="8">
        <v>5.5800000430000001</v>
      </c>
      <c r="J594" s="5">
        <v>1</v>
      </c>
      <c r="K594" s="5">
        <v>0</v>
      </c>
      <c r="L594" s="14">
        <f t="shared" si="45"/>
        <v>0.1434447311825193</v>
      </c>
      <c r="M594" s="14">
        <f t="shared" si="49"/>
        <v>1.8600000143333333</v>
      </c>
      <c r="N594" s="20">
        <f t="shared" si="46"/>
        <v>7.7120822622107972E-5</v>
      </c>
      <c r="O594" s="14" t="str">
        <f t="shared" si="47"/>
        <v xml:space="preserve"> </v>
      </c>
      <c r="P594" s="20">
        <f t="shared" si="48"/>
        <v>0</v>
      </c>
    </row>
    <row r="595" spans="1:16" x14ac:dyDescent="0.25">
      <c r="A595">
        <v>1121243</v>
      </c>
      <c r="B595">
        <v>1178</v>
      </c>
      <c r="C595">
        <v>144562</v>
      </c>
      <c r="D595" t="s">
        <v>11</v>
      </c>
      <c r="E595" t="s">
        <v>12</v>
      </c>
      <c r="F595" s="5">
        <v>36</v>
      </c>
      <c r="G595" s="5">
        <v>53520</v>
      </c>
      <c r="H595" s="5">
        <v>6</v>
      </c>
      <c r="I595" s="8">
        <v>9.2299998999999993</v>
      </c>
      <c r="J595" s="5">
        <v>1</v>
      </c>
      <c r="K595" s="5">
        <v>1</v>
      </c>
      <c r="L595" s="14">
        <f t="shared" si="45"/>
        <v>0.17245889200298953</v>
      </c>
      <c r="M595" s="14">
        <f t="shared" si="49"/>
        <v>1.5383333166666666</v>
      </c>
      <c r="N595" s="20">
        <f t="shared" si="46"/>
        <v>1.1210762331838565E-4</v>
      </c>
      <c r="O595" s="14">
        <f t="shared" si="47"/>
        <v>9.2299998999999993</v>
      </c>
      <c r="P595" s="20">
        <f t="shared" si="48"/>
        <v>0.16666666666666666</v>
      </c>
    </row>
    <row r="596" spans="1:16" x14ac:dyDescent="0.25">
      <c r="A596">
        <v>1121244</v>
      </c>
      <c r="B596">
        <v>1178</v>
      </c>
      <c r="C596">
        <v>144562</v>
      </c>
      <c r="D596" t="s">
        <v>11</v>
      </c>
      <c r="E596" t="s">
        <v>12</v>
      </c>
      <c r="F596" s="5">
        <v>36</v>
      </c>
      <c r="G596" s="5">
        <v>181683</v>
      </c>
      <c r="H596" s="5">
        <v>20</v>
      </c>
      <c r="I596" s="8">
        <v>34.229999720000002</v>
      </c>
      <c r="J596" s="5">
        <v>2</v>
      </c>
      <c r="K596" s="5">
        <v>1</v>
      </c>
      <c r="L596" s="14">
        <f t="shared" si="45"/>
        <v>0.1884050776352218</v>
      </c>
      <c r="M596" s="14">
        <f t="shared" si="49"/>
        <v>1.7114999860000002</v>
      </c>
      <c r="N596" s="20">
        <f t="shared" si="46"/>
        <v>1.1008184585239125E-4</v>
      </c>
      <c r="O596" s="14">
        <f t="shared" si="47"/>
        <v>34.229999720000002</v>
      </c>
      <c r="P596" s="20">
        <f t="shared" si="48"/>
        <v>0.05</v>
      </c>
    </row>
    <row r="597" spans="1:16" x14ac:dyDescent="0.25">
      <c r="A597">
        <v>1121245</v>
      </c>
      <c r="B597">
        <v>1178</v>
      </c>
      <c r="C597">
        <v>144562</v>
      </c>
      <c r="D597" t="s">
        <v>11</v>
      </c>
      <c r="E597" t="s">
        <v>12</v>
      </c>
      <c r="F597" s="5">
        <v>36</v>
      </c>
      <c r="G597" s="5">
        <v>29185</v>
      </c>
      <c r="H597" s="5">
        <v>2</v>
      </c>
      <c r="I597" s="8">
        <v>3.1499999760000001</v>
      </c>
      <c r="J597" s="5">
        <v>1</v>
      </c>
      <c r="K597" s="5">
        <v>0</v>
      </c>
      <c r="L597" s="14">
        <f t="shared" si="45"/>
        <v>0.10793215610758952</v>
      </c>
      <c r="M597" s="14">
        <f t="shared" si="49"/>
        <v>1.5749999880000001</v>
      </c>
      <c r="N597" s="20">
        <f t="shared" si="46"/>
        <v>6.8528353606304602E-5</v>
      </c>
      <c r="O597" s="14" t="str">
        <f t="shared" si="47"/>
        <v xml:space="preserve"> </v>
      </c>
      <c r="P597" s="20">
        <f t="shared" si="48"/>
        <v>0</v>
      </c>
    </row>
    <row r="598" spans="1:16" x14ac:dyDescent="0.25">
      <c r="A598">
        <v>1121246</v>
      </c>
      <c r="B598">
        <v>1178</v>
      </c>
      <c r="C598">
        <v>144562</v>
      </c>
      <c r="D598" t="s">
        <v>11</v>
      </c>
      <c r="E598" t="s">
        <v>12</v>
      </c>
      <c r="F598" s="5">
        <v>36</v>
      </c>
      <c r="G598" s="5">
        <v>105047</v>
      </c>
      <c r="H598" s="5">
        <v>13</v>
      </c>
      <c r="I598" s="8">
        <v>20.209999400000001</v>
      </c>
      <c r="J598" s="5">
        <v>3</v>
      </c>
      <c r="K598" s="5">
        <v>1</v>
      </c>
      <c r="L598" s="14">
        <f t="shared" si="45"/>
        <v>0.19239006730320712</v>
      </c>
      <c r="M598" s="14">
        <f t="shared" si="49"/>
        <v>1.5546153384615384</v>
      </c>
      <c r="N598" s="20">
        <f t="shared" si="46"/>
        <v>1.2375412910411529E-4</v>
      </c>
      <c r="O598" s="14">
        <f t="shared" si="47"/>
        <v>20.209999400000001</v>
      </c>
      <c r="P598" s="20">
        <f t="shared" si="48"/>
        <v>7.6923076923076927E-2</v>
      </c>
    </row>
    <row r="599" spans="1:16" x14ac:dyDescent="0.25">
      <c r="A599">
        <v>1121250</v>
      </c>
      <c r="B599">
        <v>1178</v>
      </c>
      <c r="C599">
        <v>144565</v>
      </c>
      <c r="D599" t="s">
        <v>11</v>
      </c>
      <c r="E599" t="s">
        <v>12</v>
      </c>
      <c r="F599" s="5">
        <v>63</v>
      </c>
      <c r="G599" s="5">
        <v>287976</v>
      </c>
      <c r="H599" s="5">
        <v>31</v>
      </c>
      <c r="I599" s="8">
        <v>59.439999819999997</v>
      </c>
      <c r="J599" s="5">
        <v>3</v>
      </c>
      <c r="K599" s="5">
        <v>2</v>
      </c>
      <c r="L599" s="14">
        <f t="shared" si="45"/>
        <v>0.20640608877128647</v>
      </c>
      <c r="M599" s="14">
        <f t="shared" si="49"/>
        <v>1.917419349032258</v>
      </c>
      <c r="N599" s="20">
        <f t="shared" si="46"/>
        <v>1.0764785954385087E-4</v>
      </c>
      <c r="O599" s="14">
        <f t="shared" si="47"/>
        <v>29.719999909999999</v>
      </c>
      <c r="P599" s="20">
        <f t="shared" si="48"/>
        <v>6.4516129032258063E-2</v>
      </c>
    </row>
    <row r="600" spans="1:16" x14ac:dyDescent="0.25">
      <c r="A600">
        <v>1121251</v>
      </c>
      <c r="B600">
        <v>1178</v>
      </c>
      <c r="C600">
        <v>144565</v>
      </c>
      <c r="D600" t="s">
        <v>11</v>
      </c>
      <c r="E600" t="s">
        <v>12</v>
      </c>
      <c r="F600" s="5">
        <v>63</v>
      </c>
      <c r="G600" s="5">
        <v>212175</v>
      </c>
      <c r="H600" s="5">
        <v>22</v>
      </c>
      <c r="I600" s="8">
        <v>38.589999679999998</v>
      </c>
      <c r="J600" s="5">
        <v>2</v>
      </c>
      <c r="K600" s="5">
        <v>1</v>
      </c>
      <c r="L600" s="14">
        <f t="shared" si="45"/>
        <v>0.18187816509956403</v>
      </c>
      <c r="M600" s="14">
        <f t="shared" si="49"/>
        <v>1.7540908945454545</v>
      </c>
      <c r="N600" s="20">
        <f t="shared" si="46"/>
        <v>1.0368799340167315E-4</v>
      </c>
      <c r="O600" s="14">
        <f t="shared" si="47"/>
        <v>38.589999679999998</v>
      </c>
      <c r="P600" s="20">
        <f t="shared" si="48"/>
        <v>4.5454545454545456E-2</v>
      </c>
    </row>
    <row r="601" spans="1:16" x14ac:dyDescent="0.25">
      <c r="A601">
        <v>1121252</v>
      </c>
      <c r="B601">
        <v>1178</v>
      </c>
      <c r="C601">
        <v>144565</v>
      </c>
      <c r="D601" t="s">
        <v>11</v>
      </c>
      <c r="E601" t="s">
        <v>12</v>
      </c>
      <c r="F601" s="5">
        <v>63</v>
      </c>
      <c r="G601" s="5">
        <v>11139</v>
      </c>
      <c r="H601" s="5">
        <v>0</v>
      </c>
      <c r="I601" s="8">
        <v>0</v>
      </c>
      <c r="J601" s="5">
        <v>1</v>
      </c>
      <c r="K601" s="5">
        <v>1</v>
      </c>
      <c r="L601" s="14">
        <f t="shared" si="45"/>
        <v>0</v>
      </c>
      <c r="M601" s="14" t="str">
        <f t="shared" si="49"/>
        <v xml:space="preserve"> </v>
      </c>
      <c r="N601" s="20">
        <f t="shared" si="46"/>
        <v>0</v>
      </c>
      <c r="O601" s="14">
        <f t="shared" si="47"/>
        <v>0</v>
      </c>
      <c r="P601" s="20">
        <f t="shared" si="48"/>
        <v>0</v>
      </c>
    </row>
    <row r="602" spans="1:16" x14ac:dyDescent="0.25">
      <c r="A602">
        <v>1121254</v>
      </c>
      <c r="B602">
        <v>1178</v>
      </c>
      <c r="C602">
        <v>144565</v>
      </c>
      <c r="D602" t="s">
        <v>11</v>
      </c>
      <c r="E602" t="s">
        <v>12</v>
      </c>
      <c r="F602" s="5">
        <v>63</v>
      </c>
      <c r="G602" s="5">
        <v>124005</v>
      </c>
      <c r="H602" s="5">
        <v>11</v>
      </c>
      <c r="I602" s="8">
        <v>21.849999789999998</v>
      </c>
      <c r="J602" s="5">
        <v>4</v>
      </c>
      <c r="K602" s="5">
        <v>1</v>
      </c>
      <c r="L602" s="14">
        <f t="shared" si="45"/>
        <v>0.17620257078343615</v>
      </c>
      <c r="M602" s="14">
        <f t="shared" si="49"/>
        <v>1.986363617272727</v>
      </c>
      <c r="N602" s="20">
        <f t="shared" si="46"/>
        <v>8.8706100560461272E-5</v>
      </c>
      <c r="O602" s="14">
        <f t="shared" si="47"/>
        <v>21.849999789999998</v>
      </c>
      <c r="P602" s="20">
        <f t="shared" si="48"/>
        <v>9.0909090909090912E-2</v>
      </c>
    </row>
    <row r="603" spans="1:16" x14ac:dyDescent="0.25">
      <c r="A603">
        <v>1121255</v>
      </c>
      <c r="B603">
        <v>1178</v>
      </c>
      <c r="C603">
        <v>144565</v>
      </c>
      <c r="D603" t="s">
        <v>11</v>
      </c>
      <c r="E603" t="s">
        <v>12</v>
      </c>
      <c r="F603" s="5">
        <v>63</v>
      </c>
      <c r="G603" s="5">
        <v>20423</v>
      </c>
      <c r="H603" s="5">
        <v>1</v>
      </c>
      <c r="I603" s="8">
        <v>1.960000038</v>
      </c>
      <c r="J603" s="5">
        <v>1</v>
      </c>
      <c r="K603" s="5">
        <v>0</v>
      </c>
      <c r="L603" s="14">
        <f t="shared" si="45"/>
        <v>9.5970231503696823E-2</v>
      </c>
      <c r="M603" s="14">
        <f t="shared" si="49"/>
        <v>1.960000038</v>
      </c>
      <c r="N603" s="20">
        <f t="shared" si="46"/>
        <v>4.8964402879106887E-5</v>
      </c>
      <c r="O603" s="14" t="str">
        <f t="shared" si="47"/>
        <v xml:space="preserve"> </v>
      </c>
      <c r="P603" s="20">
        <f t="shared" si="48"/>
        <v>0</v>
      </c>
    </row>
    <row r="604" spans="1:16" x14ac:dyDescent="0.25">
      <c r="A604">
        <v>1121261</v>
      </c>
      <c r="B604">
        <v>1178</v>
      </c>
      <c r="C604">
        <v>144567</v>
      </c>
      <c r="D604" t="s">
        <v>11</v>
      </c>
      <c r="E604" t="s">
        <v>12</v>
      </c>
      <c r="F604" s="5">
        <v>64</v>
      </c>
      <c r="G604" s="5">
        <v>103001</v>
      </c>
      <c r="H604" s="5">
        <v>14</v>
      </c>
      <c r="I604" s="8">
        <v>22.320000050000001</v>
      </c>
      <c r="J604" s="5">
        <v>1</v>
      </c>
      <c r="K604" s="5">
        <v>0</v>
      </c>
      <c r="L604" s="14">
        <f t="shared" si="45"/>
        <v>0.21669692575800234</v>
      </c>
      <c r="M604" s="14">
        <f t="shared" si="49"/>
        <v>1.594285717857143</v>
      </c>
      <c r="N604" s="20">
        <f t="shared" si="46"/>
        <v>1.3592101047562644E-4</v>
      </c>
      <c r="O604" s="14" t="str">
        <f t="shared" si="47"/>
        <v xml:space="preserve"> </v>
      </c>
      <c r="P604" s="20">
        <f t="shared" si="48"/>
        <v>0</v>
      </c>
    </row>
    <row r="605" spans="1:16" x14ac:dyDescent="0.25">
      <c r="A605">
        <v>1121262</v>
      </c>
      <c r="B605">
        <v>1178</v>
      </c>
      <c r="C605">
        <v>144567</v>
      </c>
      <c r="D605" t="s">
        <v>11</v>
      </c>
      <c r="E605" t="s">
        <v>12</v>
      </c>
      <c r="F605" s="5">
        <v>64</v>
      </c>
      <c r="G605" s="5">
        <v>447420</v>
      </c>
      <c r="H605" s="5">
        <v>66</v>
      </c>
      <c r="I605" s="8">
        <v>110.23999910000001</v>
      </c>
      <c r="J605" s="5">
        <v>7</v>
      </c>
      <c r="K605" s="5">
        <v>2</v>
      </c>
      <c r="L605" s="14">
        <f t="shared" si="45"/>
        <v>0.24639041415225071</v>
      </c>
      <c r="M605" s="14">
        <f t="shared" si="49"/>
        <v>1.6703030166666668</v>
      </c>
      <c r="N605" s="20">
        <f t="shared" si="46"/>
        <v>1.4751240445219258E-4</v>
      </c>
      <c r="O605" s="14">
        <f t="shared" si="47"/>
        <v>55.119999550000003</v>
      </c>
      <c r="P605" s="20">
        <f t="shared" si="48"/>
        <v>3.0303030303030304E-2</v>
      </c>
    </row>
    <row r="606" spans="1:16" x14ac:dyDescent="0.25">
      <c r="A606">
        <v>1121263</v>
      </c>
      <c r="B606">
        <v>1178</v>
      </c>
      <c r="C606">
        <v>144567</v>
      </c>
      <c r="D606" t="s">
        <v>11</v>
      </c>
      <c r="E606" t="s">
        <v>12</v>
      </c>
      <c r="F606" s="5">
        <v>64</v>
      </c>
      <c r="G606" s="5">
        <v>156101</v>
      </c>
      <c r="H606" s="5">
        <v>19</v>
      </c>
      <c r="I606" s="8">
        <v>29.750000480000001</v>
      </c>
      <c r="J606" s="5">
        <v>2</v>
      </c>
      <c r="K606" s="5">
        <v>2</v>
      </c>
      <c r="L606" s="14">
        <f t="shared" si="45"/>
        <v>0.19058174182100052</v>
      </c>
      <c r="M606" s="14">
        <f t="shared" si="49"/>
        <v>1.5657894989473684</v>
      </c>
      <c r="N606" s="20">
        <f t="shared" si="46"/>
        <v>1.2171606844286712E-4</v>
      </c>
      <c r="O606" s="14">
        <f t="shared" si="47"/>
        <v>14.87500024</v>
      </c>
      <c r="P606" s="20">
        <f t="shared" si="48"/>
        <v>0.10526315789473684</v>
      </c>
    </row>
    <row r="607" spans="1:16" x14ac:dyDescent="0.25">
      <c r="A607">
        <v>1121264</v>
      </c>
      <c r="B607">
        <v>1178</v>
      </c>
      <c r="C607">
        <v>144567</v>
      </c>
      <c r="D607" t="s">
        <v>11</v>
      </c>
      <c r="E607" t="s">
        <v>12</v>
      </c>
      <c r="F607" s="5">
        <v>64</v>
      </c>
      <c r="G607" s="5">
        <v>93015</v>
      </c>
      <c r="H607" s="5">
        <v>12</v>
      </c>
      <c r="I607" s="8">
        <v>18.470000150000001</v>
      </c>
      <c r="J607" s="5">
        <v>1</v>
      </c>
      <c r="K607" s="5">
        <v>0</v>
      </c>
      <c r="L607" s="14">
        <f t="shared" si="45"/>
        <v>0.19857012471106814</v>
      </c>
      <c r="M607" s="14">
        <f t="shared" si="49"/>
        <v>1.5391666791666667</v>
      </c>
      <c r="N607" s="20">
        <f t="shared" si="46"/>
        <v>1.2901144976616675E-4</v>
      </c>
      <c r="O607" s="14" t="str">
        <f t="shared" si="47"/>
        <v xml:space="preserve"> </v>
      </c>
      <c r="P607" s="20">
        <f t="shared" si="48"/>
        <v>0</v>
      </c>
    </row>
    <row r="608" spans="1:16" x14ac:dyDescent="0.25">
      <c r="A608">
        <v>1121265</v>
      </c>
      <c r="B608">
        <v>1178</v>
      </c>
      <c r="C608">
        <v>144568</v>
      </c>
      <c r="D608" t="s">
        <v>11</v>
      </c>
      <c r="E608" t="s">
        <v>12</v>
      </c>
      <c r="F608" s="5">
        <v>65</v>
      </c>
      <c r="G608" s="5">
        <v>145398</v>
      </c>
      <c r="H608" s="5">
        <v>23</v>
      </c>
      <c r="I608" s="8">
        <v>36.240000250000001</v>
      </c>
      <c r="J608" s="5">
        <v>1</v>
      </c>
      <c r="K608" s="5">
        <v>0</v>
      </c>
      <c r="L608" s="14">
        <f t="shared" si="45"/>
        <v>0.24924689644974485</v>
      </c>
      <c r="M608" s="14">
        <f t="shared" si="49"/>
        <v>1.5756521847826088</v>
      </c>
      <c r="N608" s="20">
        <f t="shared" si="46"/>
        <v>1.5818649499993123E-4</v>
      </c>
      <c r="O608" s="14" t="str">
        <f t="shared" si="47"/>
        <v xml:space="preserve"> </v>
      </c>
      <c r="P608" s="20">
        <f t="shared" si="48"/>
        <v>0</v>
      </c>
    </row>
    <row r="609" spans="1:16" x14ac:dyDescent="0.25">
      <c r="A609">
        <v>1121269</v>
      </c>
      <c r="B609">
        <v>1178</v>
      </c>
      <c r="C609">
        <v>144568</v>
      </c>
      <c r="D609" t="s">
        <v>11</v>
      </c>
      <c r="E609" t="s">
        <v>12</v>
      </c>
      <c r="F609" s="5">
        <v>65</v>
      </c>
      <c r="G609" s="5">
        <v>296413</v>
      </c>
      <c r="H609" s="5">
        <v>50</v>
      </c>
      <c r="I609" s="8">
        <v>76.439999580000006</v>
      </c>
      <c r="J609" s="5">
        <v>3</v>
      </c>
      <c r="K609" s="5">
        <v>1</v>
      </c>
      <c r="L609" s="14">
        <f t="shared" si="45"/>
        <v>0.25788342474857717</v>
      </c>
      <c r="M609" s="14">
        <f t="shared" si="49"/>
        <v>1.5287999916000001</v>
      </c>
      <c r="N609" s="20">
        <f t="shared" si="46"/>
        <v>1.686835597628984E-4</v>
      </c>
      <c r="O609" s="14">
        <f t="shared" si="47"/>
        <v>76.439999580000006</v>
      </c>
      <c r="P609" s="20">
        <f t="shared" si="48"/>
        <v>0.02</v>
      </c>
    </row>
    <row r="610" spans="1:16" x14ac:dyDescent="0.25">
      <c r="A610">
        <v>1121273</v>
      </c>
      <c r="B610">
        <v>1178</v>
      </c>
      <c r="C610">
        <v>144569</v>
      </c>
      <c r="D610" t="s">
        <v>11</v>
      </c>
      <c r="E610" t="s">
        <v>12</v>
      </c>
      <c r="F610" s="5">
        <v>2</v>
      </c>
      <c r="G610" s="5">
        <v>9370</v>
      </c>
      <c r="H610" s="5">
        <v>0</v>
      </c>
      <c r="I610" s="8">
        <v>0</v>
      </c>
      <c r="J610" s="5">
        <v>1</v>
      </c>
      <c r="K610" s="5">
        <v>1</v>
      </c>
      <c r="L610" s="14">
        <f t="shared" si="45"/>
        <v>0</v>
      </c>
      <c r="M610" s="14" t="str">
        <f t="shared" si="49"/>
        <v xml:space="preserve"> </v>
      </c>
      <c r="N610" s="20">
        <f t="shared" si="46"/>
        <v>0</v>
      </c>
      <c r="O610" s="14">
        <f t="shared" si="47"/>
        <v>0</v>
      </c>
      <c r="P610" s="20">
        <f t="shared" si="48"/>
        <v>0</v>
      </c>
    </row>
    <row r="611" spans="1:16" x14ac:dyDescent="0.25">
      <c r="A611">
        <v>1121274</v>
      </c>
      <c r="B611">
        <v>1178</v>
      </c>
      <c r="C611">
        <v>144569</v>
      </c>
      <c r="D611" t="s">
        <v>11</v>
      </c>
      <c r="E611" t="s">
        <v>12</v>
      </c>
      <c r="F611" s="5">
        <v>2</v>
      </c>
      <c r="G611" s="5">
        <v>63785</v>
      </c>
      <c r="H611" s="5">
        <v>7</v>
      </c>
      <c r="I611" s="8">
        <v>11.80000019</v>
      </c>
      <c r="J611" s="5">
        <v>6</v>
      </c>
      <c r="K611" s="5">
        <v>2</v>
      </c>
      <c r="L611" s="14">
        <f t="shared" si="45"/>
        <v>0.18499647550364506</v>
      </c>
      <c r="M611" s="14">
        <f t="shared" si="49"/>
        <v>1.685714312857143</v>
      </c>
      <c r="N611" s="20">
        <f t="shared" si="46"/>
        <v>1.0974367014188289E-4</v>
      </c>
      <c r="O611" s="14">
        <f t="shared" si="47"/>
        <v>5.9000000950000002</v>
      </c>
      <c r="P611" s="20">
        <f t="shared" si="48"/>
        <v>0.2857142857142857</v>
      </c>
    </row>
    <row r="612" spans="1:16" x14ac:dyDescent="0.25">
      <c r="A612">
        <v>1121275</v>
      </c>
      <c r="B612">
        <v>1178</v>
      </c>
      <c r="C612">
        <v>144569</v>
      </c>
      <c r="D612" t="s">
        <v>11</v>
      </c>
      <c r="E612" t="s">
        <v>12</v>
      </c>
      <c r="F612" s="5">
        <v>2</v>
      </c>
      <c r="G612" s="5">
        <v>118522</v>
      </c>
      <c r="H612" s="5">
        <v>14</v>
      </c>
      <c r="I612" s="8">
        <v>26.819999809999999</v>
      </c>
      <c r="J612" s="5">
        <v>2</v>
      </c>
      <c r="K612" s="5">
        <v>1</v>
      </c>
      <c r="L612" s="14">
        <f t="shared" si="45"/>
        <v>0.22628710121327683</v>
      </c>
      <c r="M612" s="14">
        <f t="shared" si="49"/>
        <v>1.9157142721428571</v>
      </c>
      <c r="N612" s="20">
        <f t="shared" si="46"/>
        <v>1.1812153018005096E-4</v>
      </c>
      <c r="O612" s="14">
        <f t="shared" si="47"/>
        <v>26.819999809999999</v>
      </c>
      <c r="P612" s="20">
        <f t="shared" si="48"/>
        <v>7.1428571428571425E-2</v>
      </c>
    </row>
    <row r="613" spans="1:16" x14ac:dyDescent="0.25">
      <c r="A613">
        <v>1121276</v>
      </c>
      <c r="B613">
        <v>1178</v>
      </c>
      <c r="C613">
        <v>144569</v>
      </c>
      <c r="D613" t="s">
        <v>11</v>
      </c>
      <c r="E613" t="s">
        <v>12</v>
      </c>
      <c r="F613" s="5">
        <v>2</v>
      </c>
      <c r="G613" s="5">
        <v>240123</v>
      </c>
      <c r="H613" s="5">
        <v>38</v>
      </c>
      <c r="I613" s="8">
        <v>65.670001150000004</v>
      </c>
      <c r="J613" s="5">
        <v>5</v>
      </c>
      <c r="K613" s="5">
        <v>4</v>
      </c>
      <c r="L613" s="14">
        <f t="shared" si="45"/>
        <v>0.27348484380921445</v>
      </c>
      <c r="M613" s="14">
        <f t="shared" si="49"/>
        <v>1.7281579250000001</v>
      </c>
      <c r="N613" s="20">
        <f t="shared" si="46"/>
        <v>1.5825222906593704E-4</v>
      </c>
      <c r="O613" s="14">
        <f t="shared" si="47"/>
        <v>16.417500287500001</v>
      </c>
      <c r="P613" s="20">
        <f t="shared" si="48"/>
        <v>0.10526315789473684</v>
      </c>
    </row>
    <row r="614" spans="1:16" x14ac:dyDescent="0.25">
      <c r="A614">
        <v>1121277</v>
      </c>
      <c r="B614">
        <v>1178</v>
      </c>
      <c r="C614">
        <v>144570</v>
      </c>
      <c r="D614" t="s">
        <v>11</v>
      </c>
      <c r="E614" t="s">
        <v>12</v>
      </c>
      <c r="F614" s="5">
        <v>7</v>
      </c>
      <c r="G614" s="5">
        <v>169108</v>
      </c>
      <c r="H614" s="5">
        <v>20</v>
      </c>
      <c r="I614" s="8">
        <v>32.240000250000001</v>
      </c>
      <c r="J614" s="5">
        <v>2</v>
      </c>
      <c r="K614" s="5">
        <v>1</v>
      </c>
      <c r="L614" s="14">
        <f t="shared" si="45"/>
        <v>0.1906473984081179</v>
      </c>
      <c r="M614" s="14">
        <f t="shared" si="49"/>
        <v>1.6120000125</v>
      </c>
      <c r="N614" s="20">
        <f t="shared" si="46"/>
        <v>1.1826761596139745E-4</v>
      </c>
      <c r="O614" s="14">
        <f t="shared" si="47"/>
        <v>32.240000250000001</v>
      </c>
      <c r="P614" s="20">
        <f t="shared" si="48"/>
        <v>0.05</v>
      </c>
    </row>
    <row r="615" spans="1:16" x14ac:dyDescent="0.25">
      <c r="A615">
        <v>1121278</v>
      </c>
      <c r="B615">
        <v>1178</v>
      </c>
      <c r="C615">
        <v>144570</v>
      </c>
      <c r="D615" t="s">
        <v>11</v>
      </c>
      <c r="E615" t="s">
        <v>12</v>
      </c>
      <c r="F615" s="5">
        <v>7</v>
      </c>
      <c r="G615" s="5">
        <v>1044442</v>
      </c>
      <c r="H615" s="5">
        <v>142</v>
      </c>
      <c r="I615" s="8">
        <v>245.5999999</v>
      </c>
      <c r="J615" s="5">
        <v>22</v>
      </c>
      <c r="K615" s="5">
        <v>8</v>
      </c>
      <c r="L615" s="14">
        <f t="shared" si="45"/>
        <v>0.23514948642432995</v>
      </c>
      <c r="M615" s="14">
        <f t="shared" si="49"/>
        <v>1.729577464084507</v>
      </c>
      <c r="N615" s="20">
        <f t="shared" si="46"/>
        <v>1.3595776500753513E-4</v>
      </c>
      <c r="O615" s="14">
        <f t="shared" si="47"/>
        <v>30.6999999875</v>
      </c>
      <c r="P615" s="20">
        <f t="shared" si="48"/>
        <v>5.6338028169014086E-2</v>
      </c>
    </row>
    <row r="616" spans="1:16" x14ac:dyDescent="0.25">
      <c r="A616">
        <v>1121279</v>
      </c>
      <c r="B616">
        <v>1178</v>
      </c>
      <c r="C616">
        <v>144570</v>
      </c>
      <c r="D616" t="s">
        <v>11</v>
      </c>
      <c r="E616" t="s">
        <v>12</v>
      </c>
      <c r="F616" s="5">
        <v>7</v>
      </c>
      <c r="G616" s="5">
        <v>93891</v>
      </c>
      <c r="H616" s="5">
        <v>11</v>
      </c>
      <c r="I616" s="8">
        <v>17.640000100000002</v>
      </c>
      <c r="J616" s="5">
        <v>5</v>
      </c>
      <c r="K616" s="5">
        <v>3</v>
      </c>
      <c r="L616" s="14">
        <f t="shared" si="45"/>
        <v>0.18787743340682284</v>
      </c>
      <c r="M616" s="14">
        <f t="shared" si="49"/>
        <v>1.6036363727272729</v>
      </c>
      <c r="N616" s="20">
        <f t="shared" si="46"/>
        <v>1.1715712901130034E-4</v>
      </c>
      <c r="O616" s="14">
        <f t="shared" si="47"/>
        <v>5.8800000333333342</v>
      </c>
      <c r="P616" s="20">
        <f t="shared" si="48"/>
        <v>0.27272727272727271</v>
      </c>
    </row>
    <row r="617" spans="1:16" x14ac:dyDescent="0.25">
      <c r="A617">
        <v>1121282</v>
      </c>
      <c r="B617">
        <v>1178</v>
      </c>
      <c r="C617">
        <v>144570</v>
      </c>
      <c r="D617" t="s">
        <v>11</v>
      </c>
      <c r="E617" t="s">
        <v>12</v>
      </c>
      <c r="F617" s="5">
        <v>7</v>
      </c>
      <c r="G617" s="5">
        <v>185823</v>
      </c>
      <c r="H617" s="5">
        <v>25</v>
      </c>
      <c r="I617" s="8">
        <v>38.549999360000001</v>
      </c>
      <c r="J617" s="5">
        <v>4</v>
      </c>
      <c r="K617" s="5">
        <v>1</v>
      </c>
      <c r="L617" s="14">
        <f t="shared" si="45"/>
        <v>0.2074554783853452</v>
      </c>
      <c r="M617" s="14">
        <f t="shared" si="49"/>
        <v>1.5419999744000001</v>
      </c>
      <c r="N617" s="20">
        <f t="shared" si="46"/>
        <v>1.3453662894259591E-4</v>
      </c>
      <c r="O617" s="14">
        <f t="shared" si="47"/>
        <v>38.549999360000001</v>
      </c>
      <c r="P617" s="20">
        <f t="shared" si="48"/>
        <v>0.04</v>
      </c>
    </row>
    <row r="618" spans="1:16" x14ac:dyDescent="0.25">
      <c r="A618">
        <v>1121284</v>
      </c>
      <c r="B618">
        <v>1178</v>
      </c>
      <c r="C618">
        <v>144571</v>
      </c>
      <c r="D618" t="s">
        <v>11</v>
      </c>
      <c r="E618" t="s">
        <v>12</v>
      </c>
      <c r="F618" s="5">
        <v>66</v>
      </c>
      <c r="G618" s="5">
        <v>175631</v>
      </c>
      <c r="H618" s="5">
        <v>23</v>
      </c>
      <c r="I618" s="8">
        <v>40.75999951</v>
      </c>
      <c r="J618" s="5">
        <v>1</v>
      </c>
      <c r="K618" s="5">
        <v>0</v>
      </c>
      <c r="L618" s="14">
        <f t="shared" si="45"/>
        <v>0.2320774778370561</v>
      </c>
      <c r="M618" s="14">
        <f t="shared" si="49"/>
        <v>1.7721738917391305</v>
      </c>
      <c r="N618" s="20">
        <f t="shared" si="46"/>
        <v>1.3095638013790276E-4</v>
      </c>
      <c r="O618" s="14" t="str">
        <f t="shared" si="47"/>
        <v xml:space="preserve"> </v>
      </c>
      <c r="P618" s="20">
        <f t="shared" si="48"/>
        <v>0</v>
      </c>
    </row>
    <row r="619" spans="1:16" x14ac:dyDescent="0.25">
      <c r="A619">
        <v>1121285</v>
      </c>
      <c r="B619">
        <v>1178</v>
      </c>
      <c r="C619">
        <v>144571</v>
      </c>
      <c r="D619" t="s">
        <v>11</v>
      </c>
      <c r="E619" t="s">
        <v>12</v>
      </c>
      <c r="F619" s="5">
        <v>66</v>
      </c>
      <c r="G619" s="5">
        <v>37187</v>
      </c>
      <c r="H619" s="5">
        <v>4</v>
      </c>
      <c r="I619" s="8">
        <v>6.3700000049999996</v>
      </c>
      <c r="J619" s="5">
        <v>1</v>
      </c>
      <c r="K619" s="5">
        <v>0</v>
      </c>
      <c r="L619" s="14">
        <f t="shared" si="45"/>
        <v>0.17129642092666791</v>
      </c>
      <c r="M619" s="14">
        <f t="shared" si="49"/>
        <v>1.5925000012499999</v>
      </c>
      <c r="N619" s="20">
        <f t="shared" si="46"/>
        <v>1.0756447145507839E-4</v>
      </c>
      <c r="O619" s="14" t="str">
        <f t="shared" si="47"/>
        <v xml:space="preserve"> </v>
      </c>
      <c r="P619" s="20">
        <f t="shared" si="48"/>
        <v>0</v>
      </c>
    </row>
    <row r="620" spans="1:16" x14ac:dyDescent="0.25">
      <c r="A620">
        <v>1121286</v>
      </c>
      <c r="B620">
        <v>1178</v>
      </c>
      <c r="C620">
        <v>144571</v>
      </c>
      <c r="D620" t="s">
        <v>11</v>
      </c>
      <c r="E620" t="s">
        <v>12</v>
      </c>
      <c r="F620" s="5">
        <v>66</v>
      </c>
      <c r="G620" s="5">
        <v>10991</v>
      </c>
      <c r="H620" s="5">
        <v>0</v>
      </c>
      <c r="I620" s="8">
        <v>0</v>
      </c>
      <c r="J620" s="5">
        <v>1</v>
      </c>
      <c r="K620" s="5">
        <v>0</v>
      </c>
      <c r="L620" s="14">
        <f t="shared" si="45"/>
        <v>0</v>
      </c>
      <c r="M620" s="14" t="str">
        <f t="shared" si="49"/>
        <v xml:space="preserve"> </v>
      </c>
      <c r="N620" s="20">
        <f t="shared" si="46"/>
        <v>0</v>
      </c>
      <c r="O620" s="14" t="str">
        <f t="shared" si="47"/>
        <v xml:space="preserve"> </v>
      </c>
      <c r="P620" s="20">
        <f t="shared" si="48"/>
        <v>0</v>
      </c>
    </row>
    <row r="621" spans="1:16" x14ac:dyDescent="0.25">
      <c r="A621">
        <v>1121287</v>
      </c>
      <c r="B621">
        <v>1178</v>
      </c>
      <c r="C621">
        <v>144571</v>
      </c>
      <c r="D621" t="s">
        <v>11</v>
      </c>
      <c r="E621" t="s">
        <v>12</v>
      </c>
      <c r="F621" s="5">
        <v>66</v>
      </c>
      <c r="G621" s="5">
        <v>344618</v>
      </c>
      <c r="H621" s="5">
        <v>51</v>
      </c>
      <c r="I621" s="8">
        <v>89.760000469999994</v>
      </c>
      <c r="J621" s="5">
        <v>3</v>
      </c>
      <c r="K621" s="5">
        <v>1</v>
      </c>
      <c r="L621" s="14">
        <f t="shared" si="45"/>
        <v>0.26046231035523393</v>
      </c>
      <c r="M621" s="14">
        <f t="shared" si="49"/>
        <v>1.7600000092156862</v>
      </c>
      <c r="N621" s="20">
        <f t="shared" si="46"/>
        <v>1.4798994829057102E-4</v>
      </c>
      <c r="O621" s="14">
        <f t="shared" si="47"/>
        <v>89.760000469999994</v>
      </c>
      <c r="P621" s="20">
        <f t="shared" si="48"/>
        <v>1.9607843137254902E-2</v>
      </c>
    </row>
    <row r="622" spans="1:16" x14ac:dyDescent="0.25">
      <c r="A622">
        <v>1121289</v>
      </c>
      <c r="B622">
        <v>1178</v>
      </c>
      <c r="C622">
        <v>144572</v>
      </c>
      <c r="D622" t="s">
        <v>13</v>
      </c>
      <c r="E622" t="s">
        <v>12</v>
      </c>
      <c r="F622" s="5">
        <v>10</v>
      </c>
      <c r="G622" s="5">
        <v>98066</v>
      </c>
      <c r="H622" s="5">
        <v>9</v>
      </c>
      <c r="I622" s="8">
        <v>16.1500001</v>
      </c>
      <c r="J622" s="5">
        <v>1</v>
      </c>
      <c r="K622" s="5">
        <v>0</v>
      </c>
      <c r="L622" s="14">
        <f t="shared" si="45"/>
        <v>0.16468500907552056</v>
      </c>
      <c r="M622" s="14">
        <f t="shared" si="49"/>
        <v>1.7944444555555554</v>
      </c>
      <c r="N622" s="20">
        <f t="shared" si="46"/>
        <v>9.1774927089919041E-5</v>
      </c>
      <c r="O622" s="14" t="str">
        <f t="shared" si="47"/>
        <v xml:space="preserve"> </v>
      </c>
      <c r="P622" s="20">
        <f t="shared" si="48"/>
        <v>0</v>
      </c>
    </row>
    <row r="623" spans="1:16" x14ac:dyDescent="0.25">
      <c r="A623">
        <v>1121290</v>
      </c>
      <c r="B623">
        <v>1178</v>
      </c>
      <c r="C623">
        <v>144572</v>
      </c>
      <c r="D623" t="s">
        <v>13</v>
      </c>
      <c r="E623" t="s">
        <v>12</v>
      </c>
      <c r="F623" s="5">
        <v>10</v>
      </c>
      <c r="G623" s="5">
        <v>770749</v>
      </c>
      <c r="H623" s="5">
        <v>100</v>
      </c>
      <c r="I623" s="8">
        <v>189.12999840000001</v>
      </c>
      <c r="J623" s="5">
        <v>13</v>
      </c>
      <c r="K623" s="5">
        <v>3</v>
      </c>
      <c r="L623" s="14">
        <f t="shared" si="45"/>
        <v>0.24538468217279555</v>
      </c>
      <c r="M623" s="14">
        <f t="shared" si="49"/>
        <v>1.891299984</v>
      </c>
      <c r="N623" s="20">
        <f t="shared" si="46"/>
        <v>1.2974392441637939E-4</v>
      </c>
      <c r="O623" s="14">
        <f t="shared" si="47"/>
        <v>63.043332800000002</v>
      </c>
      <c r="P623" s="20">
        <f t="shared" si="48"/>
        <v>0.03</v>
      </c>
    </row>
    <row r="624" spans="1:16" x14ac:dyDescent="0.25">
      <c r="A624">
        <v>1121291</v>
      </c>
      <c r="B624">
        <v>1178</v>
      </c>
      <c r="C624">
        <v>144572</v>
      </c>
      <c r="D624" t="s">
        <v>13</v>
      </c>
      <c r="E624" t="s">
        <v>12</v>
      </c>
      <c r="F624" s="5">
        <v>10</v>
      </c>
      <c r="G624" s="5">
        <v>52553</v>
      </c>
      <c r="H624" s="5">
        <v>5</v>
      </c>
      <c r="I624" s="8">
        <v>8.5299998519999995</v>
      </c>
      <c r="J624" s="5">
        <v>1</v>
      </c>
      <c r="K624" s="5">
        <v>0</v>
      </c>
      <c r="L624" s="14">
        <f t="shared" si="45"/>
        <v>0.16231232949593744</v>
      </c>
      <c r="M624" s="14">
        <f t="shared" si="49"/>
        <v>1.7059999704</v>
      </c>
      <c r="N624" s="20">
        <f t="shared" si="46"/>
        <v>9.5142047076284892E-5</v>
      </c>
      <c r="O624" s="14" t="str">
        <f t="shared" si="47"/>
        <v xml:space="preserve"> </v>
      </c>
      <c r="P624" s="20">
        <f t="shared" si="48"/>
        <v>0</v>
      </c>
    </row>
    <row r="625" spans="1:16" x14ac:dyDescent="0.25">
      <c r="A625">
        <v>1121292</v>
      </c>
      <c r="B625">
        <v>1178</v>
      </c>
      <c r="C625">
        <v>144572</v>
      </c>
      <c r="D625" t="s">
        <v>13</v>
      </c>
      <c r="E625" t="s">
        <v>12</v>
      </c>
      <c r="F625" s="5">
        <v>10</v>
      </c>
      <c r="G625" s="5">
        <v>362296</v>
      </c>
      <c r="H625" s="5">
        <v>39</v>
      </c>
      <c r="I625" s="8">
        <v>67.770001289999996</v>
      </c>
      <c r="J625" s="5">
        <v>7</v>
      </c>
      <c r="K625" s="5">
        <v>3</v>
      </c>
      <c r="L625" s="14">
        <f t="shared" si="45"/>
        <v>0.18705699563340472</v>
      </c>
      <c r="M625" s="14">
        <f t="shared" si="49"/>
        <v>1.7376923407692306</v>
      </c>
      <c r="N625" s="20">
        <f t="shared" si="46"/>
        <v>1.0764678605339281E-4</v>
      </c>
      <c r="O625" s="14">
        <f t="shared" si="47"/>
        <v>22.59000043</v>
      </c>
      <c r="P625" s="20">
        <f t="shared" si="48"/>
        <v>7.6923076923076927E-2</v>
      </c>
    </row>
    <row r="626" spans="1:16" x14ac:dyDescent="0.25">
      <c r="A626">
        <v>1121293</v>
      </c>
      <c r="B626">
        <v>1178</v>
      </c>
      <c r="C626">
        <v>144572</v>
      </c>
      <c r="D626" t="s">
        <v>13</v>
      </c>
      <c r="E626" t="s">
        <v>12</v>
      </c>
      <c r="F626" s="5">
        <v>10</v>
      </c>
      <c r="G626" s="5">
        <v>427729</v>
      </c>
      <c r="H626" s="5">
        <v>50</v>
      </c>
      <c r="I626" s="8">
        <v>96.8999989</v>
      </c>
      <c r="J626" s="5">
        <v>4</v>
      </c>
      <c r="K626" s="5">
        <v>1</v>
      </c>
      <c r="L626" s="14">
        <f t="shared" si="45"/>
        <v>0.22654530999768546</v>
      </c>
      <c r="M626" s="14">
        <f t="shared" si="49"/>
        <v>1.9379999779999999</v>
      </c>
      <c r="N626" s="20">
        <f t="shared" si="46"/>
        <v>1.1689644611424524E-4</v>
      </c>
      <c r="O626" s="14">
        <f t="shared" si="47"/>
        <v>96.8999989</v>
      </c>
      <c r="P626" s="20">
        <f t="shared" si="48"/>
        <v>0.02</v>
      </c>
    </row>
    <row r="627" spans="1:16" x14ac:dyDescent="0.25">
      <c r="A627">
        <v>1121296</v>
      </c>
      <c r="B627">
        <v>1178</v>
      </c>
      <c r="C627">
        <v>144573</v>
      </c>
      <c r="D627" t="s">
        <v>13</v>
      </c>
      <c r="E627" t="s">
        <v>12</v>
      </c>
      <c r="F627" s="5">
        <v>15</v>
      </c>
      <c r="G627" s="5">
        <v>180351</v>
      </c>
      <c r="H627" s="5">
        <v>21</v>
      </c>
      <c r="I627" s="8">
        <v>37.130000109999997</v>
      </c>
      <c r="J627" s="5">
        <v>1</v>
      </c>
      <c r="K627" s="5">
        <v>1</v>
      </c>
      <c r="L627" s="14">
        <f t="shared" si="45"/>
        <v>0.20587631956573568</v>
      </c>
      <c r="M627" s="14">
        <f t="shared" si="49"/>
        <v>1.7680952433333332</v>
      </c>
      <c r="N627" s="20">
        <f t="shared" si="46"/>
        <v>1.1643960942828152E-4</v>
      </c>
      <c r="O627" s="14">
        <f t="shared" si="47"/>
        <v>37.130000109999997</v>
      </c>
      <c r="P627" s="20">
        <f t="shared" si="48"/>
        <v>4.7619047619047616E-2</v>
      </c>
    </row>
    <row r="628" spans="1:16" x14ac:dyDescent="0.25">
      <c r="A628">
        <v>1121297</v>
      </c>
      <c r="B628">
        <v>1178</v>
      </c>
      <c r="C628">
        <v>144573</v>
      </c>
      <c r="D628" t="s">
        <v>13</v>
      </c>
      <c r="E628" t="s">
        <v>12</v>
      </c>
      <c r="F628" s="5">
        <v>15</v>
      </c>
      <c r="G628" s="5">
        <v>187329</v>
      </c>
      <c r="H628" s="5">
        <v>29</v>
      </c>
      <c r="I628" s="8">
        <v>53.15999961</v>
      </c>
      <c r="J628" s="5">
        <v>2</v>
      </c>
      <c r="K628" s="5">
        <v>1</v>
      </c>
      <c r="L628" s="14">
        <f t="shared" si="45"/>
        <v>0.28377880418942075</v>
      </c>
      <c r="M628" s="14">
        <f t="shared" si="49"/>
        <v>1.8331034348275863</v>
      </c>
      <c r="N628" s="20">
        <f t="shared" si="46"/>
        <v>1.5480785142716824E-4</v>
      </c>
      <c r="O628" s="14">
        <f t="shared" si="47"/>
        <v>53.15999961</v>
      </c>
      <c r="P628" s="20">
        <f t="shared" si="48"/>
        <v>3.4482758620689655E-2</v>
      </c>
    </row>
    <row r="629" spans="1:16" x14ac:dyDescent="0.25">
      <c r="A629">
        <v>1121300</v>
      </c>
      <c r="B629">
        <v>1178</v>
      </c>
      <c r="C629">
        <v>144573</v>
      </c>
      <c r="D629" t="s">
        <v>13</v>
      </c>
      <c r="E629" t="s">
        <v>12</v>
      </c>
      <c r="F629" s="5">
        <v>15</v>
      </c>
      <c r="G629" s="5">
        <v>782894</v>
      </c>
      <c r="H629" s="5">
        <v>118</v>
      </c>
      <c r="I629" s="8">
        <v>192.92999950000001</v>
      </c>
      <c r="J629" s="5">
        <v>5</v>
      </c>
      <c r="K629" s="5">
        <v>2</v>
      </c>
      <c r="L629" s="14">
        <f t="shared" si="45"/>
        <v>0.24643182793583807</v>
      </c>
      <c r="M629" s="14">
        <f t="shared" si="49"/>
        <v>1.6349999957627119</v>
      </c>
      <c r="N629" s="20">
        <f t="shared" si="46"/>
        <v>1.5072283093241231E-4</v>
      </c>
      <c r="O629" s="14">
        <f t="shared" si="47"/>
        <v>96.464999750000004</v>
      </c>
      <c r="P629" s="20">
        <f t="shared" si="48"/>
        <v>1.6949152542372881E-2</v>
      </c>
    </row>
    <row r="630" spans="1:16" x14ac:dyDescent="0.25">
      <c r="A630">
        <v>1121302</v>
      </c>
      <c r="B630">
        <v>1178</v>
      </c>
      <c r="C630">
        <v>144574</v>
      </c>
      <c r="D630" t="s">
        <v>13</v>
      </c>
      <c r="E630" t="s">
        <v>12</v>
      </c>
      <c r="F630" s="5">
        <v>16</v>
      </c>
      <c r="G630" s="5">
        <v>1206533</v>
      </c>
      <c r="H630" s="5">
        <v>128</v>
      </c>
      <c r="I630" s="8">
        <v>236.11999879999999</v>
      </c>
      <c r="J630" s="5">
        <v>17</v>
      </c>
      <c r="K630" s="5">
        <v>6</v>
      </c>
      <c r="L630" s="14">
        <f t="shared" si="45"/>
        <v>0.19570123552360358</v>
      </c>
      <c r="M630" s="14">
        <f t="shared" si="49"/>
        <v>1.8446874906249999</v>
      </c>
      <c r="N630" s="20">
        <f t="shared" si="46"/>
        <v>1.0608909992515746E-4</v>
      </c>
      <c r="O630" s="14">
        <f t="shared" si="47"/>
        <v>39.353333133333329</v>
      </c>
      <c r="P630" s="20">
        <f t="shared" si="48"/>
        <v>4.6875E-2</v>
      </c>
    </row>
    <row r="631" spans="1:16" x14ac:dyDescent="0.25">
      <c r="A631">
        <v>1121303</v>
      </c>
      <c r="B631">
        <v>1178</v>
      </c>
      <c r="C631">
        <v>144574</v>
      </c>
      <c r="D631" t="s">
        <v>13</v>
      </c>
      <c r="E631" t="s">
        <v>12</v>
      </c>
      <c r="F631" s="5">
        <v>16</v>
      </c>
      <c r="G631" s="5">
        <v>84494</v>
      </c>
      <c r="H631" s="5">
        <v>7</v>
      </c>
      <c r="I631" s="8">
        <v>12.57000017</v>
      </c>
      <c r="J631" s="5">
        <v>2</v>
      </c>
      <c r="K631" s="5">
        <v>0</v>
      </c>
      <c r="L631" s="14">
        <f t="shared" si="45"/>
        <v>0.14876796186711483</v>
      </c>
      <c r="M631" s="14">
        <f t="shared" si="49"/>
        <v>1.7957143099999999</v>
      </c>
      <c r="N631" s="20">
        <f t="shared" si="46"/>
        <v>8.284611925107108E-5</v>
      </c>
      <c r="O631" s="14" t="str">
        <f t="shared" si="47"/>
        <v xml:space="preserve"> </v>
      </c>
      <c r="P631" s="20">
        <f t="shared" si="48"/>
        <v>0</v>
      </c>
    </row>
    <row r="632" spans="1:16" x14ac:dyDescent="0.25">
      <c r="A632">
        <v>1121304</v>
      </c>
      <c r="B632">
        <v>1178</v>
      </c>
      <c r="C632">
        <v>144574</v>
      </c>
      <c r="D632" t="s">
        <v>13</v>
      </c>
      <c r="E632" t="s">
        <v>12</v>
      </c>
      <c r="F632" s="5">
        <v>16</v>
      </c>
      <c r="G632" s="5">
        <v>94257</v>
      </c>
      <c r="H632" s="5">
        <v>7</v>
      </c>
      <c r="I632" s="8">
        <v>12.580000399999999</v>
      </c>
      <c r="J632" s="5">
        <v>1</v>
      </c>
      <c r="K632" s="5">
        <v>1</v>
      </c>
      <c r="L632" s="14">
        <f t="shared" si="45"/>
        <v>0.13346489279310822</v>
      </c>
      <c r="M632" s="14">
        <f t="shared" si="49"/>
        <v>1.7971429142857143</v>
      </c>
      <c r="N632" s="20">
        <f t="shared" si="46"/>
        <v>7.4265041323190849E-5</v>
      </c>
      <c r="O632" s="14">
        <f t="shared" si="47"/>
        <v>12.580000399999999</v>
      </c>
      <c r="P632" s="20">
        <f t="shared" si="48"/>
        <v>0.14285714285714285</v>
      </c>
    </row>
    <row r="633" spans="1:16" x14ac:dyDescent="0.25">
      <c r="A633">
        <v>1121309</v>
      </c>
      <c r="B633">
        <v>1178</v>
      </c>
      <c r="C633">
        <v>144575</v>
      </c>
      <c r="D633" t="s">
        <v>13</v>
      </c>
      <c r="E633" t="s">
        <v>12</v>
      </c>
      <c r="F633" s="5">
        <v>18</v>
      </c>
      <c r="G633" s="5">
        <v>131060</v>
      </c>
      <c r="H633" s="5">
        <v>16</v>
      </c>
      <c r="I633" s="8">
        <v>28.049999589999999</v>
      </c>
      <c r="J633" s="5">
        <v>2</v>
      </c>
      <c r="K633" s="5">
        <v>1</v>
      </c>
      <c r="L633" s="14">
        <f t="shared" si="45"/>
        <v>0.21402410796581717</v>
      </c>
      <c r="M633" s="14">
        <f t="shared" si="49"/>
        <v>1.7531249743749999</v>
      </c>
      <c r="N633" s="20">
        <f t="shared" si="46"/>
        <v>1.220814893941706E-4</v>
      </c>
      <c r="O633" s="14">
        <f t="shared" si="47"/>
        <v>28.049999589999999</v>
      </c>
      <c r="P633" s="20">
        <f t="shared" si="48"/>
        <v>6.25E-2</v>
      </c>
    </row>
    <row r="634" spans="1:16" x14ac:dyDescent="0.25">
      <c r="A634">
        <v>1121310</v>
      </c>
      <c r="B634">
        <v>1178</v>
      </c>
      <c r="C634">
        <v>144575</v>
      </c>
      <c r="D634" t="s">
        <v>13</v>
      </c>
      <c r="E634" t="s">
        <v>12</v>
      </c>
      <c r="F634" s="5">
        <v>18</v>
      </c>
      <c r="G634" s="5">
        <v>341603</v>
      </c>
      <c r="H634" s="5">
        <v>50</v>
      </c>
      <c r="I634" s="8">
        <v>83.480001209999998</v>
      </c>
      <c r="J634" s="5">
        <v>4</v>
      </c>
      <c r="K634" s="5">
        <v>2</v>
      </c>
      <c r="L634" s="14">
        <f t="shared" si="45"/>
        <v>0.24437724847264219</v>
      </c>
      <c r="M634" s="14">
        <f t="shared" si="49"/>
        <v>1.6696000242</v>
      </c>
      <c r="N634" s="20">
        <f t="shared" si="46"/>
        <v>1.463687379794674E-4</v>
      </c>
      <c r="O634" s="14">
        <f t="shared" si="47"/>
        <v>41.740000604999999</v>
      </c>
      <c r="P634" s="20">
        <f t="shared" si="48"/>
        <v>0.04</v>
      </c>
    </row>
    <row r="635" spans="1:16" x14ac:dyDescent="0.25">
      <c r="A635">
        <v>1121311</v>
      </c>
      <c r="B635">
        <v>1178</v>
      </c>
      <c r="C635">
        <v>144575</v>
      </c>
      <c r="D635" t="s">
        <v>13</v>
      </c>
      <c r="E635" t="s">
        <v>12</v>
      </c>
      <c r="F635" s="5">
        <v>18</v>
      </c>
      <c r="G635" s="5">
        <v>140749</v>
      </c>
      <c r="H635" s="5">
        <v>19</v>
      </c>
      <c r="I635" s="8">
        <v>30.479999899999999</v>
      </c>
      <c r="J635" s="5">
        <v>1</v>
      </c>
      <c r="K635" s="5">
        <v>1</v>
      </c>
      <c r="L635" s="14">
        <f t="shared" si="45"/>
        <v>0.21655571194111503</v>
      </c>
      <c r="M635" s="14">
        <f t="shared" si="49"/>
        <v>1.6042105210526316</v>
      </c>
      <c r="N635" s="20">
        <f t="shared" si="46"/>
        <v>1.349920780964696E-4</v>
      </c>
      <c r="O635" s="14">
        <f t="shared" si="47"/>
        <v>30.479999899999999</v>
      </c>
      <c r="P635" s="20">
        <f t="shared" si="48"/>
        <v>5.2631578947368418E-2</v>
      </c>
    </row>
    <row r="636" spans="1:16" x14ac:dyDescent="0.25">
      <c r="A636">
        <v>1121312</v>
      </c>
      <c r="B636">
        <v>1178</v>
      </c>
      <c r="C636">
        <v>144575</v>
      </c>
      <c r="D636" t="s">
        <v>13</v>
      </c>
      <c r="E636" t="s">
        <v>12</v>
      </c>
      <c r="F636" s="5">
        <v>18</v>
      </c>
      <c r="G636" s="5">
        <v>102525</v>
      </c>
      <c r="H636" s="5">
        <v>13</v>
      </c>
      <c r="I636" s="8">
        <v>20.299999830000001</v>
      </c>
      <c r="J636" s="5">
        <v>2</v>
      </c>
      <c r="K636" s="5">
        <v>1</v>
      </c>
      <c r="L636" s="14">
        <f t="shared" si="45"/>
        <v>0.1980004860277981</v>
      </c>
      <c r="M636" s="14">
        <f t="shared" si="49"/>
        <v>1.5615384484615384</v>
      </c>
      <c r="N636" s="20">
        <f t="shared" si="46"/>
        <v>1.2679834186783711E-4</v>
      </c>
      <c r="O636" s="14">
        <f t="shared" si="47"/>
        <v>20.299999830000001</v>
      </c>
      <c r="P636" s="20">
        <f t="shared" si="48"/>
        <v>7.6923076923076927E-2</v>
      </c>
    </row>
    <row r="637" spans="1:16" x14ac:dyDescent="0.25">
      <c r="A637">
        <v>1121316</v>
      </c>
      <c r="B637">
        <v>1178</v>
      </c>
      <c r="C637">
        <v>144576</v>
      </c>
      <c r="D637" t="s">
        <v>13</v>
      </c>
      <c r="E637" t="s">
        <v>12</v>
      </c>
      <c r="F637" s="5">
        <v>19</v>
      </c>
      <c r="G637" s="5">
        <v>447952</v>
      </c>
      <c r="H637" s="5">
        <v>68</v>
      </c>
      <c r="I637" s="8">
        <v>131.5799983</v>
      </c>
      <c r="J637" s="5">
        <v>8</v>
      </c>
      <c r="K637" s="5">
        <v>1</v>
      </c>
      <c r="L637" s="14">
        <f t="shared" si="45"/>
        <v>0.29373682515090904</v>
      </c>
      <c r="M637" s="14">
        <f t="shared" si="49"/>
        <v>1.934999975</v>
      </c>
      <c r="N637" s="20">
        <f t="shared" si="46"/>
        <v>1.5180197878344109E-4</v>
      </c>
      <c r="O637" s="14">
        <f t="shared" si="47"/>
        <v>131.5799983</v>
      </c>
      <c r="P637" s="20">
        <f t="shared" si="48"/>
        <v>1.4705882352941176E-2</v>
      </c>
    </row>
    <row r="638" spans="1:16" x14ac:dyDescent="0.25">
      <c r="A638">
        <v>1121317</v>
      </c>
      <c r="B638">
        <v>1178</v>
      </c>
      <c r="C638">
        <v>144576</v>
      </c>
      <c r="D638" t="s">
        <v>13</v>
      </c>
      <c r="E638" t="s">
        <v>12</v>
      </c>
      <c r="F638" s="5">
        <v>19</v>
      </c>
      <c r="G638" s="5">
        <v>76355</v>
      </c>
      <c r="H638" s="5">
        <v>9</v>
      </c>
      <c r="I638" s="8">
        <v>14.62999988</v>
      </c>
      <c r="J638" s="5">
        <v>2</v>
      </c>
      <c r="K638" s="5">
        <v>0</v>
      </c>
      <c r="L638" s="14">
        <f t="shared" si="45"/>
        <v>0.19160500137515551</v>
      </c>
      <c r="M638" s="14">
        <f t="shared" si="49"/>
        <v>1.6255555422222221</v>
      </c>
      <c r="N638" s="20">
        <f t="shared" si="46"/>
        <v>1.1787047344640168E-4</v>
      </c>
      <c r="O638" s="14" t="str">
        <f t="shared" si="47"/>
        <v xml:space="preserve"> </v>
      </c>
      <c r="P638" s="20">
        <f t="shared" si="48"/>
        <v>0</v>
      </c>
    </row>
    <row r="639" spans="1:16" x14ac:dyDescent="0.25">
      <c r="A639">
        <v>1121319</v>
      </c>
      <c r="B639">
        <v>1178</v>
      </c>
      <c r="C639">
        <v>144577</v>
      </c>
      <c r="D639" t="s">
        <v>13</v>
      </c>
      <c r="E639" t="s">
        <v>12</v>
      </c>
      <c r="F639" s="5">
        <v>20</v>
      </c>
      <c r="G639" s="5">
        <v>256598</v>
      </c>
      <c r="H639" s="5">
        <v>38</v>
      </c>
      <c r="I639" s="8">
        <v>64.469999310000006</v>
      </c>
      <c r="J639" s="5">
        <v>6</v>
      </c>
      <c r="K639" s="5">
        <v>1</v>
      </c>
      <c r="L639" s="14">
        <f t="shared" si="45"/>
        <v>0.25124903276720789</v>
      </c>
      <c r="M639" s="14">
        <f t="shared" si="49"/>
        <v>1.6965789292105264</v>
      </c>
      <c r="N639" s="20">
        <f t="shared" si="46"/>
        <v>1.4809156735438311E-4</v>
      </c>
      <c r="O639" s="14">
        <f t="shared" si="47"/>
        <v>64.469999310000006</v>
      </c>
      <c r="P639" s="20">
        <f t="shared" si="48"/>
        <v>2.6315789473684209E-2</v>
      </c>
    </row>
    <row r="640" spans="1:16" x14ac:dyDescent="0.25">
      <c r="A640">
        <v>1121321</v>
      </c>
      <c r="B640">
        <v>1178</v>
      </c>
      <c r="C640">
        <v>144577</v>
      </c>
      <c r="D640" t="s">
        <v>13</v>
      </c>
      <c r="E640" t="s">
        <v>12</v>
      </c>
      <c r="F640" s="5">
        <v>20</v>
      </c>
      <c r="G640" s="5">
        <v>127476</v>
      </c>
      <c r="H640" s="5">
        <v>21</v>
      </c>
      <c r="I640" s="8">
        <v>30.15000057</v>
      </c>
      <c r="J640" s="5">
        <v>3</v>
      </c>
      <c r="K640" s="5">
        <v>2</v>
      </c>
      <c r="L640" s="14">
        <f t="shared" si="45"/>
        <v>0.2365151131977784</v>
      </c>
      <c r="M640" s="14">
        <f t="shared" si="49"/>
        <v>1.4357143128571428</v>
      </c>
      <c r="N640" s="20">
        <f t="shared" si="46"/>
        <v>1.6473689165019299E-4</v>
      </c>
      <c r="O640" s="14">
        <f t="shared" si="47"/>
        <v>15.075000285</v>
      </c>
      <c r="P640" s="20">
        <f t="shared" si="48"/>
        <v>9.5238095238095233E-2</v>
      </c>
    </row>
    <row r="641" spans="1:16" x14ac:dyDescent="0.25">
      <c r="A641">
        <v>1121322</v>
      </c>
      <c r="B641">
        <v>1178</v>
      </c>
      <c r="C641">
        <v>144577</v>
      </c>
      <c r="D641" t="s">
        <v>13</v>
      </c>
      <c r="E641" t="s">
        <v>12</v>
      </c>
      <c r="F641" s="5">
        <v>20</v>
      </c>
      <c r="G641" s="5">
        <v>237603</v>
      </c>
      <c r="H641" s="5">
        <v>37</v>
      </c>
      <c r="I641" s="8">
        <v>62.250000239999999</v>
      </c>
      <c r="J641" s="5">
        <v>5</v>
      </c>
      <c r="K641" s="5">
        <v>2</v>
      </c>
      <c r="L641" s="14">
        <f t="shared" si="45"/>
        <v>0.26199164252976603</v>
      </c>
      <c r="M641" s="14">
        <f t="shared" si="49"/>
        <v>1.6824324389189189</v>
      </c>
      <c r="N641" s="20">
        <f t="shared" si="46"/>
        <v>1.5572193953780045E-4</v>
      </c>
      <c r="O641" s="14">
        <f t="shared" si="47"/>
        <v>31.125000119999999</v>
      </c>
      <c r="P641" s="20">
        <f t="shared" si="48"/>
        <v>5.4054054054054057E-2</v>
      </c>
    </row>
    <row r="642" spans="1:16" x14ac:dyDescent="0.25">
      <c r="A642">
        <v>1121327</v>
      </c>
      <c r="B642">
        <v>1178</v>
      </c>
      <c r="C642">
        <v>144578</v>
      </c>
      <c r="D642" t="s">
        <v>13</v>
      </c>
      <c r="E642" t="s">
        <v>12</v>
      </c>
      <c r="F642" s="5">
        <v>21</v>
      </c>
      <c r="G642" s="5">
        <v>271091</v>
      </c>
      <c r="H642" s="5">
        <v>42</v>
      </c>
      <c r="I642" s="8">
        <v>78.039999839999993</v>
      </c>
      <c r="J642" s="5">
        <v>3</v>
      </c>
      <c r="K642" s="5">
        <v>1</v>
      </c>
      <c r="L642" s="14">
        <f t="shared" si="45"/>
        <v>0.28787381300006271</v>
      </c>
      <c r="M642" s="14">
        <f t="shared" si="49"/>
        <v>1.8580952342857142</v>
      </c>
      <c r="N642" s="20">
        <f t="shared" si="46"/>
        <v>1.5492952550988414E-4</v>
      </c>
      <c r="O642" s="14">
        <f t="shared" si="47"/>
        <v>78.039999839999993</v>
      </c>
      <c r="P642" s="20">
        <f t="shared" si="48"/>
        <v>2.3809523809523808E-2</v>
      </c>
    </row>
    <row r="643" spans="1:16" x14ac:dyDescent="0.25">
      <c r="A643">
        <v>1121330</v>
      </c>
      <c r="B643">
        <v>1178</v>
      </c>
      <c r="C643">
        <v>144578</v>
      </c>
      <c r="D643" t="s">
        <v>13</v>
      </c>
      <c r="E643" t="s">
        <v>12</v>
      </c>
      <c r="F643" s="5">
        <v>21</v>
      </c>
      <c r="G643" s="5">
        <v>21743</v>
      </c>
      <c r="H643" s="5">
        <v>2</v>
      </c>
      <c r="I643" s="8">
        <v>3.4000000950000002</v>
      </c>
      <c r="J643" s="5">
        <v>1</v>
      </c>
      <c r="K643" s="5">
        <v>0</v>
      </c>
      <c r="L643" s="14">
        <f t="shared" ref="L643:L706" si="50">IF(G643=0,0,(I643/G643)*1000)</f>
        <v>0.15637217012371799</v>
      </c>
      <c r="M643" s="14">
        <f t="shared" si="49"/>
        <v>1.7000000475000001</v>
      </c>
      <c r="N643" s="20">
        <f t="shared" ref="N643:N706" si="51">IF(G643=0,0,(H643/G643))</f>
        <v>9.1983626914409237E-5</v>
      </c>
      <c r="O643" s="14" t="str">
        <f t="shared" ref="O643:O706" si="52">IF(K643&gt;0, I643/K643, " ")</f>
        <v xml:space="preserve"> </v>
      </c>
      <c r="P643" s="20">
        <f t="shared" ref="P643:P706" si="53">IF(H643=0,0,(K643/H643))</f>
        <v>0</v>
      </c>
    </row>
    <row r="644" spans="1:16" x14ac:dyDescent="0.25">
      <c r="A644">
        <v>1121333</v>
      </c>
      <c r="B644">
        <v>1178</v>
      </c>
      <c r="C644">
        <v>144579</v>
      </c>
      <c r="D644" t="s">
        <v>13</v>
      </c>
      <c r="E644" t="s">
        <v>12</v>
      </c>
      <c r="F644" s="5">
        <v>22</v>
      </c>
      <c r="G644" s="5">
        <v>88970</v>
      </c>
      <c r="H644" s="5">
        <v>10</v>
      </c>
      <c r="I644" s="8">
        <v>14.830000399999999</v>
      </c>
      <c r="J644" s="5">
        <v>2</v>
      </c>
      <c r="K644" s="5">
        <v>0</v>
      </c>
      <c r="L644" s="14">
        <f t="shared" si="50"/>
        <v>0.16668540406878721</v>
      </c>
      <c r="M644" s="14">
        <f t="shared" si="49"/>
        <v>1.4830000399999999</v>
      </c>
      <c r="N644" s="20">
        <f t="shared" si="51"/>
        <v>1.1239743733842868E-4</v>
      </c>
      <c r="O644" s="14" t="str">
        <f t="shared" si="52"/>
        <v xml:space="preserve"> </v>
      </c>
      <c r="P644" s="20">
        <f t="shared" si="53"/>
        <v>0</v>
      </c>
    </row>
    <row r="645" spans="1:16" x14ac:dyDescent="0.25">
      <c r="A645">
        <v>1121334</v>
      </c>
      <c r="B645">
        <v>1178</v>
      </c>
      <c r="C645">
        <v>144579</v>
      </c>
      <c r="D645" t="s">
        <v>13</v>
      </c>
      <c r="E645" t="s">
        <v>12</v>
      </c>
      <c r="F645" s="5">
        <v>22</v>
      </c>
      <c r="G645" s="5">
        <v>108362</v>
      </c>
      <c r="H645" s="5">
        <v>13</v>
      </c>
      <c r="I645" s="8">
        <v>22.42999983</v>
      </c>
      <c r="J645" s="5">
        <v>1</v>
      </c>
      <c r="K645" s="5">
        <v>1</v>
      </c>
      <c r="L645" s="14">
        <f t="shared" si="50"/>
        <v>0.20699137917351101</v>
      </c>
      <c r="M645" s="14">
        <f t="shared" ref="M645:M708" si="54">IF(H645&gt;0, I645/H645, " ")</f>
        <v>1.7253846023076922</v>
      </c>
      <c r="N645" s="20">
        <f t="shared" si="51"/>
        <v>1.1996825455417951E-4</v>
      </c>
      <c r="O645" s="14">
        <f t="shared" si="52"/>
        <v>22.42999983</v>
      </c>
      <c r="P645" s="20">
        <f t="shared" si="53"/>
        <v>7.6923076923076927E-2</v>
      </c>
    </row>
    <row r="646" spans="1:16" x14ac:dyDescent="0.25">
      <c r="A646">
        <v>1121335</v>
      </c>
      <c r="B646">
        <v>1178</v>
      </c>
      <c r="C646">
        <v>144579</v>
      </c>
      <c r="D646" t="s">
        <v>13</v>
      </c>
      <c r="E646" t="s">
        <v>12</v>
      </c>
      <c r="F646" s="5">
        <v>22</v>
      </c>
      <c r="G646" s="5">
        <v>188596</v>
      </c>
      <c r="H646" s="5">
        <v>27</v>
      </c>
      <c r="I646" s="8">
        <v>44.14000034</v>
      </c>
      <c r="J646" s="5">
        <v>3</v>
      </c>
      <c r="K646" s="5">
        <v>0</v>
      </c>
      <c r="L646" s="14">
        <f t="shared" si="50"/>
        <v>0.23404526257184669</v>
      </c>
      <c r="M646" s="14">
        <f t="shared" si="54"/>
        <v>1.6348148274074075</v>
      </c>
      <c r="N646" s="20">
        <f t="shared" si="51"/>
        <v>1.4316316358777492E-4</v>
      </c>
      <c r="O646" s="14" t="str">
        <f t="shared" si="52"/>
        <v xml:space="preserve"> </v>
      </c>
      <c r="P646" s="20">
        <f t="shared" si="53"/>
        <v>0</v>
      </c>
    </row>
    <row r="647" spans="1:16" x14ac:dyDescent="0.25">
      <c r="A647">
        <v>1121336</v>
      </c>
      <c r="B647">
        <v>1178</v>
      </c>
      <c r="C647">
        <v>144579</v>
      </c>
      <c r="D647" t="s">
        <v>13</v>
      </c>
      <c r="E647" t="s">
        <v>12</v>
      </c>
      <c r="F647" s="5">
        <v>22</v>
      </c>
      <c r="G647" s="5">
        <v>275080</v>
      </c>
      <c r="H647" s="5">
        <v>43</v>
      </c>
      <c r="I647" s="8">
        <v>69.659999970000001</v>
      </c>
      <c r="J647" s="5">
        <v>4</v>
      </c>
      <c r="K647" s="5">
        <v>3</v>
      </c>
      <c r="L647" s="14">
        <f t="shared" si="50"/>
        <v>0.25323542231350882</v>
      </c>
      <c r="M647" s="14">
        <f t="shared" si="54"/>
        <v>1.6199999993023255</v>
      </c>
      <c r="N647" s="20">
        <f t="shared" si="51"/>
        <v>1.563181619892395E-4</v>
      </c>
      <c r="O647" s="14">
        <f t="shared" si="52"/>
        <v>23.219999990000002</v>
      </c>
      <c r="P647" s="20">
        <f t="shared" si="53"/>
        <v>6.9767441860465115E-2</v>
      </c>
    </row>
    <row r="648" spans="1:16" x14ac:dyDescent="0.25">
      <c r="A648">
        <v>1121337</v>
      </c>
      <c r="B648">
        <v>1178</v>
      </c>
      <c r="C648">
        <v>144580</v>
      </c>
      <c r="D648" t="s">
        <v>13</v>
      </c>
      <c r="E648" t="s">
        <v>12</v>
      </c>
      <c r="F648" s="5">
        <v>23</v>
      </c>
      <c r="G648" s="5">
        <v>64647</v>
      </c>
      <c r="H648" s="5">
        <v>10</v>
      </c>
      <c r="I648" s="8">
        <v>16.269999980000001</v>
      </c>
      <c r="J648" s="5">
        <v>1</v>
      </c>
      <c r="K648" s="5">
        <v>0</v>
      </c>
      <c r="L648" s="14">
        <f t="shared" si="50"/>
        <v>0.25167447801135401</v>
      </c>
      <c r="M648" s="14">
        <f t="shared" si="54"/>
        <v>1.6269999980000001</v>
      </c>
      <c r="N648" s="20">
        <f t="shared" si="51"/>
        <v>1.5468621900474887E-4</v>
      </c>
      <c r="O648" s="14" t="str">
        <f t="shared" si="52"/>
        <v xml:space="preserve"> </v>
      </c>
      <c r="P648" s="20">
        <f t="shared" si="53"/>
        <v>0</v>
      </c>
    </row>
    <row r="649" spans="1:16" x14ac:dyDescent="0.25">
      <c r="A649">
        <v>1121338</v>
      </c>
      <c r="B649">
        <v>1178</v>
      </c>
      <c r="C649">
        <v>144580</v>
      </c>
      <c r="D649" t="s">
        <v>13</v>
      </c>
      <c r="E649" t="s">
        <v>12</v>
      </c>
      <c r="F649" s="5">
        <v>23</v>
      </c>
      <c r="G649" s="5">
        <v>31265</v>
      </c>
      <c r="H649" s="5">
        <v>4</v>
      </c>
      <c r="I649" s="8">
        <v>5.7899999019999999</v>
      </c>
      <c r="J649" s="5">
        <v>1</v>
      </c>
      <c r="K649" s="5">
        <v>0</v>
      </c>
      <c r="L649" s="14">
        <f t="shared" si="50"/>
        <v>0.1851911051335359</v>
      </c>
      <c r="M649" s="14">
        <f t="shared" si="54"/>
        <v>1.4474999755</v>
      </c>
      <c r="N649" s="20">
        <f t="shared" si="51"/>
        <v>1.2793858947705101E-4</v>
      </c>
      <c r="O649" s="14" t="str">
        <f t="shared" si="52"/>
        <v xml:space="preserve"> </v>
      </c>
      <c r="P649" s="20">
        <f t="shared" si="53"/>
        <v>0</v>
      </c>
    </row>
    <row r="650" spans="1:16" x14ac:dyDescent="0.25">
      <c r="A650">
        <v>1121340</v>
      </c>
      <c r="B650">
        <v>1178</v>
      </c>
      <c r="C650">
        <v>144580</v>
      </c>
      <c r="D650" t="s">
        <v>13</v>
      </c>
      <c r="E650" t="s">
        <v>12</v>
      </c>
      <c r="F650" s="5">
        <v>23</v>
      </c>
      <c r="G650" s="5">
        <v>140147</v>
      </c>
      <c r="H650" s="5">
        <v>24</v>
      </c>
      <c r="I650" s="8">
        <v>42.080000159999997</v>
      </c>
      <c r="J650" s="5">
        <v>2</v>
      </c>
      <c r="K650" s="5">
        <v>0</v>
      </c>
      <c r="L650" s="14">
        <f t="shared" si="50"/>
        <v>0.30025616074550288</v>
      </c>
      <c r="M650" s="14">
        <f t="shared" si="54"/>
        <v>1.75333334</v>
      </c>
      <c r="N650" s="20">
        <f t="shared" si="51"/>
        <v>1.7124876023032957E-4</v>
      </c>
      <c r="O650" s="14" t="str">
        <f t="shared" si="52"/>
        <v xml:space="preserve"> </v>
      </c>
      <c r="P650" s="20">
        <f t="shared" si="53"/>
        <v>0</v>
      </c>
    </row>
    <row r="651" spans="1:16" x14ac:dyDescent="0.25">
      <c r="A651">
        <v>1121341</v>
      </c>
      <c r="B651">
        <v>1178</v>
      </c>
      <c r="C651">
        <v>144580</v>
      </c>
      <c r="D651" t="s">
        <v>13</v>
      </c>
      <c r="E651" t="s">
        <v>12</v>
      </c>
      <c r="F651" s="5">
        <v>23</v>
      </c>
      <c r="G651" s="5">
        <v>223120</v>
      </c>
      <c r="H651" s="5">
        <v>40</v>
      </c>
      <c r="I651" s="8">
        <v>67.669999840000003</v>
      </c>
      <c r="J651" s="5">
        <v>1</v>
      </c>
      <c r="K651" s="5">
        <v>0</v>
      </c>
      <c r="L651" s="14">
        <f t="shared" si="50"/>
        <v>0.30328970885622086</v>
      </c>
      <c r="M651" s="14">
        <f t="shared" si="54"/>
        <v>1.691749996</v>
      </c>
      <c r="N651" s="20">
        <f t="shared" si="51"/>
        <v>1.7927572606669058E-4</v>
      </c>
      <c r="O651" s="14" t="str">
        <f t="shared" si="52"/>
        <v xml:space="preserve"> </v>
      </c>
      <c r="P651" s="20">
        <f t="shared" si="53"/>
        <v>0</v>
      </c>
    </row>
    <row r="652" spans="1:16" x14ac:dyDescent="0.25">
      <c r="A652">
        <v>1121342</v>
      </c>
      <c r="B652">
        <v>1178</v>
      </c>
      <c r="C652">
        <v>144580</v>
      </c>
      <c r="D652" t="s">
        <v>13</v>
      </c>
      <c r="E652" t="s">
        <v>12</v>
      </c>
      <c r="F652" s="5">
        <v>23</v>
      </c>
      <c r="G652" s="5">
        <v>104869</v>
      </c>
      <c r="H652" s="5">
        <v>18</v>
      </c>
      <c r="I652" s="8">
        <v>34.070000890000003</v>
      </c>
      <c r="J652" s="5">
        <v>1</v>
      </c>
      <c r="K652" s="5">
        <v>0</v>
      </c>
      <c r="L652" s="14">
        <f t="shared" si="50"/>
        <v>0.32488152733410258</v>
      </c>
      <c r="M652" s="14">
        <f t="shared" si="54"/>
        <v>1.8927778272222224</v>
      </c>
      <c r="N652" s="20">
        <f t="shared" si="51"/>
        <v>1.7164271615062603E-4</v>
      </c>
      <c r="O652" s="14" t="str">
        <f t="shared" si="52"/>
        <v xml:space="preserve"> </v>
      </c>
      <c r="P652" s="20">
        <f t="shared" si="53"/>
        <v>0</v>
      </c>
    </row>
    <row r="653" spans="1:16" x14ac:dyDescent="0.25">
      <c r="A653">
        <v>1121344</v>
      </c>
      <c r="B653">
        <v>1178</v>
      </c>
      <c r="C653">
        <v>144581</v>
      </c>
      <c r="D653" t="s">
        <v>13</v>
      </c>
      <c r="E653" t="s">
        <v>12</v>
      </c>
      <c r="F653" s="5">
        <v>24</v>
      </c>
      <c r="G653" s="5">
        <v>165177</v>
      </c>
      <c r="H653" s="5">
        <v>23</v>
      </c>
      <c r="I653" s="8">
        <v>41.71999967</v>
      </c>
      <c r="J653" s="5">
        <v>4</v>
      </c>
      <c r="K653" s="5">
        <v>1</v>
      </c>
      <c r="L653" s="14">
        <f t="shared" si="50"/>
        <v>0.25257753603709959</v>
      </c>
      <c r="M653" s="14">
        <f t="shared" si="54"/>
        <v>1.8139130291304348</v>
      </c>
      <c r="N653" s="20">
        <f t="shared" si="51"/>
        <v>1.3924456794832209E-4</v>
      </c>
      <c r="O653" s="14">
        <f t="shared" si="52"/>
        <v>41.71999967</v>
      </c>
      <c r="P653" s="20">
        <f t="shared" si="53"/>
        <v>4.3478260869565216E-2</v>
      </c>
    </row>
    <row r="654" spans="1:16" x14ac:dyDescent="0.25">
      <c r="A654">
        <v>1121345</v>
      </c>
      <c r="B654">
        <v>1178</v>
      </c>
      <c r="C654">
        <v>144581</v>
      </c>
      <c r="D654" t="s">
        <v>13</v>
      </c>
      <c r="E654" t="s">
        <v>12</v>
      </c>
      <c r="F654" s="5">
        <v>24</v>
      </c>
      <c r="G654" s="5">
        <v>84194</v>
      </c>
      <c r="H654" s="5">
        <v>11</v>
      </c>
      <c r="I654" s="8">
        <v>19.569999809999999</v>
      </c>
      <c r="J654" s="5">
        <v>1</v>
      </c>
      <c r="K654" s="5">
        <v>0</v>
      </c>
      <c r="L654" s="14">
        <f t="shared" si="50"/>
        <v>0.23243936396892889</v>
      </c>
      <c r="M654" s="14">
        <f t="shared" si="54"/>
        <v>1.7790908918181818</v>
      </c>
      <c r="N654" s="20">
        <f t="shared" si="51"/>
        <v>1.3065064018813691E-4</v>
      </c>
      <c r="O654" s="14" t="str">
        <f t="shared" si="52"/>
        <v xml:space="preserve"> </v>
      </c>
      <c r="P654" s="20">
        <f t="shared" si="53"/>
        <v>0</v>
      </c>
    </row>
    <row r="655" spans="1:16" x14ac:dyDescent="0.25">
      <c r="A655">
        <v>1121347</v>
      </c>
      <c r="B655">
        <v>1178</v>
      </c>
      <c r="C655">
        <v>144581</v>
      </c>
      <c r="D655" t="s">
        <v>13</v>
      </c>
      <c r="E655" t="s">
        <v>12</v>
      </c>
      <c r="F655" s="5">
        <v>24</v>
      </c>
      <c r="G655" s="5">
        <v>220581</v>
      </c>
      <c r="H655" s="5">
        <v>31</v>
      </c>
      <c r="I655" s="8">
        <v>57.37</v>
      </c>
      <c r="J655" s="5">
        <v>1</v>
      </c>
      <c r="K655" s="5">
        <v>1</v>
      </c>
      <c r="L655" s="14">
        <f t="shared" si="50"/>
        <v>0.26008586414967744</v>
      </c>
      <c r="M655" s="14">
        <f t="shared" si="54"/>
        <v>1.8506451612903225</v>
      </c>
      <c r="N655" s="20">
        <f t="shared" si="51"/>
        <v>1.4053794297786302E-4</v>
      </c>
      <c r="O655" s="14">
        <f t="shared" si="52"/>
        <v>57.37</v>
      </c>
      <c r="P655" s="20">
        <f t="shared" si="53"/>
        <v>3.2258064516129031E-2</v>
      </c>
    </row>
    <row r="656" spans="1:16" x14ac:dyDescent="0.25">
      <c r="A656">
        <v>1121350</v>
      </c>
      <c r="B656">
        <v>1178</v>
      </c>
      <c r="C656">
        <v>144582</v>
      </c>
      <c r="D656" t="s">
        <v>13</v>
      </c>
      <c r="E656" t="s">
        <v>12</v>
      </c>
      <c r="F656" s="5">
        <v>25</v>
      </c>
      <c r="G656" s="5">
        <v>75804</v>
      </c>
      <c r="H656" s="5">
        <v>10</v>
      </c>
      <c r="I656" s="8">
        <v>17.36999965</v>
      </c>
      <c r="J656" s="5">
        <v>2</v>
      </c>
      <c r="K656" s="5">
        <v>1</v>
      </c>
      <c r="L656" s="14">
        <f t="shared" si="50"/>
        <v>0.22914357619650677</v>
      </c>
      <c r="M656" s="14">
        <f t="shared" si="54"/>
        <v>1.7369999650000001</v>
      </c>
      <c r="N656" s="20">
        <f t="shared" si="51"/>
        <v>1.3191915993878952E-4</v>
      </c>
      <c r="O656" s="14">
        <f t="shared" si="52"/>
        <v>17.36999965</v>
      </c>
      <c r="P656" s="20">
        <f t="shared" si="53"/>
        <v>0.1</v>
      </c>
    </row>
    <row r="657" spans="1:16" x14ac:dyDescent="0.25">
      <c r="A657">
        <v>1121352</v>
      </c>
      <c r="B657">
        <v>1178</v>
      </c>
      <c r="C657">
        <v>144582</v>
      </c>
      <c r="D657" t="s">
        <v>13</v>
      </c>
      <c r="E657" t="s">
        <v>12</v>
      </c>
      <c r="F657" s="5">
        <v>25</v>
      </c>
      <c r="G657" s="5">
        <v>368986</v>
      </c>
      <c r="H657" s="5">
        <v>59</v>
      </c>
      <c r="I657" s="8">
        <v>100.28999899999999</v>
      </c>
      <c r="J657" s="5">
        <v>0</v>
      </c>
      <c r="K657" s="5">
        <v>0</v>
      </c>
      <c r="L657" s="14">
        <f t="shared" si="50"/>
        <v>0.2717989273305762</v>
      </c>
      <c r="M657" s="14">
        <f t="shared" si="54"/>
        <v>1.6998304915254236</v>
      </c>
      <c r="N657" s="20">
        <f t="shared" si="51"/>
        <v>1.5989766549408379E-4</v>
      </c>
      <c r="O657" s="14" t="str">
        <f t="shared" si="52"/>
        <v xml:space="preserve"> </v>
      </c>
      <c r="P657" s="20">
        <f t="shared" si="53"/>
        <v>0</v>
      </c>
    </row>
    <row r="658" spans="1:16" x14ac:dyDescent="0.25">
      <c r="A658">
        <v>1121353</v>
      </c>
      <c r="B658">
        <v>1178</v>
      </c>
      <c r="C658">
        <v>144582</v>
      </c>
      <c r="D658" t="s">
        <v>13</v>
      </c>
      <c r="E658" t="s">
        <v>12</v>
      </c>
      <c r="F658" s="5">
        <v>25</v>
      </c>
      <c r="G658" s="5">
        <v>28194</v>
      </c>
      <c r="H658" s="5">
        <v>3</v>
      </c>
      <c r="I658" s="8">
        <v>3.7099999189999999</v>
      </c>
      <c r="J658" s="5">
        <v>2</v>
      </c>
      <c r="K658" s="5">
        <v>0</v>
      </c>
      <c r="L658" s="14">
        <f t="shared" si="50"/>
        <v>0.1315882783216287</v>
      </c>
      <c r="M658" s="14">
        <f t="shared" si="54"/>
        <v>1.2366666396666666</v>
      </c>
      <c r="N658" s="20">
        <f t="shared" si="51"/>
        <v>1.0640561821664184E-4</v>
      </c>
      <c r="O658" s="14" t="str">
        <f t="shared" si="52"/>
        <v xml:space="preserve"> </v>
      </c>
      <c r="P658" s="20">
        <f t="shared" si="53"/>
        <v>0</v>
      </c>
    </row>
    <row r="659" spans="1:16" x14ac:dyDescent="0.25">
      <c r="A659">
        <v>1121355</v>
      </c>
      <c r="B659">
        <v>1178</v>
      </c>
      <c r="C659">
        <v>144583</v>
      </c>
      <c r="D659" t="s">
        <v>13</v>
      </c>
      <c r="E659" t="s">
        <v>12</v>
      </c>
      <c r="F659" s="5">
        <v>26</v>
      </c>
      <c r="G659" s="5">
        <v>99961</v>
      </c>
      <c r="H659" s="5">
        <v>14</v>
      </c>
      <c r="I659" s="8">
        <v>23.209999799999999</v>
      </c>
      <c r="J659" s="5">
        <v>1</v>
      </c>
      <c r="K659" s="5">
        <v>0</v>
      </c>
      <c r="L659" s="14">
        <f t="shared" si="50"/>
        <v>0.232190552315403</v>
      </c>
      <c r="M659" s="14">
        <f t="shared" si="54"/>
        <v>1.6578571285714285</v>
      </c>
      <c r="N659" s="20">
        <f t="shared" si="51"/>
        <v>1.4005462130230791E-4</v>
      </c>
      <c r="O659" s="14" t="str">
        <f t="shared" si="52"/>
        <v xml:space="preserve"> </v>
      </c>
      <c r="P659" s="20">
        <f t="shared" si="53"/>
        <v>0</v>
      </c>
    </row>
    <row r="660" spans="1:16" x14ac:dyDescent="0.25">
      <c r="A660">
        <v>1121359</v>
      </c>
      <c r="B660">
        <v>1178</v>
      </c>
      <c r="C660">
        <v>144583</v>
      </c>
      <c r="D660" t="s">
        <v>13</v>
      </c>
      <c r="E660" t="s">
        <v>12</v>
      </c>
      <c r="F660" s="5">
        <v>26</v>
      </c>
      <c r="G660" s="5">
        <v>7573</v>
      </c>
      <c r="H660" s="5">
        <v>0</v>
      </c>
      <c r="I660" s="8">
        <v>0</v>
      </c>
      <c r="J660" s="5">
        <v>1</v>
      </c>
      <c r="K660" s="5">
        <v>0</v>
      </c>
      <c r="L660" s="14">
        <f t="shared" si="50"/>
        <v>0</v>
      </c>
      <c r="M660" s="14" t="str">
        <f t="shared" si="54"/>
        <v xml:space="preserve"> </v>
      </c>
      <c r="N660" s="20">
        <f t="shared" si="51"/>
        <v>0</v>
      </c>
      <c r="O660" s="14" t="str">
        <f t="shared" si="52"/>
        <v xml:space="preserve"> </v>
      </c>
      <c r="P660" s="20">
        <f t="shared" si="53"/>
        <v>0</v>
      </c>
    </row>
    <row r="661" spans="1:16" x14ac:dyDescent="0.25">
      <c r="A661">
        <v>1121361</v>
      </c>
      <c r="B661">
        <v>1178</v>
      </c>
      <c r="C661">
        <v>144584</v>
      </c>
      <c r="D661" t="s">
        <v>13</v>
      </c>
      <c r="E661" t="s">
        <v>12</v>
      </c>
      <c r="F661" s="5">
        <v>27</v>
      </c>
      <c r="G661" s="5">
        <v>685781</v>
      </c>
      <c r="H661" s="5">
        <v>103</v>
      </c>
      <c r="I661" s="8">
        <v>177.88999920000001</v>
      </c>
      <c r="J661" s="5">
        <v>10</v>
      </c>
      <c r="K661" s="5">
        <v>1</v>
      </c>
      <c r="L661" s="14">
        <f t="shared" si="50"/>
        <v>0.25939767826755189</v>
      </c>
      <c r="M661" s="14">
        <f t="shared" si="54"/>
        <v>1.7270873708737864</v>
      </c>
      <c r="N661" s="20">
        <f t="shared" si="51"/>
        <v>1.5019372073592007E-4</v>
      </c>
      <c r="O661" s="14">
        <f t="shared" si="52"/>
        <v>177.88999920000001</v>
      </c>
      <c r="P661" s="20">
        <f t="shared" si="53"/>
        <v>9.7087378640776691E-3</v>
      </c>
    </row>
    <row r="662" spans="1:16" x14ac:dyDescent="0.25">
      <c r="A662">
        <v>1121364</v>
      </c>
      <c r="B662">
        <v>1178</v>
      </c>
      <c r="C662">
        <v>144584</v>
      </c>
      <c r="D662" t="s">
        <v>13</v>
      </c>
      <c r="E662" t="s">
        <v>12</v>
      </c>
      <c r="F662" s="5">
        <v>27</v>
      </c>
      <c r="G662" s="5">
        <v>274222</v>
      </c>
      <c r="H662" s="5">
        <v>43</v>
      </c>
      <c r="I662" s="8">
        <v>66.770000100000004</v>
      </c>
      <c r="J662" s="5">
        <v>2</v>
      </c>
      <c r="K662" s="5">
        <v>1</v>
      </c>
      <c r="L662" s="14">
        <f t="shared" si="50"/>
        <v>0.24348885246260332</v>
      </c>
      <c r="M662" s="14">
        <f t="shared" si="54"/>
        <v>1.5527907000000001</v>
      </c>
      <c r="N662" s="20">
        <f t="shared" si="51"/>
        <v>1.568072583527215E-4</v>
      </c>
      <c r="O662" s="14">
        <f t="shared" si="52"/>
        <v>66.770000100000004</v>
      </c>
      <c r="P662" s="20">
        <f t="shared" si="53"/>
        <v>2.3255813953488372E-2</v>
      </c>
    </row>
    <row r="663" spans="1:16" x14ac:dyDescent="0.25">
      <c r="A663">
        <v>1121365</v>
      </c>
      <c r="B663">
        <v>1178</v>
      </c>
      <c r="C663">
        <v>144584</v>
      </c>
      <c r="D663" t="s">
        <v>13</v>
      </c>
      <c r="E663" t="s">
        <v>12</v>
      </c>
      <c r="F663" s="5">
        <v>27</v>
      </c>
      <c r="G663" s="5">
        <v>110503</v>
      </c>
      <c r="H663" s="5">
        <v>25</v>
      </c>
      <c r="I663" s="8">
        <v>32.679999950000003</v>
      </c>
      <c r="J663" s="5">
        <v>4</v>
      </c>
      <c r="K663" s="5">
        <v>0</v>
      </c>
      <c r="L663" s="14">
        <f t="shared" si="50"/>
        <v>0.29573857678072091</v>
      </c>
      <c r="M663" s="14">
        <f t="shared" si="54"/>
        <v>1.3071999980000002</v>
      </c>
      <c r="N663" s="20">
        <f t="shared" si="51"/>
        <v>2.2623820167778249E-4</v>
      </c>
      <c r="O663" s="14" t="str">
        <f t="shared" si="52"/>
        <v xml:space="preserve"> </v>
      </c>
      <c r="P663" s="20">
        <f t="shared" si="53"/>
        <v>0</v>
      </c>
    </row>
    <row r="664" spans="1:16" x14ac:dyDescent="0.25">
      <c r="A664">
        <v>1121367</v>
      </c>
      <c r="B664">
        <v>1178</v>
      </c>
      <c r="C664">
        <v>144585</v>
      </c>
      <c r="D664" t="s">
        <v>13</v>
      </c>
      <c r="E664" t="s">
        <v>12</v>
      </c>
      <c r="F664" s="5">
        <v>28</v>
      </c>
      <c r="G664" s="5">
        <v>1447755</v>
      </c>
      <c r="H664" s="5">
        <v>233</v>
      </c>
      <c r="I664" s="8">
        <v>420.5799983</v>
      </c>
      <c r="J664" s="5">
        <v>11</v>
      </c>
      <c r="K664" s="5">
        <v>8</v>
      </c>
      <c r="L664" s="14">
        <f t="shared" si="50"/>
        <v>0.29050495304799501</v>
      </c>
      <c r="M664" s="14">
        <f t="shared" si="54"/>
        <v>1.8050643703862661</v>
      </c>
      <c r="N664" s="20">
        <f t="shared" si="51"/>
        <v>1.6093883288263554E-4</v>
      </c>
      <c r="O664" s="14">
        <f t="shared" si="52"/>
        <v>52.5724997875</v>
      </c>
      <c r="P664" s="20">
        <f t="shared" si="53"/>
        <v>3.4334763948497854E-2</v>
      </c>
    </row>
    <row r="665" spans="1:16" x14ac:dyDescent="0.25">
      <c r="A665">
        <v>1121368</v>
      </c>
      <c r="B665">
        <v>1178</v>
      </c>
      <c r="C665">
        <v>144585</v>
      </c>
      <c r="D665" t="s">
        <v>13</v>
      </c>
      <c r="E665" t="s">
        <v>12</v>
      </c>
      <c r="F665" s="5">
        <v>28</v>
      </c>
      <c r="G665" s="5">
        <v>358987</v>
      </c>
      <c r="H665" s="5">
        <v>52</v>
      </c>
      <c r="I665" s="8">
        <v>87.550000670000003</v>
      </c>
      <c r="J665" s="5">
        <v>1</v>
      </c>
      <c r="K665" s="5">
        <v>0</v>
      </c>
      <c r="L665" s="14">
        <f t="shared" si="50"/>
        <v>0.24388069949608204</v>
      </c>
      <c r="M665" s="14">
        <f t="shared" si="54"/>
        <v>1.6836538590384615</v>
      </c>
      <c r="N665" s="20">
        <f t="shared" si="51"/>
        <v>1.4485204199594972E-4</v>
      </c>
      <c r="O665" s="14" t="str">
        <f t="shared" si="52"/>
        <v xml:space="preserve"> </v>
      </c>
      <c r="P665" s="20">
        <f t="shared" si="53"/>
        <v>0</v>
      </c>
    </row>
    <row r="666" spans="1:16" x14ac:dyDescent="0.25">
      <c r="A666">
        <v>1121369</v>
      </c>
      <c r="B666">
        <v>1178</v>
      </c>
      <c r="C666">
        <v>144585</v>
      </c>
      <c r="D666" t="s">
        <v>13</v>
      </c>
      <c r="E666" t="s">
        <v>12</v>
      </c>
      <c r="F666" s="5">
        <v>28</v>
      </c>
      <c r="G666" s="5">
        <v>826205</v>
      </c>
      <c r="H666" s="5">
        <v>125</v>
      </c>
      <c r="I666" s="8">
        <v>232.37000080000001</v>
      </c>
      <c r="J666" s="5">
        <v>5</v>
      </c>
      <c r="K666" s="5">
        <v>1</v>
      </c>
      <c r="L666" s="14">
        <f t="shared" si="50"/>
        <v>0.2812498118505698</v>
      </c>
      <c r="M666" s="14">
        <f t="shared" si="54"/>
        <v>1.8589600064</v>
      </c>
      <c r="N666" s="20">
        <f t="shared" si="51"/>
        <v>1.5129417033302872E-4</v>
      </c>
      <c r="O666" s="14">
        <f t="shared" si="52"/>
        <v>232.37000080000001</v>
      </c>
      <c r="P666" s="20">
        <f t="shared" si="53"/>
        <v>8.0000000000000002E-3</v>
      </c>
    </row>
    <row r="667" spans="1:16" x14ac:dyDescent="0.25">
      <c r="A667">
        <v>1121370</v>
      </c>
      <c r="B667">
        <v>1178</v>
      </c>
      <c r="C667">
        <v>144585</v>
      </c>
      <c r="D667" t="s">
        <v>13</v>
      </c>
      <c r="E667" t="s">
        <v>12</v>
      </c>
      <c r="F667" s="5">
        <v>28</v>
      </c>
      <c r="G667" s="5">
        <v>550954</v>
      </c>
      <c r="H667" s="5">
        <v>84</v>
      </c>
      <c r="I667" s="8">
        <v>150.1400012</v>
      </c>
      <c r="J667" s="5">
        <v>3</v>
      </c>
      <c r="K667" s="5">
        <v>0</v>
      </c>
      <c r="L667" s="14">
        <f t="shared" si="50"/>
        <v>0.27250914087201472</v>
      </c>
      <c r="M667" s="14">
        <f t="shared" si="54"/>
        <v>1.7873809666666667</v>
      </c>
      <c r="N667" s="20">
        <f t="shared" si="51"/>
        <v>1.5246281903752399E-4</v>
      </c>
      <c r="O667" s="14" t="str">
        <f t="shared" si="52"/>
        <v xml:space="preserve"> </v>
      </c>
      <c r="P667" s="20">
        <f t="shared" si="53"/>
        <v>0</v>
      </c>
    </row>
    <row r="668" spans="1:16" x14ac:dyDescent="0.25">
      <c r="A668">
        <v>1121372</v>
      </c>
      <c r="B668">
        <v>1178</v>
      </c>
      <c r="C668">
        <v>144585</v>
      </c>
      <c r="D668" t="s">
        <v>13</v>
      </c>
      <c r="E668" t="s">
        <v>12</v>
      </c>
      <c r="F668" s="5">
        <v>28</v>
      </c>
      <c r="G668" s="5">
        <v>378350</v>
      </c>
      <c r="H668" s="5">
        <v>55</v>
      </c>
      <c r="I668" s="8">
        <v>96.48000073</v>
      </c>
      <c r="J668" s="5">
        <v>4</v>
      </c>
      <c r="K668" s="5">
        <v>0</v>
      </c>
      <c r="L668" s="14">
        <f t="shared" si="50"/>
        <v>0.25500198422095943</v>
      </c>
      <c r="M668" s="14">
        <f t="shared" si="54"/>
        <v>1.7541818314545454</v>
      </c>
      <c r="N668" s="20">
        <f t="shared" si="51"/>
        <v>1.4536804546055239E-4</v>
      </c>
      <c r="O668" s="14" t="str">
        <f t="shared" si="52"/>
        <v xml:space="preserve"> </v>
      </c>
      <c r="P668" s="20">
        <f t="shared" si="53"/>
        <v>0</v>
      </c>
    </row>
    <row r="669" spans="1:16" x14ac:dyDescent="0.25">
      <c r="A669">
        <v>1121373</v>
      </c>
      <c r="B669">
        <v>1178</v>
      </c>
      <c r="C669">
        <v>144586</v>
      </c>
      <c r="D669" t="s">
        <v>13</v>
      </c>
      <c r="E669" t="s">
        <v>12</v>
      </c>
      <c r="F669" s="5">
        <v>29</v>
      </c>
      <c r="G669" s="5">
        <v>492784</v>
      </c>
      <c r="H669" s="5">
        <v>56</v>
      </c>
      <c r="I669" s="8">
        <v>95.510001299999999</v>
      </c>
      <c r="J669" s="5">
        <v>7</v>
      </c>
      <c r="K669" s="5">
        <v>4</v>
      </c>
      <c r="L669" s="14">
        <f t="shared" si="50"/>
        <v>0.19381717202668916</v>
      </c>
      <c r="M669" s="14">
        <f t="shared" si="54"/>
        <v>1.7055357375</v>
      </c>
      <c r="N669" s="20">
        <f t="shared" si="51"/>
        <v>1.136400532484821E-4</v>
      </c>
      <c r="O669" s="14">
        <f t="shared" si="52"/>
        <v>23.877500325</v>
      </c>
      <c r="P669" s="20">
        <f t="shared" si="53"/>
        <v>7.1428571428571425E-2</v>
      </c>
    </row>
    <row r="670" spans="1:16" x14ac:dyDescent="0.25">
      <c r="A670">
        <v>1121374</v>
      </c>
      <c r="B670">
        <v>1178</v>
      </c>
      <c r="C670">
        <v>144586</v>
      </c>
      <c r="D670" t="s">
        <v>13</v>
      </c>
      <c r="E670" t="s">
        <v>12</v>
      </c>
      <c r="F670" s="5">
        <v>29</v>
      </c>
      <c r="G670" s="5">
        <v>327158</v>
      </c>
      <c r="H670" s="5">
        <v>43</v>
      </c>
      <c r="I670" s="8">
        <v>72.310000299999999</v>
      </c>
      <c r="J670" s="5">
        <v>6</v>
      </c>
      <c r="K670" s="5">
        <v>2</v>
      </c>
      <c r="L670" s="14">
        <f t="shared" si="50"/>
        <v>0.22102470457699339</v>
      </c>
      <c r="M670" s="14">
        <f t="shared" si="54"/>
        <v>1.6816279139534884</v>
      </c>
      <c r="N670" s="20">
        <f t="shared" si="51"/>
        <v>1.3143496414576444E-4</v>
      </c>
      <c r="O670" s="14">
        <f t="shared" si="52"/>
        <v>36.155000149999999</v>
      </c>
      <c r="P670" s="20">
        <f t="shared" si="53"/>
        <v>4.6511627906976744E-2</v>
      </c>
    </row>
    <row r="671" spans="1:16" x14ac:dyDescent="0.25">
      <c r="A671">
        <v>1121375</v>
      </c>
      <c r="B671">
        <v>1178</v>
      </c>
      <c r="C671">
        <v>144586</v>
      </c>
      <c r="D671" t="s">
        <v>13</v>
      </c>
      <c r="E671" t="s">
        <v>12</v>
      </c>
      <c r="F671" s="5">
        <v>29</v>
      </c>
      <c r="G671" s="5">
        <v>9921</v>
      </c>
      <c r="H671" s="5">
        <v>0</v>
      </c>
      <c r="I671" s="8">
        <v>0</v>
      </c>
      <c r="J671" s="5">
        <v>1</v>
      </c>
      <c r="K671" s="5">
        <v>0</v>
      </c>
      <c r="L671" s="14">
        <f t="shared" si="50"/>
        <v>0</v>
      </c>
      <c r="M671" s="14" t="str">
        <f t="shared" si="54"/>
        <v xml:space="preserve"> </v>
      </c>
      <c r="N671" s="20">
        <f t="shared" si="51"/>
        <v>0</v>
      </c>
      <c r="O671" s="14" t="str">
        <f t="shared" si="52"/>
        <v xml:space="preserve"> </v>
      </c>
      <c r="P671" s="20">
        <f t="shared" si="53"/>
        <v>0</v>
      </c>
    </row>
    <row r="672" spans="1:16" x14ac:dyDescent="0.25">
      <c r="A672">
        <v>1121377</v>
      </c>
      <c r="B672">
        <v>1178</v>
      </c>
      <c r="C672">
        <v>144586</v>
      </c>
      <c r="D672" t="s">
        <v>13</v>
      </c>
      <c r="E672" t="s">
        <v>12</v>
      </c>
      <c r="F672" s="5">
        <v>29</v>
      </c>
      <c r="G672" s="5">
        <v>59390</v>
      </c>
      <c r="H672" s="5">
        <v>5</v>
      </c>
      <c r="I672" s="8">
        <v>9.2099999189999995</v>
      </c>
      <c r="J672" s="5">
        <v>5</v>
      </c>
      <c r="K672" s="5">
        <v>3</v>
      </c>
      <c r="L672" s="14">
        <f t="shared" si="50"/>
        <v>0.15507661086041422</v>
      </c>
      <c r="M672" s="14">
        <f t="shared" si="54"/>
        <v>1.8419999837999999</v>
      </c>
      <c r="N672" s="20">
        <f t="shared" si="51"/>
        <v>8.418925745074928E-5</v>
      </c>
      <c r="O672" s="14">
        <f t="shared" si="52"/>
        <v>3.0699999729999998</v>
      </c>
      <c r="P672" s="20">
        <f t="shared" si="53"/>
        <v>0.6</v>
      </c>
    </row>
    <row r="673" spans="1:16" x14ac:dyDescent="0.25">
      <c r="A673">
        <v>1121378</v>
      </c>
      <c r="B673">
        <v>1178</v>
      </c>
      <c r="C673">
        <v>144586</v>
      </c>
      <c r="D673" t="s">
        <v>13</v>
      </c>
      <c r="E673" t="s">
        <v>12</v>
      </c>
      <c r="F673" s="5">
        <v>29</v>
      </c>
      <c r="G673" s="5">
        <v>1040330</v>
      </c>
      <c r="H673" s="5">
        <v>147</v>
      </c>
      <c r="I673" s="8">
        <v>254.2500038</v>
      </c>
      <c r="J673" s="5">
        <v>13</v>
      </c>
      <c r="K673" s="5">
        <v>2</v>
      </c>
      <c r="L673" s="14">
        <f t="shared" si="50"/>
        <v>0.24439360952774603</v>
      </c>
      <c r="M673" s="14">
        <f t="shared" si="54"/>
        <v>1.7295918625850339</v>
      </c>
      <c r="N673" s="20">
        <f t="shared" si="51"/>
        <v>1.4130131785106649E-4</v>
      </c>
      <c r="O673" s="14">
        <f t="shared" si="52"/>
        <v>127.1250019</v>
      </c>
      <c r="P673" s="20">
        <f t="shared" si="53"/>
        <v>1.3605442176870748E-2</v>
      </c>
    </row>
    <row r="674" spans="1:16" x14ac:dyDescent="0.25">
      <c r="A674">
        <v>1121379</v>
      </c>
      <c r="B674">
        <v>1178</v>
      </c>
      <c r="C674">
        <v>144587</v>
      </c>
      <c r="D674" t="s">
        <v>13</v>
      </c>
      <c r="E674" t="s">
        <v>12</v>
      </c>
      <c r="F674" s="5">
        <v>30</v>
      </c>
      <c r="G674" s="5">
        <v>49422</v>
      </c>
      <c r="H674" s="5">
        <v>6</v>
      </c>
      <c r="I674" s="8">
        <v>11.170000310000001</v>
      </c>
      <c r="J674" s="5">
        <v>1</v>
      </c>
      <c r="K674" s="5">
        <v>0</v>
      </c>
      <c r="L674" s="14">
        <f t="shared" si="50"/>
        <v>0.2260127131641779</v>
      </c>
      <c r="M674" s="14">
        <f t="shared" si="54"/>
        <v>1.8616667183333335</v>
      </c>
      <c r="N674" s="20">
        <f t="shared" si="51"/>
        <v>1.2140342357654485E-4</v>
      </c>
      <c r="O674" s="14" t="str">
        <f t="shared" si="52"/>
        <v xml:space="preserve"> </v>
      </c>
      <c r="P674" s="20">
        <f t="shared" si="53"/>
        <v>0</v>
      </c>
    </row>
    <row r="675" spans="1:16" x14ac:dyDescent="0.25">
      <c r="A675">
        <v>1121380</v>
      </c>
      <c r="B675">
        <v>1178</v>
      </c>
      <c r="C675">
        <v>144587</v>
      </c>
      <c r="D675" t="s">
        <v>13</v>
      </c>
      <c r="E675" t="s">
        <v>12</v>
      </c>
      <c r="F675" s="5">
        <v>30</v>
      </c>
      <c r="G675" s="5">
        <v>131091</v>
      </c>
      <c r="H675" s="5">
        <v>18</v>
      </c>
      <c r="I675" s="8">
        <v>34.230000259999997</v>
      </c>
      <c r="J675" s="5">
        <v>3</v>
      </c>
      <c r="K675" s="5">
        <v>1</v>
      </c>
      <c r="L675" s="14">
        <f t="shared" si="50"/>
        <v>0.26111632575844262</v>
      </c>
      <c r="M675" s="14">
        <f t="shared" si="54"/>
        <v>1.9016666811111109</v>
      </c>
      <c r="N675" s="20">
        <f t="shared" si="51"/>
        <v>1.3730919742774102E-4</v>
      </c>
      <c r="O675" s="14">
        <f t="shared" si="52"/>
        <v>34.230000259999997</v>
      </c>
      <c r="P675" s="20">
        <f t="shared" si="53"/>
        <v>5.5555555555555552E-2</v>
      </c>
    </row>
    <row r="676" spans="1:16" x14ac:dyDescent="0.25">
      <c r="A676">
        <v>1121381</v>
      </c>
      <c r="B676">
        <v>1178</v>
      </c>
      <c r="C676">
        <v>144587</v>
      </c>
      <c r="D676" t="s">
        <v>13</v>
      </c>
      <c r="E676" t="s">
        <v>12</v>
      </c>
      <c r="F676" s="5">
        <v>30</v>
      </c>
      <c r="G676" s="5">
        <v>95691</v>
      </c>
      <c r="H676" s="5">
        <v>15</v>
      </c>
      <c r="I676" s="8">
        <v>25.26000011</v>
      </c>
      <c r="J676" s="5">
        <v>1</v>
      </c>
      <c r="K676" s="5">
        <v>1</v>
      </c>
      <c r="L676" s="14">
        <f t="shared" si="50"/>
        <v>0.26397466961365229</v>
      </c>
      <c r="M676" s="14">
        <f t="shared" si="54"/>
        <v>1.6840000073333334</v>
      </c>
      <c r="N676" s="20">
        <f t="shared" si="51"/>
        <v>1.5675455371978557E-4</v>
      </c>
      <c r="O676" s="14">
        <f t="shared" si="52"/>
        <v>25.26000011</v>
      </c>
      <c r="P676" s="20">
        <f t="shared" si="53"/>
        <v>6.6666666666666666E-2</v>
      </c>
    </row>
    <row r="677" spans="1:16" x14ac:dyDescent="0.25">
      <c r="A677">
        <v>1121390</v>
      </c>
      <c r="B677">
        <v>1178</v>
      </c>
      <c r="C677">
        <v>144588</v>
      </c>
      <c r="D677" t="s">
        <v>13</v>
      </c>
      <c r="E677" t="s">
        <v>12</v>
      </c>
      <c r="F677" s="5">
        <v>31</v>
      </c>
      <c r="G677" s="5">
        <v>15513</v>
      </c>
      <c r="H677" s="5">
        <v>1</v>
      </c>
      <c r="I677" s="8">
        <v>1.289999962</v>
      </c>
      <c r="J677" s="5">
        <v>1</v>
      </c>
      <c r="K677" s="5">
        <v>0</v>
      </c>
      <c r="L677" s="14">
        <f t="shared" si="50"/>
        <v>8.3156060207567842E-2</v>
      </c>
      <c r="M677" s="14">
        <f t="shared" si="54"/>
        <v>1.289999962</v>
      </c>
      <c r="N677" s="20">
        <f t="shared" si="51"/>
        <v>6.4462064075291697E-5</v>
      </c>
      <c r="O677" s="14" t="str">
        <f t="shared" si="52"/>
        <v xml:space="preserve"> </v>
      </c>
      <c r="P677" s="20">
        <f t="shared" si="53"/>
        <v>0</v>
      </c>
    </row>
    <row r="678" spans="1:16" x14ac:dyDescent="0.25">
      <c r="A678">
        <v>1121391</v>
      </c>
      <c r="B678">
        <v>1178</v>
      </c>
      <c r="C678">
        <v>144589</v>
      </c>
      <c r="D678" t="s">
        <v>13</v>
      </c>
      <c r="E678" t="s">
        <v>12</v>
      </c>
      <c r="F678" s="5">
        <v>32</v>
      </c>
      <c r="G678" s="5">
        <v>382537</v>
      </c>
      <c r="H678" s="5">
        <v>63</v>
      </c>
      <c r="I678" s="8">
        <v>113.99000119999999</v>
      </c>
      <c r="J678" s="5">
        <v>4</v>
      </c>
      <c r="K678" s="5">
        <v>3</v>
      </c>
      <c r="L678" s="14">
        <f t="shared" si="50"/>
        <v>0.29798425041237836</v>
      </c>
      <c r="M678" s="14">
        <f t="shared" si="54"/>
        <v>1.8093650984126983</v>
      </c>
      <c r="N678" s="20">
        <f t="shared" si="51"/>
        <v>1.6468995156024123E-4</v>
      </c>
      <c r="O678" s="14">
        <f t="shared" si="52"/>
        <v>37.996667066666667</v>
      </c>
      <c r="P678" s="20">
        <f t="shared" si="53"/>
        <v>4.7619047619047616E-2</v>
      </c>
    </row>
    <row r="679" spans="1:16" x14ac:dyDescent="0.25">
      <c r="A679">
        <v>1121394</v>
      </c>
      <c r="B679">
        <v>1178</v>
      </c>
      <c r="C679">
        <v>144589</v>
      </c>
      <c r="D679" t="s">
        <v>13</v>
      </c>
      <c r="E679" t="s">
        <v>12</v>
      </c>
      <c r="F679" s="5">
        <v>32</v>
      </c>
      <c r="G679" s="5">
        <v>461356</v>
      </c>
      <c r="H679" s="5">
        <v>64</v>
      </c>
      <c r="I679" s="8">
        <v>121.0999982</v>
      </c>
      <c r="J679" s="5">
        <v>6</v>
      </c>
      <c r="K679" s="5">
        <v>3</v>
      </c>
      <c r="L679" s="14">
        <f t="shared" si="50"/>
        <v>0.26248709933326975</v>
      </c>
      <c r="M679" s="14">
        <f t="shared" si="54"/>
        <v>1.892187471875</v>
      </c>
      <c r="N679" s="20">
        <f t="shared" si="51"/>
        <v>1.3872150790279091E-4</v>
      </c>
      <c r="O679" s="14">
        <f t="shared" si="52"/>
        <v>40.366666066666667</v>
      </c>
      <c r="P679" s="20">
        <f t="shared" si="53"/>
        <v>4.6875E-2</v>
      </c>
    </row>
    <row r="680" spans="1:16" x14ac:dyDescent="0.25">
      <c r="A680">
        <v>1121395</v>
      </c>
      <c r="B680">
        <v>1178</v>
      </c>
      <c r="C680">
        <v>144589</v>
      </c>
      <c r="D680" t="s">
        <v>13</v>
      </c>
      <c r="E680" t="s">
        <v>12</v>
      </c>
      <c r="F680" s="5">
        <v>32</v>
      </c>
      <c r="G680" s="5">
        <v>392541</v>
      </c>
      <c r="H680" s="5">
        <v>53</v>
      </c>
      <c r="I680" s="8">
        <v>98.700000169999996</v>
      </c>
      <c r="J680" s="5">
        <v>3</v>
      </c>
      <c r="K680" s="5">
        <v>2</v>
      </c>
      <c r="L680" s="14">
        <f t="shared" si="50"/>
        <v>0.2514387036513383</v>
      </c>
      <c r="M680" s="14">
        <f t="shared" si="54"/>
        <v>1.8622641541509433</v>
      </c>
      <c r="N680" s="20">
        <f t="shared" si="51"/>
        <v>1.3501774336948242E-4</v>
      </c>
      <c r="O680" s="14">
        <f t="shared" si="52"/>
        <v>49.350000084999998</v>
      </c>
      <c r="P680" s="20">
        <f t="shared" si="53"/>
        <v>3.7735849056603772E-2</v>
      </c>
    </row>
    <row r="681" spans="1:16" x14ac:dyDescent="0.25">
      <c r="A681">
        <v>1121398</v>
      </c>
      <c r="B681">
        <v>1178</v>
      </c>
      <c r="C681">
        <v>144590</v>
      </c>
      <c r="D681" t="s">
        <v>13</v>
      </c>
      <c r="E681" t="s">
        <v>12</v>
      </c>
      <c r="F681" s="5">
        <v>36</v>
      </c>
      <c r="G681" s="5">
        <v>35088</v>
      </c>
      <c r="H681" s="5">
        <v>5</v>
      </c>
      <c r="I681" s="8">
        <v>8.8000000719999996</v>
      </c>
      <c r="J681" s="5">
        <v>1</v>
      </c>
      <c r="K681" s="5">
        <v>1</v>
      </c>
      <c r="L681" s="14">
        <f t="shared" si="50"/>
        <v>0.25079799566803462</v>
      </c>
      <c r="M681" s="14">
        <f t="shared" si="54"/>
        <v>1.7600000143999999</v>
      </c>
      <c r="N681" s="20">
        <f t="shared" si="51"/>
        <v>1.4249886000911993E-4</v>
      </c>
      <c r="O681" s="14">
        <f t="shared" si="52"/>
        <v>8.8000000719999996</v>
      </c>
      <c r="P681" s="20">
        <f t="shared" si="53"/>
        <v>0.2</v>
      </c>
    </row>
    <row r="682" spans="1:16" x14ac:dyDescent="0.25">
      <c r="A682">
        <v>1121400</v>
      </c>
      <c r="B682">
        <v>1178</v>
      </c>
      <c r="C682">
        <v>144590</v>
      </c>
      <c r="D682" t="s">
        <v>13</v>
      </c>
      <c r="E682" t="s">
        <v>12</v>
      </c>
      <c r="F682" s="5">
        <v>36</v>
      </c>
      <c r="G682" s="5">
        <v>53933</v>
      </c>
      <c r="H682" s="5">
        <v>6</v>
      </c>
      <c r="I682" s="8">
        <v>9.9299999480000007</v>
      </c>
      <c r="J682" s="5">
        <v>3</v>
      </c>
      <c r="K682" s="5">
        <v>1</v>
      </c>
      <c r="L682" s="14">
        <f t="shared" si="50"/>
        <v>0.18411732979808282</v>
      </c>
      <c r="M682" s="14">
        <f t="shared" si="54"/>
        <v>1.6549999913333335</v>
      </c>
      <c r="N682" s="20">
        <f t="shared" si="51"/>
        <v>1.1124914245452691E-4</v>
      </c>
      <c r="O682" s="14">
        <f t="shared" si="52"/>
        <v>9.9299999480000007</v>
      </c>
      <c r="P682" s="20">
        <f t="shared" si="53"/>
        <v>0.16666666666666666</v>
      </c>
    </row>
    <row r="683" spans="1:16" x14ac:dyDescent="0.25">
      <c r="A683">
        <v>1121403</v>
      </c>
      <c r="B683">
        <v>1178</v>
      </c>
      <c r="C683">
        <v>144591</v>
      </c>
      <c r="D683" t="s">
        <v>13</v>
      </c>
      <c r="E683" t="s">
        <v>12</v>
      </c>
      <c r="F683" s="5">
        <v>63</v>
      </c>
      <c r="G683" s="5">
        <v>228861</v>
      </c>
      <c r="H683" s="5">
        <v>33</v>
      </c>
      <c r="I683" s="8">
        <v>53.38999939</v>
      </c>
      <c r="J683" s="5">
        <v>4</v>
      </c>
      <c r="K683" s="5">
        <v>2</v>
      </c>
      <c r="L683" s="14">
        <f t="shared" si="50"/>
        <v>0.23328570350562131</v>
      </c>
      <c r="M683" s="14">
        <f t="shared" si="54"/>
        <v>1.6178787693939394</v>
      </c>
      <c r="N683" s="20">
        <f t="shared" si="51"/>
        <v>1.4419232634655971E-4</v>
      </c>
      <c r="O683" s="14">
        <f t="shared" si="52"/>
        <v>26.694999695</v>
      </c>
      <c r="P683" s="20">
        <f t="shared" si="53"/>
        <v>6.0606060606060608E-2</v>
      </c>
    </row>
    <row r="684" spans="1:16" x14ac:dyDescent="0.25">
      <c r="A684">
        <v>1121405</v>
      </c>
      <c r="B684">
        <v>1178</v>
      </c>
      <c r="C684">
        <v>144591</v>
      </c>
      <c r="D684" t="s">
        <v>13</v>
      </c>
      <c r="E684" t="s">
        <v>12</v>
      </c>
      <c r="F684" s="5">
        <v>63</v>
      </c>
      <c r="G684" s="5">
        <v>20959</v>
      </c>
      <c r="H684" s="5">
        <v>2</v>
      </c>
      <c r="I684" s="8">
        <v>3.7699999809999998</v>
      </c>
      <c r="J684" s="5">
        <v>1</v>
      </c>
      <c r="K684" s="5">
        <v>1</v>
      </c>
      <c r="L684" s="14">
        <f t="shared" si="50"/>
        <v>0.17987499312944319</v>
      </c>
      <c r="M684" s="14">
        <f t="shared" si="54"/>
        <v>1.8849999904999999</v>
      </c>
      <c r="N684" s="20">
        <f t="shared" si="51"/>
        <v>9.5424400019084886E-5</v>
      </c>
      <c r="O684" s="14">
        <f t="shared" si="52"/>
        <v>3.7699999809999998</v>
      </c>
      <c r="P684" s="20">
        <f t="shared" si="53"/>
        <v>0.5</v>
      </c>
    </row>
    <row r="685" spans="1:16" x14ac:dyDescent="0.25">
      <c r="A685">
        <v>1121410</v>
      </c>
      <c r="B685">
        <v>1178</v>
      </c>
      <c r="C685">
        <v>144592</v>
      </c>
      <c r="D685" t="s">
        <v>13</v>
      </c>
      <c r="E685" t="s">
        <v>12</v>
      </c>
      <c r="F685" s="5">
        <v>64</v>
      </c>
      <c r="G685" s="5">
        <v>24992</v>
      </c>
      <c r="H685" s="5">
        <v>2</v>
      </c>
      <c r="I685" s="8">
        <v>3.1900000569999998</v>
      </c>
      <c r="J685" s="5">
        <v>1</v>
      </c>
      <c r="K685" s="5">
        <v>0</v>
      </c>
      <c r="L685" s="14">
        <f t="shared" si="50"/>
        <v>0.12764084735115236</v>
      </c>
      <c r="M685" s="14">
        <f t="shared" si="54"/>
        <v>1.5950000284999999</v>
      </c>
      <c r="N685" s="20">
        <f t="shared" si="51"/>
        <v>8.0025608194622276E-5</v>
      </c>
      <c r="O685" s="14" t="str">
        <f t="shared" si="52"/>
        <v xml:space="preserve"> </v>
      </c>
      <c r="P685" s="20">
        <f t="shared" si="53"/>
        <v>0</v>
      </c>
    </row>
    <row r="686" spans="1:16" x14ac:dyDescent="0.25">
      <c r="A686">
        <v>1121411</v>
      </c>
      <c r="B686">
        <v>1178</v>
      </c>
      <c r="C686">
        <v>144592</v>
      </c>
      <c r="D686" t="s">
        <v>13</v>
      </c>
      <c r="E686" t="s">
        <v>12</v>
      </c>
      <c r="F686" s="5">
        <v>64</v>
      </c>
      <c r="G686" s="5">
        <v>100351</v>
      </c>
      <c r="H686" s="5">
        <v>15</v>
      </c>
      <c r="I686" s="8">
        <v>24.179999949999999</v>
      </c>
      <c r="J686" s="5">
        <v>2</v>
      </c>
      <c r="K686" s="5">
        <v>1</v>
      </c>
      <c r="L686" s="14">
        <f t="shared" si="50"/>
        <v>0.24095425008221144</v>
      </c>
      <c r="M686" s="14">
        <f t="shared" si="54"/>
        <v>1.6119999966666667</v>
      </c>
      <c r="N686" s="20">
        <f t="shared" si="51"/>
        <v>1.4947534155115546E-4</v>
      </c>
      <c r="O686" s="14">
        <f t="shared" si="52"/>
        <v>24.179999949999999</v>
      </c>
      <c r="P686" s="20">
        <f t="shared" si="53"/>
        <v>6.6666666666666666E-2</v>
      </c>
    </row>
    <row r="687" spans="1:16" x14ac:dyDescent="0.25">
      <c r="A687">
        <v>1121412</v>
      </c>
      <c r="B687">
        <v>1178</v>
      </c>
      <c r="C687">
        <v>144592</v>
      </c>
      <c r="D687" t="s">
        <v>13</v>
      </c>
      <c r="E687" t="s">
        <v>12</v>
      </c>
      <c r="F687" s="5">
        <v>64</v>
      </c>
      <c r="G687" s="5">
        <v>292448</v>
      </c>
      <c r="H687" s="5">
        <v>43</v>
      </c>
      <c r="I687" s="8">
        <v>76.899999679999993</v>
      </c>
      <c r="J687" s="5">
        <v>2</v>
      </c>
      <c r="K687" s="5">
        <v>1</v>
      </c>
      <c r="L687" s="14">
        <f t="shared" si="50"/>
        <v>0.26295272896378158</v>
      </c>
      <c r="M687" s="14">
        <f t="shared" si="54"/>
        <v>1.7883720855813952</v>
      </c>
      <c r="N687" s="20">
        <f t="shared" si="51"/>
        <v>1.4703468650837073E-4</v>
      </c>
      <c r="O687" s="14">
        <f t="shared" si="52"/>
        <v>76.899999679999993</v>
      </c>
      <c r="P687" s="20">
        <f t="shared" si="53"/>
        <v>2.3255813953488372E-2</v>
      </c>
    </row>
    <row r="688" spans="1:16" x14ac:dyDescent="0.25">
      <c r="A688">
        <v>1121413</v>
      </c>
      <c r="B688">
        <v>1178</v>
      </c>
      <c r="C688">
        <v>144592</v>
      </c>
      <c r="D688" t="s">
        <v>13</v>
      </c>
      <c r="E688" t="s">
        <v>12</v>
      </c>
      <c r="F688" s="5">
        <v>64</v>
      </c>
      <c r="G688" s="5">
        <v>65060</v>
      </c>
      <c r="H688" s="5">
        <v>7</v>
      </c>
      <c r="I688" s="8">
        <v>14.520000100000001</v>
      </c>
      <c r="J688" s="5">
        <v>1</v>
      </c>
      <c r="K688" s="5">
        <v>1</v>
      </c>
      <c r="L688" s="14">
        <f t="shared" si="50"/>
        <v>0.22317860590224411</v>
      </c>
      <c r="M688" s="14">
        <f t="shared" si="54"/>
        <v>2.0742857285714287</v>
      </c>
      <c r="N688" s="20">
        <f t="shared" si="51"/>
        <v>1.0759299108515216E-4</v>
      </c>
      <c r="O688" s="14">
        <f t="shared" si="52"/>
        <v>14.520000100000001</v>
      </c>
      <c r="P688" s="20">
        <f t="shared" si="53"/>
        <v>0.14285714285714285</v>
      </c>
    </row>
    <row r="689" spans="1:16" x14ac:dyDescent="0.25">
      <c r="A689">
        <v>1121414</v>
      </c>
      <c r="B689">
        <v>1178</v>
      </c>
      <c r="C689">
        <v>144592</v>
      </c>
      <c r="D689" t="s">
        <v>13</v>
      </c>
      <c r="E689" t="s">
        <v>12</v>
      </c>
      <c r="F689" s="5">
        <v>64</v>
      </c>
      <c r="G689" s="5">
        <v>133316</v>
      </c>
      <c r="H689" s="5">
        <v>21</v>
      </c>
      <c r="I689" s="8">
        <v>36.170000549999997</v>
      </c>
      <c r="J689" s="5">
        <v>2</v>
      </c>
      <c r="K689" s="5">
        <v>0</v>
      </c>
      <c r="L689" s="14">
        <f t="shared" si="50"/>
        <v>0.27131027446067985</v>
      </c>
      <c r="M689" s="14">
        <f t="shared" si="54"/>
        <v>1.7223809785714284</v>
      </c>
      <c r="N689" s="20">
        <f t="shared" si="51"/>
        <v>1.5752047766209607E-4</v>
      </c>
      <c r="O689" s="14" t="str">
        <f t="shared" si="52"/>
        <v xml:space="preserve"> </v>
      </c>
      <c r="P689" s="20">
        <f t="shared" si="53"/>
        <v>0</v>
      </c>
    </row>
    <row r="690" spans="1:16" x14ac:dyDescent="0.25">
      <c r="A690">
        <v>1121415</v>
      </c>
      <c r="B690">
        <v>1178</v>
      </c>
      <c r="C690">
        <v>144593</v>
      </c>
      <c r="D690" t="s">
        <v>13</v>
      </c>
      <c r="E690" t="s">
        <v>12</v>
      </c>
      <c r="F690" s="5">
        <v>65</v>
      </c>
      <c r="G690" s="5">
        <v>113501</v>
      </c>
      <c r="H690" s="5">
        <v>26</v>
      </c>
      <c r="I690" s="8">
        <v>38.440000769999997</v>
      </c>
      <c r="J690" s="5">
        <v>5</v>
      </c>
      <c r="K690" s="5">
        <v>4</v>
      </c>
      <c r="L690" s="14">
        <f t="shared" si="50"/>
        <v>0.3386754369565026</v>
      </c>
      <c r="M690" s="14">
        <f t="shared" si="54"/>
        <v>1.4784615680769231</v>
      </c>
      <c r="N690" s="20">
        <f t="shared" si="51"/>
        <v>2.2907287160465545E-4</v>
      </c>
      <c r="O690" s="14">
        <f t="shared" si="52"/>
        <v>9.6100001924999994</v>
      </c>
      <c r="P690" s="20">
        <f t="shared" si="53"/>
        <v>0.15384615384615385</v>
      </c>
    </row>
    <row r="691" spans="1:16" x14ac:dyDescent="0.25">
      <c r="A691">
        <v>1121418</v>
      </c>
      <c r="B691">
        <v>1178</v>
      </c>
      <c r="C691">
        <v>144593</v>
      </c>
      <c r="D691" t="s">
        <v>13</v>
      </c>
      <c r="E691" t="s">
        <v>12</v>
      </c>
      <c r="F691" s="5">
        <v>65</v>
      </c>
      <c r="G691" s="5">
        <v>192810</v>
      </c>
      <c r="H691" s="5">
        <v>41</v>
      </c>
      <c r="I691" s="8">
        <v>61.929999950000003</v>
      </c>
      <c r="J691" s="5">
        <v>4</v>
      </c>
      <c r="K691" s="5">
        <v>3</v>
      </c>
      <c r="L691" s="14">
        <f t="shared" si="50"/>
        <v>0.32119703308957004</v>
      </c>
      <c r="M691" s="14">
        <f t="shared" si="54"/>
        <v>1.5104878036585367</v>
      </c>
      <c r="N691" s="20">
        <f t="shared" si="51"/>
        <v>2.126445723769514E-4</v>
      </c>
      <c r="O691" s="14">
        <f t="shared" si="52"/>
        <v>20.643333316666666</v>
      </c>
      <c r="P691" s="20">
        <f t="shared" si="53"/>
        <v>7.3170731707317069E-2</v>
      </c>
    </row>
    <row r="692" spans="1:16" x14ac:dyDescent="0.25">
      <c r="A692">
        <v>1121421</v>
      </c>
      <c r="B692">
        <v>1178</v>
      </c>
      <c r="C692">
        <v>144594</v>
      </c>
      <c r="D692" t="s">
        <v>13</v>
      </c>
      <c r="E692" t="s">
        <v>12</v>
      </c>
      <c r="F692" s="5">
        <v>2</v>
      </c>
      <c r="G692" s="5">
        <v>233404</v>
      </c>
      <c r="H692" s="5">
        <v>43</v>
      </c>
      <c r="I692" s="8">
        <v>70.410000800000006</v>
      </c>
      <c r="J692" s="5">
        <v>2</v>
      </c>
      <c r="K692" s="5">
        <v>1</v>
      </c>
      <c r="L692" s="14">
        <f t="shared" si="50"/>
        <v>0.30166578464807803</v>
      </c>
      <c r="M692" s="14">
        <f t="shared" si="54"/>
        <v>1.6374418790697676</v>
      </c>
      <c r="N692" s="20">
        <f t="shared" si="51"/>
        <v>1.8422991893883567E-4</v>
      </c>
      <c r="O692" s="14">
        <f t="shared" si="52"/>
        <v>70.410000800000006</v>
      </c>
      <c r="P692" s="20">
        <f t="shared" si="53"/>
        <v>2.3255813953488372E-2</v>
      </c>
    </row>
    <row r="693" spans="1:16" x14ac:dyDescent="0.25">
      <c r="A693">
        <v>1121422</v>
      </c>
      <c r="B693">
        <v>1178</v>
      </c>
      <c r="C693">
        <v>144594</v>
      </c>
      <c r="D693" t="s">
        <v>13</v>
      </c>
      <c r="E693" t="s">
        <v>12</v>
      </c>
      <c r="F693" s="5">
        <v>2</v>
      </c>
      <c r="G693" s="5">
        <v>128843</v>
      </c>
      <c r="H693" s="5">
        <v>24</v>
      </c>
      <c r="I693" s="8">
        <v>37.5999999</v>
      </c>
      <c r="J693" s="5">
        <v>2</v>
      </c>
      <c r="K693" s="5">
        <v>0</v>
      </c>
      <c r="L693" s="14">
        <f t="shared" si="50"/>
        <v>0.29182803799973611</v>
      </c>
      <c r="M693" s="14">
        <f t="shared" si="54"/>
        <v>1.5666666625000001</v>
      </c>
      <c r="N693" s="20">
        <f t="shared" si="51"/>
        <v>1.8627321623991992E-4</v>
      </c>
      <c r="O693" s="14" t="str">
        <f t="shared" si="52"/>
        <v xml:space="preserve"> </v>
      </c>
      <c r="P693" s="20">
        <f t="shared" si="53"/>
        <v>0</v>
      </c>
    </row>
    <row r="694" spans="1:16" x14ac:dyDescent="0.25">
      <c r="A694">
        <v>1121423</v>
      </c>
      <c r="B694">
        <v>1178</v>
      </c>
      <c r="C694">
        <v>144594</v>
      </c>
      <c r="D694" t="s">
        <v>13</v>
      </c>
      <c r="E694" t="s">
        <v>12</v>
      </c>
      <c r="F694" s="5">
        <v>2</v>
      </c>
      <c r="G694" s="5">
        <v>63564</v>
      </c>
      <c r="H694" s="5">
        <v>12</v>
      </c>
      <c r="I694" s="8">
        <v>20.590000270000001</v>
      </c>
      <c r="J694" s="5">
        <v>2</v>
      </c>
      <c r="K694" s="5">
        <v>0</v>
      </c>
      <c r="L694" s="14">
        <f t="shared" si="50"/>
        <v>0.32392549666477882</v>
      </c>
      <c r="M694" s="14">
        <f t="shared" si="54"/>
        <v>1.7158333558333334</v>
      </c>
      <c r="N694" s="20">
        <f t="shared" si="51"/>
        <v>1.8878610534264677E-4</v>
      </c>
      <c r="O694" s="14" t="str">
        <f t="shared" si="52"/>
        <v xml:space="preserve"> </v>
      </c>
      <c r="P694" s="20">
        <f t="shared" si="53"/>
        <v>0</v>
      </c>
    </row>
    <row r="695" spans="1:16" x14ac:dyDescent="0.25">
      <c r="A695">
        <v>1121425</v>
      </c>
      <c r="B695">
        <v>1178</v>
      </c>
      <c r="C695">
        <v>144594</v>
      </c>
      <c r="D695" t="s">
        <v>13</v>
      </c>
      <c r="E695" t="s">
        <v>12</v>
      </c>
      <c r="F695" s="5">
        <v>2</v>
      </c>
      <c r="G695" s="5">
        <v>85970</v>
      </c>
      <c r="H695" s="5">
        <v>14</v>
      </c>
      <c r="I695" s="8">
        <v>24.780000210000001</v>
      </c>
      <c r="J695" s="5">
        <v>1</v>
      </c>
      <c r="K695" s="5">
        <v>1</v>
      </c>
      <c r="L695" s="14">
        <f t="shared" si="50"/>
        <v>0.28824008619285796</v>
      </c>
      <c r="M695" s="14">
        <f t="shared" si="54"/>
        <v>1.7700000150000001</v>
      </c>
      <c r="N695" s="20">
        <f t="shared" si="51"/>
        <v>1.6284750494358497E-4</v>
      </c>
      <c r="O695" s="14">
        <f t="shared" si="52"/>
        <v>24.780000210000001</v>
      </c>
      <c r="P695" s="20">
        <f t="shared" si="53"/>
        <v>7.1428571428571425E-2</v>
      </c>
    </row>
    <row r="696" spans="1:16" x14ac:dyDescent="0.25">
      <c r="A696">
        <v>1121428</v>
      </c>
      <c r="B696">
        <v>1178</v>
      </c>
      <c r="C696">
        <v>144595</v>
      </c>
      <c r="D696" t="s">
        <v>13</v>
      </c>
      <c r="E696" t="s">
        <v>12</v>
      </c>
      <c r="F696" s="5">
        <v>7</v>
      </c>
      <c r="G696" s="5">
        <v>131232</v>
      </c>
      <c r="H696" s="5">
        <v>16</v>
      </c>
      <c r="I696" s="8">
        <v>29.53999937</v>
      </c>
      <c r="J696" s="5">
        <v>1</v>
      </c>
      <c r="K696" s="5">
        <v>1</v>
      </c>
      <c r="L696" s="14">
        <f t="shared" si="50"/>
        <v>0.22509753238539379</v>
      </c>
      <c r="M696" s="14">
        <f t="shared" si="54"/>
        <v>1.846249960625</v>
      </c>
      <c r="N696" s="20">
        <f t="shared" si="51"/>
        <v>1.21921482565228E-4</v>
      </c>
      <c r="O696" s="14">
        <f t="shared" si="52"/>
        <v>29.53999937</v>
      </c>
      <c r="P696" s="20">
        <f t="shared" si="53"/>
        <v>6.25E-2</v>
      </c>
    </row>
    <row r="697" spans="1:16" x14ac:dyDescent="0.25">
      <c r="A697">
        <v>1121429</v>
      </c>
      <c r="B697">
        <v>1178</v>
      </c>
      <c r="C697">
        <v>144595</v>
      </c>
      <c r="D697" t="s">
        <v>13</v>
      </c>
      <c r="E697" t="s">
        <v>12</v>
      </c>
      <c r="F697" s="5">
        <v>7</v>
      </c>
      <c r="G697" s="5">
        <v>152454</v>
      </c>
      <c r="H697" s="5">
        <v>22</v>
      </c>
      <c r="I697" s="8">
        <v>37.849999789999998</v>
      </c>
      <c r="J697" s="5">
        <v>1</v>
      </c>
      <c r="K697" s="5">
        <v>1</v>
      </c>
      <c r="L697" s="14">
        <f t="shared" si="50"/>
        <v>0.24827160841958884</v>
      </c>
      <c r="M697" s="14">
        <f t="shared" si="54"/>
        <v>1.7204545359090908</v>
      </c>
      <c r="N697" s="20">
        <f t="shared" si="51"/>
        <v>1.443058233959096E-4</v>
      </c>
      <c r="O697" s="14">
        <f t="shared" si="52"/>
        <v>37.849999789999998</v>
      </c>
      <c r="P697" s="20">
        <f t="shared" si="53"/>
        <v>4.5454545454545456E-2</v>
      </c>
    </row>
    <row r="698" spans="1:16" x14ac:dyDescent="0.25">
      <c r="A698">
        <v>1121430</v>
      </c>
      <c r="B698">
        <v>1178</v>
      </c>
      <c r="C698">
        <v>144595</v>
      </c>
      <c r="D698" t="s">
        <v>13</v>
      </c>
      <c r="E698" t="s">
        <v>12</v>
      </c>
      <c r="F698" s="5">
        <v>7</v>
      </c>
      <c r="G698" s="5">
        <v>28989</v>
      </c>
      <c r="H698" s="5">
        <v>2</v>
      </c>
      <c r="I698" s="8">
        <v>2.290000021</v>
      </c>
      <c r="J698" s="5">
        <v>1</v>
      </c>
      <c r="K698" s="5">
        <v>0</v>
      </c>
      <c r="L698" s="14">
        <f t="shared" si="50"/>
        <v>7.8995481768946843E-2</v>
      </c>
      <c r="M698" s="14">
        <f t="shared" si="54"/>
        <v>1.1450000105</v>
      </c>
      <c r="N698" s="20">
        <f t="shared" si="51"/>
        <v>6.8991686501776532E-5</v>
      </c>
      <c r="O698" s="14" t="str">
        <f t="shared" si="52"/>
        <v xml:space="preserve"> </v>
      </c>
      <c r="P698" s="20">
        <f t="shared" si="53"/>
        <v>0</v>
      </c>
    </row>
    <row r="699" spans="1:16" x14ac:dyDescent="0.25">
      <c r="A699">
        <v>1121433</v>
      </c>
      <c r="B699">
        <v>1178</v>
      </c>
      <c r="C699">
        <v>144596</v>
      </c>
      <c r="D699" t="s">
        <v>13</v>
      </c>
      <c r="E699" t="s">
        <v>12</v>
      </c>
      <c r="F699" s="5">
        <v>66</v>
      </c>
      <c r="G699" s="5">
        <v>80248</v>
      </c>
      <c r="H699" s="5">
        <v>15</v>
      </c>
      <c r="I699" s="8">
        <v>24.190000300000001</v>
      </c>
      <c r="J699" s="5">
        <v>1</v>
      </c>
      <c r="K699" s="5">
        <v>1</v>
      </c>
      <c r="L699" s="14">
        <f t="shared" si="50"/>
        <v>0.30144053808194593</v>
      </c>
      <c r="M699" s="14">
        <f t="shared" si="54"/>
        <v>1.6126666866666668</v>
      </c>
      <c r="N699" s="20">
        <f t="shared" si="51"/>
        <v>1.8692054630645001E-4</v>
      </c>
      <c r="O699" s="14">
        <f t="shared" si="52"/>
        <v>24.190000300000001</v>
      </c>
      <c r="P699" s="20">
        <f t="shared" si="53"/>
        <v>6.6666666666666666E-2</v>
      </c>
    </row>
    <row r="700" spans="1:16" x14ac:dyDescent="0.25">
      <c r="A700">
        <v>1121437</v>
      </c>
      <c r="B700">
        <v>1178</v>
      </c>
      <c r="C700">
        <v>144596</v>
      </c>
      <c r="D700" t="s">
        <v>13</v>
      </c>
      <c r="E700" t="s">
        <v>12</v>
      </c>
      <c r="F700" s="5">
        <v>66</v>
      </c>
      <c r="G700" s="5">
        <v>38580</v>
      </c>
      <c r="H700" s="5">
        <v>5</v>
      </c>
      <c r="I700" s="8">
        <v>8.5199999809999998</v>
      </c>
      <c r="J700" s="5">
        <v>1</v>
      </c>
      <c r="K700" s="5">
        <v>0</v>
      </c>
      <c r="L700" s="14">
        <f t="shared" si="50"/>
        <v>0.22083981288232246</v>
      </c>
      <c r="M700" s="14">
        <f t="shared" si="54"/>
        <v>1.7039999961999999</v>
      </c>
      <c r="N700" s="20">
        <f t="shared" si="51"/>
        <v>1.2960082944530845E-4</v>
      </c>
      <c r="O700" s="14" t="str">
        <f t="shared" si="52"/>
        <v xml:space="preserve"> </v>
      </c>
      <c r="P700" s="20">
        <f t="shared" si="53"/>
        <v>0</v>
      </c>
    </row>
    <row r="701" spans="1:16" x14ac:dyDescent="0.25">
      <c r="A701">
        <v>1121439</v>
      </c>
      <c r="B701">
        <v>1178</v>
      </c>
      <c r="C701">
        <v>144597</v>
      </c>
      <c r="D701" t="s">
        <v>14</v>
      </c>
      <c r="E701" t="s">
        <v>12</v>
      </c>
      <c r="F701" s="5">
        <v>10</v>
      </c>
      <c r="G701" s="5">
        <v>621591</v>
      </c>
      <c r="H701" s="5">
        <v>91</v>
      </c>
      <c r="I701" s="8">
        <v>163.36000000000001</v>
      </c>
      <c r="J701" s="5">
        <v>5</v>
      </c>
      <c r="K701" s="5">
        <v>1</v>
      </c>
      <c r="L701" s="14">
        <f t="shared" si="50"/>
        <v>0.26280946796205223</v>
      </c>
      <c r="M701" s="14">
        <f t="shared" si="54"/>
        <v>1.7951648351648353</v>
      </c>
      <c r="N701" s="20">
        <f t="shared" si="51"/>
        <v>1.4639851606603057E-4</v>
      </c>
      <c r="O701" s="14">
        <f t="shared" si="52"/>
        <v>163.36000000000001</v>
      </c>
      <c r="P701" s="20">
        <f t="shared" si="53"/>
        <v>1.098901098901099E-2</v>
      </c>
    </row>
    <row r="702" spans="1:16" x14ac:dyDescent="0.25">
      <c r="A702">
        <v>1121440</v>
      </c>
      <c r="B702">
        <v>1178</v>
      </c>
      <c r="C702">
        <v>144597</v>
      </c>
      <c r="D702" t="s">
        <v>14</v>
      </c>
      <c r="E702" t="s">
        <v>12</v>
      </c>
      <c r="F702" s="5">
        <v>10</v>
      </c>
      <c r="G702" s="5">
        <v>250499</v>
      </c>
      <c r="H702" s="5">
        <v>36</v>
      </c>
      <c r="I702" s="8">
        <v>58.140000049999998</v>
      </c>
      <c r="J702" s="5">
        <v>3</v>
      </c>
      <c r="K702" s="5">
        <v>1</v>
      </c>
      <c r="L702" s="14">
        <f t="shared" si="50"/>
        <v>0.23209673511670703</v>
      </c>
      <c r="M702" s="14">
        <f t="shared" si="54"/>
        <v>1.6150000013888888</v>
      </c>
      <c r="N702" s="20">
        <f t="shared" si="51"/>
        <v>1.4371314855548325E-4</v>
      </c>
      <c r="O702" s="14">
        <f t="shared" si="52"/>
        <v>58.140000049999998</v>
      </c>
      <c r="P702" s="20">
        <f t="shared" si="53"/>
        <v>2.7777777777777776E-2</v>
      </c>
    </row>
    <row r="703" spans="1:16" x14ac:dyDescent="0.25">
      <c r="A703">
        <v>1121442</v>
      </c>
      <c r="B703">
        <v>1178</v>
      </c>
      <c r="C703">
        <v>144597</v>
      </c>
      <c r="D703" t="s">
        <v>14</v>
      </c>
      <c r="E703" t="s">
        <v>12</v>
      </c>
      <c r="F703" s="5">
        <v>10</v>
      </c>
      <c r="G703" s="5">
        <v>131637</v>
      </c>
      <c r="H703" s="5">
        <v>18</v>
      </c>
      <c r="I703" s="8">
        <v>29.309999820000002</v>
      </c>
      <c r="J703" s="5">
        <v>2</v>
      </c>
      <c r="K703" s="5">
        <v>1</v>
      </c>
      <c r="L703" s="14">
        <f t="shared" si="50"/>
        <v>0.22265776202739351</v>
      </c>
      <c r="M703" s="14">
        <f t="shared" si="54"/>
        <v>1.6283333233333335</v>
      </c>
      <c r="N703" s="20">
        <f t="shared" si="51"/>
        <v>1.367396704573942E-4</v>
      </c>
      <c r="O703" s="14">
        <f t="shared" si="52"/>
        <v>29.309999820000002</v>
      </c>
      <c r="P703" s="20">
        <f t="shared" si="53"/>
        <v>5.5555555555555552E-2</v>
      </c>
    </row>
    <row r="704" spans="1:16" x14ac:dyDescent="0.25">
      <c r="A704">
        <v>1121443</v>
      </c>
      <c r="B704">
        <v>1178</v>
      </c>
      <c r="C704">
        <v>144597</v>
      </c>
      <c r="D704" t="s">
        <v>14</v>
      </c>
      <c r="E704" t="s">
        <v>12</v>
      </c>
      <c r="F704" s="5">
        <v>10</v>
      </c>
      <c r="G704" s="5">
        <v>463813</v>
      </c>
      <c r="H704" s="5">
        <v>69</v>
      </c>
      <c r="I704" s="8">
        <v>116.3399996</v>
      </c>
      <c r="J704" s="5">
        <v>4</v>
      </c>
      <c r="K704" s="5">
        <v>2</v>
      </c>
      <c r="L704" s="14">
        <f t="shared" si="50"/>
        <v>0.25083384812413623</v>
      </c>
      <c r="M704" s="14">
        <f t="shared" si="54"/>
        <v>1.6860869507246377</v>
      </c>
      <c r="N704" s="20">
        <f t="shared" si="51"/>
        <v>1.4876685215808958E-4</v>
      </c>
      <c r="O704" s="14">
        <f t="shared" si="52"/>
        <v>58.169999799999999</v>
      </c>
      <c r="P704" s="20">
        <f t="shared" si="53"/>
        <v>2.8985507246376812E-2</v>
      </c>
    </row>
    <row r="705" spans="1:16" x14ac:dyDescent="0.25">
      <c r="A705">
        <v>1121444</v>
      </c>
      <c r="B705">
        <v>1178</v>
      </c>
      <c r="C705">
        <v>144597</v>
      </c>
      <c r="D705" t="s">
        <v>14</v>
      </c>
      <c r="E705" t="s">
        <v>12</v>
      </c>
      <c r="F705" s="5">
        <v>10</v>
      </c>
      <c r="G705" s="5">
        <v>211767</v>
      </c>
      <c r="H705" s="5">
        <v>35</v>
      </c>
      <c r="I705" s="8">
        <v>60.899999139999998</v>
      </c>
      <c r="J705" s="5">
        <v>5</v>
      </c>
      <c r="K705" s="5">
        <v>1</v>
      </c>
      <c r="L705" s="14">
        <f t="shared" si="50"/>
        <v>0.28758021381990584</v>
      </c>
      <c r="M705" s="14">
        <f t="shared" si="54"/>
        <v>1.7399999754285713</v>
      </c>
      <c r="N705" s="20">
        <f t="shared" si="51"/>
        <v>1.652759872879155E-4</v>
      </c>
      <c r="O705" s="14">
        <f t="shared" si="52"/>
        <v>60.899999139999998</v>
      </c>
      <c r="P705" s="20">
        <f t="shared" si="53"/>
        <v>2.8571428571428571E-2</v>
      </c>
    </row>
    <row r="706" spans="1:16" x14ac:dyDescent="0.25">
      <c r="A706">
        <v>1121446</v>
      </c>
      <c r="B706">
        <v>1178</v>
      </c>
      <c r="C706">
        <v>144598</v>
      </c>
      <c r="D706" t="s">
        <v>14</v>
      </c>
      <c r="E706" t="s">
        <v>12</v>
      </c>
      <c r="F706" s="5">
        <v>15</v>
      </c>
      <c r="G706" s="5">
        <v>163181</v>
      </c>
      <c r="H706" s="5">
        <v>26</v>
      </c>
      <c r="I706" s="8">
        <v>40.020000930000002</v>
      </c>
      <c r="J706" s="5">
        <v>1</v>
      </c>
      <c r="K706" s="5">
        <v>1</v>
      </c>
      <c r="L706" s="14">
        <f t="shared" si="50"/>
        <v>0.24524914622413149</v>
      </c>
      <c r="M706" s="14">
        <f t="shared" si="54"/>
        <v>1.5392308050000001</v>
      </c>
      <c r="N706" s="20">
        <f t="shared" si="51"/>
        <v>1.5933227520360826E-4</v>
      </c>
      <c r="O706" s="14">
        <f t="shared" si="52"/>
        <v>40.020000930000002</v>
      </c>
      <c r="P706" s="20">
        <f t="shared" si="53"/>
        <v>3.8461538461538464E-2</v>
      </c>
    </row>
    <row r="707" spans="1:16" x14ac:dyDescent="0.25">
      <c r="A707">
        <v>1121451</v>
      </c>
      <c r="B707">
        <v>1178</v>
      </c>
      <c r="C707">
        <v>144599</v>
      </c>
      <c r="D707" t="s">
        <v>14</v>
      </c>
      <c r="E707" t="s">
        <v>12</v>
      </c>
      <c r="F707" s="5">
        <v>16</v>
      </c>
      <c r="G707" s="5">
        <v>1117385</v>
      </c>
      <c r="H707" s="5">
        <v>147</v>
      </c>
      <c r="I707" s="8">
        <v>260.06999839999997</v>
      </c>
      <c r="J707" s="5">
        <v>11</v>
      </c>
      <c r="K707" s="5">
        <v>2</v>
      </c>
      <c r="L707" s="14">
        <f t="shared" ref="L707:L770" si="55">IF(G707=0,0,(I707/G707)*1000)</f>
        <v>0.232748782559279</v>
      </c>
      <c r="M707" s="14">
        <f t="shared" si="54"/>
        <v>1.7691836625850339</v>
      </c>
      <c r="N707" s="20">
        <f t="shared" ref="N707:N770" si="56">IF(G707=0,0,(H707/G707))</f>
        <v>1.3155716248204513E-4</v>
      </c>
      <c r="O707" s="14">
        <f t="shared" ref="O707:O770" si="57">IF(K707&gt;0, I707/K707, " ")</f>
        <v>130.03499919999999</v>
      </c>
      <c r="P707" s="20">
        <f t="shared" ref="P707:P770" si="58">IF(H707=0,0,(K707/H707))</f>
        <v>1.3605442176870748E-2</v>
      </c>
    </row>
    <row r="708" spans="1:16" x14ac:dyDescent="0.25">
      <c r="A708">
        <v>1121452</v>
      </c>
      <c r="B708">
        <v>1178</v>
      </c>
      <c r="C708">
        <v>144599</v>
      </c>
      <c r="D708" t="s">
        <v>14</v>
      </c>
      <c r="E708" t="s">
        <v>12</v>
      </c>
      <c r="F708" s="5">
        <v>16</v>
      </c>
      <c r="G708" s="5">
        <v>1663441</v>
      </c>
      <c r="H708" s="5">
        <v>205</v>
      </c>
      <c r="I708" s="8">
        <v>359.47000009999999</v>
      </c>
      <c r="J708" s="5">
        <v>17</v>
      </c>
      <c r="K708" s="5">
        <v>6</v>
      </c>
      <c r="L708" s="14">
        <f t="shared" si="55"/>
        <v>0.21610024046539672</v>
      </c>
      <c r="M708" s="14">
        <f t="shared" si="54"/>
        <v>1.7535121956097561</v>
      </c>
      <c r="N708" s="20">
        <f t="shared" si="56"/>
        <v>1.2323851582352486E-4</v>
      </c>
      <c r="O708" s="14">
        <f t="shared" si="57"/>
        <v>59.91166668333333</v>
      </c>
      <c r="P708" s="20">
        <f t="shared" si="58"/>
        <v>2.9268292682926831E-2</v>
      </c>
    </row>
    <row r="709" spans="1:16" x14ac:dyDescent="0.25">
      <c r="A709">
        <v>1121453</v>
      </c>
      <c r="B709">
        <v>1178</v>
      </c>
      <c r="C709">
        <v>144599</v>
      </c>
      <c r="D709" t="s">
        <v>14</v>
      </c>
      <c r="E709" t="s">
        <v>12</v>
      </c>
      <c r="F709" s="5">
        <v>16</v>
      </c>
      <c r="G709" s="5">
        <v>455248</v>
      </c>
      <c r="H709" s="5">
        <v>54</v>
      </c>
      <c r="I709" s="8">
        <v>105.7099996</v>
      </c>
      <c r="J709" s="5">
        <v>5</v>
      </c>
      <c r="K709" s="5">
        <v>2</v>
      </c>
      <c r="L709" s="14">
        <f t="shared" si="55"/>
        <v>0.23220310599936739</v>
      </c>
      <c r="M709" s="14">
        <f t="shared" ref="M709:M772" si="59">IF(H709&gt;0, I709/H709, " ")</f>
        <v>1.9575925851851852</v>
      </c>
      <c r="N709" s="20">
        <f t="shared" si="56"/>
        <v>1.1861666608090535E-4</v>
      </c>
      <c r="O709" s="14">
        <f t="shared" si="57"/>
        <v>52.854999800000002</v>
      </c>
      <c r="P709" s="20">
        <f t="shared" si="58"/>
        <v>3.7037037037037035E-2</v>
      </c>
    </row>
    <row r="710" spans="1:16" x14ac:dyDescent="0.25">
      <c r="A710">
        <v>1121454</v>
      </c>
      <c r="B710">
        <v>1178</v>
      </c>
      <c r="C710">
        <v>144599</v>
      </c>
      <c r="D710" t="s">
        <v>14</v>
      </c>
      <c r="E710" t="s">
        <v>12</v>
      </c>
      <c r="F710" s="5">
        <v>16</v>
      </c>
      <c r="G710" s="5">
        <v>75589</v>
      </c>
      <c r="H710" s="5">
        <v>6</v>
      </c>
      <c r="I710" s="8">
        <v>10.66000009</v>
      </c>
      <c r="J710" s="5">
        <v>1</v>
      </c>
      <c r="K710" s="5">
        <v>1</v>
      </c>
      <c r="L710" s="14">
        <f t="shared" si="55"/>
        <v>0.14102581182447183</v>
      </c>
      <c r="M710" s="14">
        <f t="shared" si="59"/>
        <v>1.7766666816666667</v>
      </c>
      <c r="N710" s="20">
        <f t="shared" si="56"/>
        <v>7.9376628874571701E-5</v>
      </c>
      <c r="O710" s="14">
        <f t="shared" si="57"/>
        <v>10.66000009</v>
      </c>
      <c r="P710" s="20">
        <f t="shared" si="58"/>
        <v>0.16666666666666666</v>
      </c>
    </row>
    <row r="711" spans="1:16" x14ac:dyDescent="0.25">
      <c r="A711">
        <v>1121455</v>
      </c>
      <c r="B711">
        <v>1178</v>
      </c>
      <c r="C711">
        <v>144599</v>
      </c>
      <c r="D711" t="s">
        <v>14</v>
      </c>
      <c r="E711" t="s">
        <v>12</v>
      </c>
      <c r="F711" s="5">
        <v>16</v>
      </c>
      <c r="G711" s="5">
        <v>594267</v>
      </c>
      <c r="H711" s="5">
        <v>82</v>
      </c>
      <c r="I711" s="8">
        <v>143.30000089999999</v>
      </c>
      <c r="J711" s="5">
        <v>3</v>
      </c>
      <c r="K711" s="5">
        <v>2</v>
      </c>
      <c r="L711" s="14">
        <f t="shared" si="55"/>
        <v>0.24113740271628745</v>
      </c>
      <c r="M711" s="14">
        <f t="shared" si="59"/>
        <v>1.7475609865853656</v>
      </c>
      <c r="N711" s="20">
        <f t="shared" si="56"/>
        <v>1.37985114435094E-4</v>
      </c>
      <c r="O711" s="14">
        <f t="shared" si="57"/>
        <v>71.650000449999993</v>
      </c>
      <c r="P711" s="20">
        <f t="shared" si="58"/>
        <v>2.4390243902439025E-2</v>
      </c>
    </row>
    <row r="712" spans="1:16" x14ac:dyDescent="0.25">
      <c r="A712">
        <v>1121456</v>
      </c>
      <c r="B712">
        <v>1178</v>
      </c>
      <c r="C712">
        <v>144599</v>
      </c>
      <c r="D712" t="s">
        <v>14</v>
      </c>
      <c r="E712" t="s">
        <v>12</v>
      </c>
      <c r="F712" s="5">
        <v>16</v>
      </c>
      <c r="G712" s="5">
        <v>315281</v>
      </c>
      <c r="H712" s="5">
        <v>35</v>
      </c>
      <c r="I712" s="8">
        <v>65.029998539999994</v>
      </c>
      <c r="J712" s="5">
        <v>1</v>
      </c>
      <c r="K712" s="5">
        <v>0</v>
      </c>
      <c r="L712" s="14">
        <f t="shared" si="55"/>
        <v>0.20626044239900279</v>
      </c>
      <c r="M712" s="14">
        <f t="shared" si="59"/>
        <v>1.8579999582857141</v>
      </c>
      <c r="N712" s="20">
        <f t="shared" si="56"/>
        <v>1.1101208128621769E-4</v>
      </c>
      <c r="O712" s="14" t="str">
        <f t="shared" si="57"/>
        <v xml:space="preserve"> </v>
      </c>
      <c r="P712" s="20">
        <f t="shared" si="58"/>
        <v>0</v>
      </c>
    </row>
    <row r="713" spans="1:16" x14ac:dyDescent="0.25">
      <c r="A713">
        <v>1121464</v>
      </c>
      <c r="B713">
        <v>1178</v>
      </c>
      <c r="C713">
        <v>144601</v>
      </c>
      <c r="D713" t="s">
        <v>14</v>
      </c>
      <c r="E713" t="s">
        <v>12</v>
      </c>
      <c r="F713" s="5">
        <v>19</v>
      </c>
      <c r="G713" s="5">
        <v>363456</v>
      </c>
      <c r="H713" s="5">
        <v>71</v>
      </c>
      <c r="I713" s="8">
        <v>117.55999970000001</v>
      </c>
      <c r="J713" s="5">
        <v>7</v>
      </c>
      <c r="K713" s="5">
        <v>1</v>
      </c>
      <c r="L713" s="14">
        <f t="shared" si="55"/>
        <v>0.32345043058857192</v>
      </c>
      <c r="M713" s="14">
        <f t="shared" si="59"/>
        <v>1.655774643661972</v>
      </c>
      <c r="N713" s="20">
        <f t="shared" si="56"/>
        <v>1.95346892058461E-4</v>
      </c>
      <c r="O713" s="14">
        <f t="shared" si="57"/>
        <v>117.55999970000001</v>
      </c>
      <c r="P713" s="20">
        <f t="shared" si="58"/>
        <v>1.4084507042253521E-2</v>
      </c>
    </row>
    <row r="714" spans="1:16" x14ac:dyDescent="0.25">
      <c r="A714">
        <v>1121466</v>
      </c>
      <c r="B714">
        <v>1178</v>
      </c>
      <c r="C714">
        <v>144601</v>
      </c>
      <c r="D714" t="s">
        <v>14</v>
      </c>
      <c r="E714" t="s">
        <v>12</v>
      </c>
      <c r="F714" s="5">
        <v>19</v>
      </c>
      <c r="G714" s="5">
        <v>438983</v>
      </c>
      <c r="H714" s="5">
        <v>81</v>
      </c>
      <c r="I714" s="8">
        <v>143.4300001</v>
      </c>
      <c r="J714" s="5">
        <v>3</v>
      </c>
      <c r="K714" s="5">
        <v>1</v>
      </c>
      <c r="L714" s="14">
        <f t="shared" si="55"/>
        <v>0.3267324705056916</v>
      </c>
      <c r="M714" s="14">
        <f t="shared" si="59"/>
        <v>1.7707407419753087</v>
      </c>
      <c r="N714" s="20">
        <f t="shared" si="56"/>
        <v>1.8451739589004585E-4</v>
      </c>
      <c r="O714" s="14">
        <f t="shared" si="57"/>
        <v>143.4300001</v>
      </c>
      <c r="P714" s="20">
        <f t="shared" si="58"/>
        <v>1.2345679012345678E-2</v>
      </c>
    </row>
    <row r="715" spans="1:16" x14ac:dyDescent="0.25">
      <c r="A715">
        <v>1121467</v>
      </c>
      <c r="B715">
        <v>1178</v>
      </c>
      <c r="C715">
        <v>144601</v>
      </c>
      <c r="D715" t="s">
        <v>14</v>
      </c>
      <c r="E715" t="s">
        <v>12</v>
      </c>
      <c r="F715" s="5">
        <v>19</v>
      </c>
      <c r="G715" s="5">
        <v>42563</v>
      </c>
      <c r="H715" s="5">
        <v>5</v>
      </c>
      <c r="I715" s="8">
        <v>9.6599998469999999</v>
      </c>
      <c r="J715" s="5">
        <v>1</v>
      </c>
      <c r="K715" s="5">
        <v>1</v>
      </c>
      <c r="L715" s="14">
        <f t="shared" si="55"/>
        <v>0.22695768265864719</v>
      </c>
      <c r="M715" s="14">
        <f t="shared" si="59"/>
        <v>1.9319999694000001</v>
      </c>
      <c r="N715" s="20">
        <f t="shared" si="56"/>
        <v>1.1747292249136574E-4</v>
      </c>
      <c r="O715" s="14">
        <f t="shared" si="57"/>
        <v>9.6599998469999999</v>
      </c>
      <c r="P715" s="20">
        <f t="shared" si="58"/>
        <v>0.2</v>
      </c>
    </row>
    <row r="716" spans="1:16" x14ac:dyDescent="0.25">
      <c r="A716">
        <v>1121469</v>
      </c>
      <c r="B716">
        <v>1178</v>
      </c>
      <c r="C716">
        <v>144602</v>
      </c>
      <c r="D716" t="s">
        <v>14</v>
      </c>
      <c r="E716" t="s">
        <v>12</v>
      </c>
      <c r="F716" s="5">
        <v>20</v>
      </c>
      <c r="G716" s="5">
        <v>399035</v>
      </c>
      <c r="H716" s="5">
        <v>75</v>
      </c>
      <c r="I716" s="8">
        <v>124.7999995</v>
      </c>
      <c r="J716" s="5">
        <v>7</v>
      </c>
      <c r="K716" s="5">
        <v>3</v>
      </c>
      <c r="L716" s="14">
        <f t="shared" si="55"/>
        <v>0.31275451902715301</v>
      </c>
      <c r="M716" s="14">
        <f t="shared" si="59"/>
        <v>1.6639999933333334</v>
      </c>
      <c r="N716" s="20">
        <f t="shared" si="56"/>
        <v>1.8795343766837497E-4</v>
      </c>
      <c r="O716" s="14">
        <f t="shared" si="57"/>
        <v>41.599999833333335</v>
      </c>
      <c r="P716" s="20">
        <f t="shared" si="58"/>
        <v>0.04</v>
      </c>
    </row>
    <row r="717" spans="1:16" x14ac:dyDescent="0.25">
      <c r="A717">
        <v>1121471</v>
      </c>
      <c r="B717">
        <v>1178</v>
      </c>
      <c r="C717">
        <v>144602</v>
      </c>
      <c r="D717" t="s">
        <v>14</v>
      </c>
      <c r="E717" t="s">
        <v>12</v>
      </c>
      <c r="F717" s="5">
        <v>20</v>
      </c>
      <c r="G717" s="5">
        <v>304680</v>
      </c>
      <c r="H717" s="5">
        <v>59</v>
      </c>
      <c r="I717" s="8">
        <v>98.550000190000006</v>
      </c>
      <c r="J717" s="5">
        <v>3</v>
      </c>
      <c r="K717" s="5">
        <v>0</v>
      </c>
      <c r="L717" s="14">
        <f t="shared" si="55"/>
        <v>0.32345411641722466</v>
      </c>
      <c r="M717" s="14">
        <f t="shared" si="59"/>
        <v>1.6703389862711866</v>
      </c>
      <c r="N717" s="20">
        <f t="shared" si="56"/>
        <v>1.9364579230668241E-4</v>
      </c>
      <c r="O717" s="14" t="str">
        <f t="shared" si="57"/>
        <v xml:space="preserve"> </v>
      </c>
      <c r="P717" s="20">
        <f t="shared" si="58"/>
        <v>0</v>
      </c>
    </row>
    <row r="718" spans="1:16" x14ac:dyDescent="0.25">
      <c r="A718">
        <v>1121472</v>
      </c>
      <c r="B718">
        <v>1178</v>
      </c>
      <c r="C718">
        <v>144602</v>
      </c>
      <c r="D718" t="s">
        <v>14</v>
      </c>
      <c r="E718" t="s">
        <v>12</v>
      </c>
      <c r="F718" s="5">
        <v>20</v>
      </c>
      <c r="G718" s="5">
        <v>140596</v>
      </c>
      <c r="H718" s="5">
        <v>23</v>
      </c>
      <c r="I718" s="8">
        <v>40.77000022</v>
      </c>
      <c r="J718" s="5">
        <v>1</v>
      </c>
      <c r="K718" s="5">
        <v>0</v>
      </c>
      <c r="L718" s="14">
        <f t="shared" si="55"/>
        <v>0.28997980184358019</v>
      </c>
      <c r="M718" s="14">
        <f t="shared" si="59"/>
        <v>1.7726087052173913</v>
      </c>
      <c r="N718" s="20">
        <f t="shared" si="56"/>
        <v>1.6358929130273978E-4</v>
      </c>
      <c r="O718" s="14" t="str">
        <f t="shared" si="57"/>
        <v xml:space="preserve"> </v>
      </c>
      <c r="P718" s="20">
        <f t="shared" si="58"/>
        <v>0</v>
      </c>
    </row>
    <row r="719" spans="1:16" x14ac:dyDescent="0.25">
      <c r="A719">
        <v>1121473</v>
      </c>
      <c r="B719">
        <v>1178</v>
      </c>
      <c r="C719">
        <v>144602</v>
      </c>
      <c r="D719" t="s">
        <v>14</v>
      </c>
      <c r="E719" t="s">
        <v>12</v>
      </c>
      <c r="F719" s="5">
        <v>20</v>
      </c>
      <c r="G719" s="5">
        <v>439986</v>
      </c>
      <c r="H719" s="5">
        <v>80</v>
      </c>
      <c r="I719" s="8">
        <v>134.8799999</v>
      </c>
      <c r="J719" s="5">
        <v>4</v>
      </c>
      <c r="K719" s="5">
        <v>3</v>
      </c>
      <c r="L719" s="14">
        <f t="shared" si="55"/>
        <v>0.30655520834753835</v>
      </c>
      <c r="M719" s="14">
        <f t="shared" si="59"/>
        <v>1.6859999987500001</v>
      </c>
      <c r="N719" s="20">
        <f t="shared" si="56"/>
        <v>1.8182396712622674E-4</v>
      </c>
      <c r="O719" s="14">
        <f t="shared" si="57"/>
        <v>44.959999966666665</v>
      </c>
      <c r="P719" s="20">
        <f t="shared" si="58"/>
        <v>3.7499999999999999E-2</v>
      </c>
    </row>
    <row r="720" spans="1:16" x14ac:dyDescent="0.25">
      <c r="A720">
        <v>1121474</v>
      </c>
      <c r="B720">
        <v>1178</v>
      </c>
      <c r="C720">
        <v>144602</v>
      </c>
      <c r="D720" t="s">
        <v>14</v>
      </c>
      <c r="E720" t="s">
        <v>12</v>
      </c>
      <c r="F720" s="5">
        <v>20</v>
      </c>
      <c r="G720" s="5">
        <v>75803</v>
      </c>
      <c r="H720" s="5">
        <v>11</v>
      </c>
      <c r="I720" s="8">
        <v>19.359999899999998</v>
      </c>
      <c r="J720" s="5">
        <v>2</v>
      </c>
      <c r="K720" s="5">
        <v>2</v>
      </c>
      <c r="L720" s="14">
        <f t="shared" si="55"/>
        <v>0.25539886152263103</v>
      </c>
      <c r="M720" s="14">
        <f t="shared" si="59"/>
        <v>1.7599999909090907</v>
      </c>
      <c r="N720" s="20">
        <f t="shared" si="56"/>
        <v>1.4511299025104547E-4</v>
      </c>
      <c r="O720" s="14">
        <f t="shared" si="57"/>
        <v>9.6799999499999991</v>
      </c>
      <c r="P720" s="20">
        <f t="shared" si="58"/>
        <v>0.18181818181818182</v>
      </c>
    </row>
    <row r="721" spans="1:16" x14ac:dyDescent="0.25">
      <c r="A721">
        <v>1121477</v>
      </c>
      <c r="B721">
        <v>1178</v>
      </c>
      <c r="C721">
        <v>144603</v>
      </c>
      <c r="D721" t="s">
        <v>14</v>
      </c>
      <c r="E721" t="s">
        <v>12</v>
      </c>
      <c r="F721" s="5">
        <v>21</v>
      </c>
      <c r="G721" s="5">
        <v>7073</v>
      </c>
      <c r="H721" s="5">
        <v>0</v>
      </c>
      <c r="I721" s="8">
        <v>0</v>
      </c>
      <c r="J721" s="5">
        <v>1</v>
      </c>
      <c r="K721" s="5">
        <v>0</v>
      </c>
      <c r="L721" s="14">
        <f t="shared" si="55"/>
        <v>0</v>
      </c>
      <c r="M721" s="14" t="str">
        <f t="shared" si="59"/>
        <v xml:space="preserve"> </v>
      </c>
      <c r="N721" s="20">
        <f t="shared" si="56"/>
        <v>0</v>
      </c>
      <c r="O721" s="14" t="str">
        <f t="shared" si="57"/>
        <v xml:space="preserve"> </v>
      </c>
      <c r="P721" s="20">
        <f t="shared" si="58"/>
        <v>0</v>
      </c>
    </row>
    <row r="722" spans="1:16" x14ac:dyDescent="0.25">
      <c r="A722">
        <v>1121481</v>
      </c>
      <c r="B722">
        <v>1178</v>
      </c>
      <c r="C722">
        <v>144604</v>
      </c>
      <c r="D722" t="s">
        <v>14</v>
      </c>
      <c r="E722" t="s">
        <v>12</v>
      </c>
      <c r="F722" s="5">
        <v>22</v>
      </c>
      <c r="G722" s="5">
        <v>153586</v>
      </c>
      <c r="H722" s="5">
        <v>28</v>
      </c>
      <c r="I722" s="8">
        <v>43.010000349999999</v>
      </c>
      <c r="J722" s="5">
        <v>2</v>
      </c>
      <c r="K722" s="5">
        <v>0</v>
      </c>
      <c r="L722" s="14">
        <f t="shared" si="55"/>
        <v>0.28003854745875273</v>
      </c>
      <c r="M722" s="14">
        <f t="shared" si="59"/>
        <v>1.5360714410714285</v>
      </c>
      <c r="N722" s="20">
        <f t="shared" si="56"/>
        <v>1.8230828330707225E-4</v>
      </c>
      <c r="O722" s="14" t="str">
        <f t="shared" si="57"/>
        <v xml:space="preserve"> </v>
      </c>
      <c r="P722" s="20">
        <f t="shared" si="58"/>
        <v>0</v>
      </c>
    </row>
    <row r="723" spans="1:16" x14ac:dyDescent="0.25">
      <c r="A723">
        <v>1121482</v>
      </c>
      <c r="B723">
        <v>1178</v>
      </c>
      <c r="C723">
        <v>144604</v>
      </c>
      <c r="D723" t="s">
        <v>14</v>
      </c>
      <c r="E723" t="s">
        <v>12</v>
      </c>
      <c r="F723" s="5">
        <v>22</v>
      </c>
      <c r="G723" s="5">
        <v>180815</v>
      </c>
      <c r="H723" s="5">
        <v>31</v>
      </c>
      <c r="I723" s="8">
        <v>42.629999759999997</v>
      </c>
      <c r="J723" s="5">
        <v>1</v>
      </c>
      <c r="K723" s="5">
        <v>0</v>
      </c>
      <c r="L723" s="14">
        <f t="shared" si="55"/>
        <v>0.23576583668390341</v>
      </c>
      <c r="M723" s="14">
        <f t="shared" si="59"/>
        <v>1.375161282580645</v>
      </c>
      <c r="N723" s="20">
        <f t="shared" si="56"/>
        <v>1.7144595304593093E-4</v>
      </c>
      <c r="O723" s="14" t="str">
        <f t="shared" si="57"/>
        <v xml:space="preserve"> </v>
      </c>
      <c r="P723" s="20">
        <f t="shared" si="58"/>
        <v>0</v>
      </c>
    </row>
    <row r="724" spans="1:16" x14ac:dyDescent="0.25">
      <c r="A724">
        <v>1121483</v>
      </c>
      <c r="B724">
        <v>1178</v>
      </c>
      <c r="C724">
        <v>144604</v>
      </c>
      <c r="D724" t="s">
        <v>14</v>
      </c>
      <c r="E724" t="s">
        <v>12</v>
      </c>
      <c r="F724" s="5">
        <v>22</v>
      </c>
      <c r="G724" s="5">
        <v>253169</v>
      </c>
      <c r="H724" s="5">
        <v>51</v>
      </c>
      <c r="I724" s="8">
        <v>75.789999839999993</v>
      </c>
      <c r="J724" s="5">
        <v>1</v>
      </c>
      <c r="K724" s="5">
        <v>0</v>
      </c>
      <c r="L724" s="14">
        <f t="shared" si="55"/>
        <v>0.2993652455079413</v>
      </c>
      <c r="M724" s="14">
        <f t="shared" si="59"/>
        <v>1.4860784282352939</v>
      </c>
      <c r="N724" s="20">
        <f t="shared" si="56"/>
        <v>2.0144646461454601E-4</v>
      </c>
      <c r="O724" s="14" t="str">
        <f t="shared" si="57"/>
        <v xml:space="preserve"> </v>
      </c>
      <c r="P724" s="20">
        <f t="shared" si="58"/>
        <v>0</v>
      </c>
    </row>
    <row r="725" spans="1:16" x14ac:dyDescent="0.25">
      <c r="A725">
        <v>1121484</v>
      </c>
      <c r="B725">
        <v>1178</v>
      </c>
      <c r="C725">
        <v>144604</v>
      </c>
      <c r="D725" t="s">
        <v>14</v>
      </c>
      <c r="E725" t="s">
        <v>12</v>
      </c>
      <c r="F725" s="5">
        <v>22</v>
      </c>
      <c r="G725" s="5">
        <v>34453</v>
      </c>
      <c r="H725" s="5">
        <v>5</v>
      </c>
      <c r="I725" s="8">
        <v>7.7100000380000004</v>
      </c>
      <c r="J725" s="5">
        <v>1</v>
      </c>
      <c r="K725" s="5">
        <v>1</v>
      </c>
      <c r="L725" s="14">
        <f t="shared" si="55"/>
        <v>0.22378312593968597</v>
      </c>
      <c r="M725" s="14">
        <f t="shared" si="59"/>
        <v>1.5420000076</v>
      </c>
      <c r="N725" s="20">
        <f t="shared" si="56"/>
        <v>1.4512524308478217E-4</v>
      </c>
      <c r="O725" s="14">
        <f t="shared" si="57"/>
        <v>7.7100000380000004</v>
      </c>
      <c r="P725" s="20">
        <f t="shared" si="58"/>
        <v>0.2</v>
      </c>
    </row>
    <row r="726" spans="1:16" x14ac:dyDescent="0.25">
      <c r="A726">
        <v>1121487</v>
      </c>
      <c r="B726">
        <v>1178</v>
      </c>
      <c r="C726">
        <v>144605</v>
      </c>
      <c r="D726" t="s">
        <v>14</v>
      </c>
      <c r="E726" t="s">
        <v>12</v>
      </c>
      <c r="F726" s="5">
        <v>23</v>
      </c>
      <c r="G726" s="5">
        <v>51550</v>
      </c>
      <c r="H726" s="5">
        <v>8</v>
      </c>
      <c r="I726" s="8">
        <v>14.03999984</v>
      </c>
      <c r="J726" s="5">
        <v>1</v>
      </c>
      <c r="K726" s="5">
        <v>0</v>
      </c>
      <c r="L726" s="14">
        <f t="shared" si="55"/>
        <v>0.27235693191076626</v>
      </c>
      <c r="M726" s="14">
        <f t="shared" si="59"/>
        <v>1.75499998</v>
      </c>
      <c r="N726" s="20">
        <f t="shared" si="56"/>
        <v>1.5518913676042676E-4</v>
      </c>
      <c r="O726" s="14" t="str">
        <f t="shared" si="57"/>
        <v xml:space="preserve"> </v>
      </c>
      <c r="P726" s="20">
        <f t="shared" si="58"/>
        <v>0</v>
      </c>
    </row>
    <row r="727" spans="1:16" x14ac:dyDescent="0.25">
      <c r="A727">
        <v>1121489</v>
      </c>
      <c r="B727">
        <v>1178</v>
      </c>
      <c r="C727">
        <v>144605</v>
      </c>
      <c r="D727" t="s">
        <v>14</v>
      </c>
      <c r="E727" t="s">
        <v>12</v>
      </c>
      <c r="F727" s="5">
        <v>23</v>
      </c>
      <c r="G727" s="5">
        <v>110018</v>
      </c>
      <c r="H727" s="5">
        <v>24</v>
      </c>
      <c r="I727" s="8">
        <v>39.85999966</v>
      </c>
      <c r="J727" s="5">
        <v>1</v>
      </c>
      <c r="K727" s="5">
        <v>0</v>
      </c>
      <c r="L727" s="14">
        <f t="shared" si="55"/>
        <v>0.36230434710683707</v>
      </c>
      <c r="M727" s="14">
        <f t="shared" si="59"/>
        <v>1.6608333191666667</v>
      </c>
      <c r="N727" s="20">
        <f t="shared" si="56"/>
        <v>2.1814612154374738E-4</v>
      </c>
      <c r="O727" s="14" t="str">
        <f t="shared" si="57"/>
        <v xml:space="preserve"> </v>
      </c>
      <c r="P727" s="20">
        <f t="shared" si="58"/>
        <v>0</v>
      </c>
    </row>
    <row r="728" spans="1:16" x14ac:dyDescent="0.25">
      <c r="A728">
        <v>1121493</v>
      </c>
      <c r="B728">
        <v>1178</v>
      </c>
      <c r="C728">
        <v>144606</v>
      </c>
      <c r="D728" t="s">
        <v>14</v>
      </c>
      <c r="E728" t="s">
        <v>12</v>
      </c>
      <c r="F728" s="5">
        <v>24</v>
      </c>
      <c r="G728" s="5">
        <v>137584</v>
      </c>
      <c r="H728" s="5">
        <v>21</v>
      </c>
      <c r="I728" s="8">
        <v>36.779999609999997</v>
      </c>
      <c r="J728" s="5">
        <v>1</v>
      </c>
      <c r="K728" s="5">
        <v>0</v>
      </c>
      <c r="L728" s="14">
        <f t="shared" si="55"/>
        <v>0.26732759339748807</v>
      </c>
      <c r="M728" s="14">
        <f t="shared" si="59"/>
        <v>1.7514285528571427</v>
      </c>
      <c r="N728" s="20">
        <f t="shared" si="56"/>
        <v>1.5263402721246656E-4</v>
      </c>
      <c r="O728" s="14" t="str">
        <f t="shared" si="57"/>
        <v xml:space="preserve"> </v>
      </c>
      <c r="P728" s="20">
        <f t="shared" si="58"/>
        <v>0</v>
      </c>
    </row>
    <row r="729" spans="1:16" x14ac:dyDescent="0.25">
      <c r="A729">
        <v>1121497</v>
      </c>
      <c r="B729">
        <v>1178</v>
      </c>
      <c r="C729">
        <v>144606</v>
      </c>
      <c r="D729" t="s">
        <v>14</v>
      </c>
      <c r="E729" t="s">
        <v>12</v>
      </c>
      <c r="F729" s="5">
        <v>24</v>
      </c>
      <c r="G729" s="5">
        <v>209825</v>
      </c>
      <c r="H729" s="5">
        <v>30</v>
      </c>
      <c r="I729" s="8">
        <v>54.869999530000001</v>
      </c>
      <c r="J729" s="5">
        <v>1</v>
      </c>
      <c r="K729" s="5">
        <v>0</v>
      </c>
      <c r="L729" s="14">
        <f t="shared" si="55"/>
        <v>0.26150363174073632</v>
      </c>
      <c r="M729" s="14">
        <f t="shared" si="59"/>
        <v>1.8289999843333333</v>
      </c>
      <c r="N729" s="20">
        <f t="shared" si="56"/>
        <v>1.429762897652806E-4</v>
      </c>
      <c r="O729" s="14" t="str">
        <f t="shared" si="57"/>
        <v xml:space="preserve"> </v>
      </c>
      <c r="P729" s="20">
        <f t="shared" si="58"/>
        <v>0</v>
      </c>
    </row>
    <row r="730" spans="1:16" x14ac:dyDescent="0.25">
      <c r="A730">
        <v>1121499</v>
      </c>
      <c r="B730">
        <v>1178</v>
      </c>
      <c r="C730">
        <v>144607</v>
      </c>
      <c r="D730" t="s">
        <v>14</v>
      </c>
      <c r="E730" t="s">
        <v>12</v>
      </c>
      <c r="F730" s="5">
        <v>25</v>
      </c>
      <c r="G730" s="5">
        <v>264222</v>
      </c>
      <c r="H730" s="5">
        <v>63</v>
      </c>
      <c r="I730" s="8">
        <v>87.789999600000002</v>
      </c>
      <c r="J730" s="5">
        <v>1</v>
      </c>
      <c r="K730" s="5">
        <v>1</v>
      </c>
      <c r="L730" s="14">
        <f t="shared" si="55"/>
        <v>0.33225847809796305</v>
      </c>
      <c r="M730" s="14">
        <f t="shared" si="59"/>
        <v>1.3934920571428571</v>
      </c>
      <c r="N730" s="20">
        <f t="shared" si="56"/>
        <v>2.3843586075345731E-4</v>
      </c>
      <c r="O730" s="14">
        <f t="shared" si="57"/>
        <v>87.789999600000002</v>
      </c>
      <c r="P730" s="20">
        <f t="shared" si="58"/>
        <v>1.5873015873015872E-2</v>
      </c>
    </row>
    <row r="731" spans="1:16" x14ac:dyDescent="0.25">
      <c r="A731">
        <v>1121510</v>
      </c>
      <c r="B731">
        <v>1178</v>
      </c>
      <c r="C731">
        <v>144608</v>
      </c>
      <c r="D731" t="s">
        <v>14</v>
      </c>
      <c r="E731" t="s">
        <v>12</v>
      </c>
      <c r="F731" s="5">
        <v>26</v>
      </c>
      <c r="G731" s="5">
        <v>31202</v>
      </c>
      <c r="H731" s="5">
        <v>5</v>
      </c>
      <c r="I731" s="8">
        <v>6.7300000190000002</v>
      </c>
      <c r="J731" s="5">
        <v>1</v>
      </c>
      <c r="K731" s="5">
        <v>0</v>
      </c>
      <c r="L731" s="14">
        <f t="shared" si="55"/>
        <v>0.215691302448561</v>
      </c>
      <c r="M731" s="14">
        <f t="shared" si="59"/>
        <v>1.3460000038</v>
      </c>
      <c r="N731" s="20">
        <f t="shared" si="56"/>
        <v>1.6024613806807256E-4</v>
      </c>
      <c r="O731" s="14" t="str">
        <f t="shared" si="57"/>
        <v xml:space="preserve"> </v>
      </c>
      <c r="P731" s="20">
        <f t="shared" si="58"/>
        <v>0</v>
      </c>
    </row>
    <row r="732" spans="1:16" x14ac:dyDescent="0.25">
      <c r="A732">
        <v>1121511</v>
      </c>
      <c r="B732">
        <v>1178</v>
      </c>
      <c r="C732">
        <v>144609</v>
      </c>
      <c r="D732" t="s">
        <v>14</v>
      </c>
      <c r="E732" t="s">
        <v>12</v>
      </c>
      <c r="F732" s="5">
        <v>27</v>
      </c>
      <c r="G732" s="5">
        <v>252991</v>
      </c>
      <c r="H732" s="5">
        <v>49</v>
      </c>
      <c r="I732" s="8">
        <v>76.839999320000004</v>
      </c>
      <c r="J732" s="5">
        <v>3</v>
      </c>
      <c r="K732" s="5">
        <v>0</v>
      </c>
      <c r="L732" s="14">
        <f t="shared" si="55"/>
        <v>0.30372621682194229</v>
      </c>
      <c r="M732" s="14">
        <f t="shared" si="59"/>
        <v>1.5681632514285715</v>
      </c>
      <c r="N732" s="20">
        <f t="shared" si="56"/>
        <v>1.9368277922930064E-4</v>
      </c>
      <c r="O732" s="14" t="str">
        <f t="shared" si="57"/>
        <v xml:space="preserve"> </v>
      </c>
      <c r="P732" s="20">
        <f t="shared" si="58"/>
        <v>0</v>
      </c>
    </row>
    <row r="733" spans="1:16" x14ac:dyDescent="0.25">
      <c r="A733">
        <v>1121514</v>
      </c>
      <c r="B733">
        <v>1178</v>
      </c>
      <c r="C733">
        <v>144609</v>
      </c>
      <c r="D733" t="s">
        <v>14</v>
      </c>
      <c r="E733" t="s">
        <v>12</v>
      </c>
      <c r="F733" s="5">
        <v>27</v>
      </c>
      <c r="G733" s="5">
        <v>56265</v>
      </c>
      <c r="H733" s="5">
        <v>9</v>
      </c>
      <c r="I733" s="8">
        <v>15.539999720000001</v>
      </c>
      <c r="J733" s="5">
        <v>1</v>
      </c>
      <c r="K733" s="5">
        <v>0</v>
      </c>
      <c r="L733" s="14">
        <f t="shared" si="55"/>
        <v>0.27619301021949705</v>
      </c>
      <c r="M733" s="14">
        <f t="shared" si="59"/>
        <v>1.7266666355555556</v>
      </c>
      <c r="N733" s="20">
        <f t="shared" si="56"/>
        <v>1.5995734470807785E-4</v>
      </c>
      <c r="O733" s="14" t="str">
        <f t="shared" si="57"/>
        <v xml:space="preserve"> </v>
      </c>
      <c r="P733" s="20">
        <f t="shared" si="58"/>
        <v>0</v>
      </c>
    </row>
    <row r="734" spans="1:16" x14ac:dyDescent="0.25">
      <c r="A734">
        <v>1121523</v>
      </c>
      <c r="B734">
        <v>1178</v>
      </c>
      <c r="C734">
        <v>144611</v>
      </c>
      <c r="D734" t="s">
        <v>14</v>
      </c>
      <c r="E734" t="s">
        <v>12</v>
      </c>
      <c r="F734" s="5">
        <v>29</v>
      </c>
      <c r="G734" s="5">
        <v>76923</v>
      </c>
      <c r="H734" s="5">
        <v>11</v>
      </c>
      <c r="I734" s="8">
        <v>17.670000080000001</v>
      </c>
      <c r="J734" s="5">
        <v>2</v>
      </c>
      <c r="K734" s="5">
        <v>2</v>
      </c>
      <c r="L734" s="14">
        <f t="shared" si="55"/>
        <v>0.22971023075023075</v>
      </c>
      <c r="M734" s="14">
        <f t="shared" si="59"/>
        <v>1.6063636436363637</v>
      </c>
      <c r="N734" s="20">
        <f t="shared" si="56"/>
        <v>1.4300014300014301E-4</v>
      </c>
      <c r="O734" s="14">
        <f t="shared" si="57"/>
        <v>8.8350000400000006</v>
      </c>
      <c r="P734" s="20">
        <f t="shared" si="58"/>
        <v>0.18181818181818182</v>
      </c>
    </row>
    <row r="735" spans="1:16" x14ac:dyDescent="0.25">
      <c r="A735">
        <v>1121524</v>
      </c>
      <c r="B735">
        <v>1178</v>
      </c>
      <c r="C735">
        <v>144611</v>
      </c>
      <c r="D735" t="s">
        <v>14</v>
      </c>
      <c r="E735" t="s">
        <v>12</v>
      </c>
      <c r="F735" s="5">
        <v>29</v>
      </c>
      <c r="G735" s="5">
        <v>209332</v>
      </c>
      <c r="H735" s="5">
        <v>30</v>
      </c>
      <c r="I735" s="8">
        <v>49.600000139999999</v>
      </c>
      <c r="J735" s="5">
        <v>3</v>
      </c>
      <c r="K735" s="5">
        <v>1</v>
      </c>
      <c r="L735" s="14">
        <f t="shared" si="55"/>
        <v>0.23694418502665621</v>
      </c>
      <c r="M735" s="14">
        <f t="shared" si="59"/>
        <v>1.6533333379999999</v>
      </c>
      <c r="N735" s="20">
        <f t="shared" si="56"/>
        <v>1.4331301473257793E-4</v>
      </c>
      <c r="O735" s="14">
        <f t="shared" si="57"/>
        <v>49.600000139999999</v>
      </c>
      <c r="P735" s="20">
        <f t="shared" si="58"/>
        <v>3.3333333333333333E-2</v>
      </c>
    </row>
    <row r="736" spans="1:16" x14ac:dyDescent="0.25">
      <c r="A736">
        <v>1121525</v>
      </c>
      <c r="B736">
        <v>1178</v>
      </c>
      <c r="C736">
        <v>144611</v>
      </c>
      <c r="D736" t="s">
        <v>14</v>
      </c>
      <c r="E736" t="s">
        <v>12</v>
      </c>
      <c r="F736" s="5">
        <v>29</v>
      </c>
      <c r="G736" s="5">
        <v>214094</v>
      </c>
      <c r="H736" s="5">
        <v>31</v>
      </c>
      <c r="I736" s="8">
        <v>53.269999030000001</v>
      </c>
      <c r="J736" s="5">
        <v>1</v>
      </c>
      <c r="K736" s="5">
        <v>0</v>
      </c>
      <c r="L736" s="14">
        <f t="shared" si="55"/>
        <v>0.24881593613085842</v>
      </c>
      <c r="M736" s="14">
        <f t="shared" si="59"/>
        <v>1.7183870654838711</v>
      </c>
      <c r="N736" s="20">
        <f t="shared" si="56"/>
        <v>1.4479621101011705E-4</v>
      </c>
      <c r="O736" s="14" t="str">
        <f t="shared" si="57"/>
        <v xml:space="preserve"> </v>
      </c>
      <c r="P736" s="20">
        <f t="shared" si="58"/>
        <v>0</v>
      </c>
    </row>
    <row r="737" spans="1:16" x14ac:dyDescent="0.25">
      <c r="A737">
        <v>1121526</v>
      </c>
      <c r="B737">
        <v>1178</v>
      </c>
      <c r="C737">
        <v>144611</v>
      </c>
      <c r="D737" t="s">
        <v>14</v>
      </c>
      <c r="E737" t="s">
        <v>12</v>
      </c>
      <c r="F737" s="5">
        <v>29</v>
      </c>
      <c r="G737" s="5">
        <v>526209</v>
      </c>
      <c r="H737" s="5">
        <v>85</v>
      </c>
      <c r="I737" s="8">
        <v>126.9299996</v>
      </c>
      <c r="J737" s="5">
        <v>3</v>
      </c>
      <c r="K737" s="5">
        <v>2</v>
      </c>
      <c r="L737" s="14">
        <f t="shared" si="55"/>
        <v>0.24121594195462259</v>
      </c>
      <c r="M737" s="14">
        <f t="shared" si="59"/>
        <v>1.4932941129411765</v>
      </c>
      <c r="N737" s="20">
        <f t="shared" si="56"/>
        <v>1.6153277500004752E-4</v>
      </c>
      <c r="O737" s="14">
        <f t="shared" si="57"/>
        <v>63.464999800000001</v>
      </c>
      <c r="P737" s="20">
        <f t="shared" si="58"/>
        <v>2.3529411764705882E-2</v>
      </c>
    </row>
    <row r="738" spans="1:16" x14ac:dyDescent="0.25">
      <c r="A738">
        <v>1121527</v>
      </c>
      <c r="B738">
        <v>1178</v>
      </c>
      <c r="C738">
        <v>144611</v>
      </c>
      <c r="D738" t="s">
        <v>14</v>
      </c>
      <c r="E738" t="s">
        <v>12</v>
      </c>
      <c r="F738" s="5">
        <v>29</v>
      </c>
      <c r="G738" s="5">
        <v>741143</v>
      </c>
      <c r="H738" s="5">
        <v>120</v>
      </c>
      <c r="I738" s="8">
        <v>179.620001</v>
      </c>
      <c r="J738" s="5">
        <v>4</v>
      </c>
      <c r="K738" s="5">
        <v>1</v>
      </c>
      <c r="L738" s="14">
        <f t="shared" si="55"/>
        <v>0.24235539025532185</v>
      </c>
      <c r="M738" s="14">
        <f t="shared" si="59"/>
        <v>1.4968333416666666</v>
      </c>
      <c r="N738" s="20">
        <f t="shared" si="56"/>
        <v>1.6191207364840522E-4</v>
      </c>
      <c r="O738" s="14">
        <f t="shared" si="57"/>
        <v>179.620001</v>
      </c>
      <c r="P738" s="20">
        <f t="shared" si="58"/>
        <v>8.3333333333333332E-3</v>
      </c>
    </row>
    <row r="739" spans="1:16" x14ac:dyDescent="0.25">
      <c r="A739">
        <v>1121528</v>
      </c>
      <c r="B739">
        <v>1178</v>
      </c>
      <c r="C739">
        <v>144611</v>
      </c>
      <c r="D739" t="s">
        <v>14</v>
      </c>
      <c r="E739" t="s">
        <v>12</v>
      </c>
      <c r="F739" s="5">
        <v>29</v>
      </c>
      <c r="G739" s="5">
        <v>172827</v>
      </c>
      <c r="H739" s="5">
        <v>25</v>
      </c>
      <c r="I739" s="8">
        <v>38.420000430000002</v>
      </c>
      <c r="J739" s="5">
        <v>2</v>
      </c>
      <c r="K739" s="5">
        <v>0</v>
      </c>
      <c r="L739" s="14">
        <f t="shared" si="55"/>
        <v>0.22230323057161208</v>
      </c>
      <c r="M739" s="14">
        <f t="shared" si="59"/>
        <v>1.5368000172</v>
      </c>
      <c r="N739" s="20">
        <f t="shared" si="56"/>
        <v>1.4465332384407529E-4</v>
      </c>
      <c r="O739" s="14" t="str">
        <f t="shared" si="57"/>
        <v xml:space="preserve"> </v>
      </c>
      <c r="P739" s="20">
        <f t="shared" si="58"/>
        <v>0</v>
      </c>
    </row>
    <row r="740" spans="1:16" x14ac:dyDescent="0.25">
      <c r="A740">
        <v>1121530</v>
      </c>
      <c r="B740">
        <v>1178</v>
      </c>
      <c r="C740">
        <v>144612</v>
      </c>
      <c r="D740" t="s">
        <v>14</v>
      </c>
      <c r="E740" t="s">
        <v>12</v>
      </c>
      <c r="F740" s="5">
        <v>30</v>
      </c>
      <c r="G740" s="5">
        <v>188873</v>
      </c>
      <c r="H740" s="5">
        <v>38</v>
      </c>
      <c r="I740" s="8">
        <v>58.5999999</v>
      </c>
      <c r="J740" s="5">
        <v>1</v>
      </c>
      <c r="K740" s="5">
        <v>1</v>
      </c>
      <c r="L740" s="14">
        <f t="shared" si="55"/>
        <v>0.31026139204650743</v>
      </c>
      <c r="M740" s="14">
        <f t="shared" si="59"/>
        <v>1.5421052605263157</v>
      </c>
      <c r="N740" s="20">
        <f t="shared" si="56"/>
        <v>2.0119339450318469E-4</v>
      </c>
      <c r="O740" s="14">
        <f t="shared" si="57"/>
        <v>58.5999999</v>
      </c>
      <c r="P740" s="20">
        <f t="shared" si="58"/>
        <v>2.6315789473684209E-2</v>
      </c>
    </row>
    <row r="741" spans="1:16" x14ac:dyDescent="0.25">
      <c r="A741">
        <v>1121532</v>
      </c>
      <c r="B741">
        <v>1178</v>
      </c>
      <c r="C741">
        <v>144612</v>
      </c>
      <c r="D741" t="s">
        <v>14</v>
      </c>
      <c r="E741" t="s">
        <v>12</v>
      </c>
      <c r="F741" s="5">
        <v>30</v>
      </c>
      <c r="G741" s="5">
        <v>123126</v>
      </c>
      <c r="H741" s="5">
        <v>25</v>
      </c>
      <c r="I741" s="8">
        <v>39.72999978</v>
      </c>
      <c r="J741" s="5">
        <v>2</v>
      </c>
      <c r="K741" s="5">
        <v>1</v>
      </c>
      <c r="L741" s="14">
        <f t="shared" si="55"/>
        <v>0.32267758052726475</v>
      </c>
      <c r="M741" s="14">
        <f t="shared" si="59"/>
        <v>1.5891999912000001</v>
      </c>
      <c r="N741" s="20">
        <f t="shared" si="56"/>
        <v>2.03044036190569E-4</v>
      </c>
      <c r="O741" s="14">
        <f t="shared" si="57"/>
        <v>39.72999978</v>
      </c>
      <c r="P741" s="20">
        <f t="shared" si="58"/>
        <v>0.04</v>
      </c>
    </row>
    <row r="742" spans="1:16" x14ac:dyDescent="0.25">
      <c r="A742">
        <v>1121535</v>
      </c>
      <c r="B742">
        <v>1178</v>
      </c>
      <c r="C742">
        <v>144613</v>
      </c>
      <c r="D742" t="s">
        <v>14</v>
      </c>
      <c r="E742" t="s">
        <v>12</v>
      </c>
      <c r="F742" s="5">
        <v>31</v>
      </c>
      <c r="G742" s="5">
        <v>77794</v>
      </c>
      <c r="H742" s="5">
        <v>14</v>
      </c>
      <c r="I742" s="8">
        <v>19.11000001</v>
      </c>
      <c r="J742" s="5">
        <v>1</v>
      </c>
      <c r="K742" s="5">
        <v>1</v>
      </c>
      <c r="L742" s="14">
        <f t="shared" si="55"/>
        <v>0.24564876481476719</v>
      </c>
      <c r="M742" s="14">
        <f t="shared" si="59"/>
        <v>1.3650000007142857</v>
      </c>
      <c r="N742" s="20">
        <f t="shared" si="56"/>
        <v>1.7996246497159165E-4</v>
      </c>
      <c r="O742" s="14">
        <f t="shared" si="57"/>
        <v>19.11000001</v>
      </c>
      <c r="P742" s="20">
        <f t="shared" si="58"/>
        <v>7.1428571428571425E-2</v>
      </c>
    </row>
    <row r="743" spans="1:16" x14ac:dyDescent="0.25">
      <c r="A743">
        <v>1121541</v>
      </c>
      <c r="B743">
        <v>1178</v>
      </c>
      <c r="C743">
        <v>144614</v>
      </c>
      <c r="D743" t="s">
        <v>14</v>
      </c>
      <c r="E743" t="s">
        <v>12</v>
      </c>
      <c r="F743" s="5">
        <v>32</v>
      </c>
      <c r="G743" s="5">
        <v>56630</v>
      </c>
      <c r="H743" s="5">
        <v>9</v>
      </c>
      <c r="I743" s="8">
        <v>15.810000179999999</v>
      </c>
      <c r="J743" s="5">
        <v>1</v>
      </c>
      <c r="K743" s="5">
        <v>1</v>
      </c>
      <c r="L743" s="14">
        <f t="shared" si="55"/>
        <v>0.27918064947907473</v>
      </c>
      <c r="M743" s="14">
        <f t="shared" si="59"/>
        <v>1.7566666866666667</v>
      </c>
      <c r="N743" s="20">
        <f t="shared" si="56"/>
        <v>1.5892636411795867E-4</v>
      </c>
      <c r="O743" s="14">
        <f t="shared" si="57"/>
        <v>15.810000179999999</v>
      </c>
      <c r="P743" s="20">
        <f t="shared" si="58"/>
        <v>0.1111111111111111</v>
      </c>
    </row>
    <row r="744" spans="1:16" x14ac:dyDescent="0.25">
      <c r="A744">
        <v>1121544</v>
      </c>
      <c r="B744">
        <v>1178</v>
      </c>
      <c r="C744">
        <v>144614</v>
      </c>
      <c r="D744" t="s">
        <v>14</v>
      </c>
      <c r="E744" t="s">
        <v>12</v>
      </c>
      <c r="F744" s="5">
        <v>32</v>
      </c>
      <c r="G744" s="5">
        <v>400844</v>
      </c>
      <c r="H744" s="5">
        <v>85</v>
      </c>
      <c r="I744" s="8">
        <v>140.97000220000001</v>
      </c>
      <c r="J744" s="5">
        <v>4</v>
      </c>
      <c r="K744" s="5">
        <v>2</v>
      </c>
      <c r="L744" s="14">
        <f t="shared" si="55"/>
        <v>0.35168295446607661</v>
      </c>
      <c r="M744" s="14">
        <f t="shared" si="59"/>
        <v>1.6584706141176473</v>
      </c>
      <c r="N744" s="20">
        <f t="shared" si="56"/>
        <v>2.120525690792428E-4</v>
      </c>
      <c r="O744" s="14">
        <f t="shared" si="57"/>
        <v>70.485001100000005</v>
      </c>
      <c r="P744" s="20">
        <f t="shared" si="58"/>
        <v>2.3529411764705882E-2</v>
      </c>
    </row>
    <row r="745" spans="1:16" x14ac:dyDescent="0.25">
      <c r="A745">
        <v>1121545</v>
      </c>
      <c r="B745">
        <v>1178</v>
      </c>
      <c r="C745">
        <v>144614</v>
      </c>
      <c r="D745" t="s">
        <v>14</v>
      </c>
      <c r="E745" t="s">
        <v>12</v>
      </c>
      <c r="F745" s="5">
        <v>32</v>
      </c>
      <c r="G745" s="5">
        <v>208572</v>
      </c>
      <c r="H745" s="5">
        <v>36</v>
      </c>
      <c r="I745" s="8">
        <v>60.760000230000003</v>
      </c>
      <c r="J745" s="5">
        <v>2</v>
      </c>
      <c r="K745" s="5">
        <v>1</v>
      </c>
      <c r="L745" s="14">
        <f t="shared" si="55"/>
        <v>0.29131427147459871</v>
      </c>
      <c r="M745" s="14">
        <f t="shared" si="59"/>
        <v>1.6877777841666668</v>
      </c>
      <c r="N745" s="20">
        <f t="shared" si="56"/>
        <v>1.7260226684310455E-4</v>
      </c>
      <c r="O745" s="14">
        <f t="shared" si="57"/>
        <v>60.760000230000003</v>
      </c>
      <c r="P745" s="20">
        <f t="shared" si="58"/>
        <v>2.7777777777777776E-2</v>
      </c>
    </row>
    <row r="746" spans="1:16" x14ac:dyDescent="0.25">
      <c r="A746">
        <v>1121548</v>
      </c>
      <c r="B746">
        <v>1178</v>
      </c>
      <c r="C746">
        <v>144615</v>
      </c>
      <c r="D746" t="s">
        <v>14</v>
      </c>
      <c r="E746" t="s">
        <v>12</v>
      </c>
      <c r="F746" s="5">
        <v>36</v>
      </c>
      <c r="G746" s="5">
        <v>59004</v>
      </c>
      <c r="H746" s="5">
        <v>8</v>
      </c>
      <c r="I746" s="8">
        <v>13.51000011</v>
      </c>
      <c r="J746" s="5">
        <v>1</v>
      </c>
      <c r="K746" s="5">
        <v>0</v>
      </c>
      <c r="L746" s="14">
        <f t="shared" si="55"/>
        <v>0.22896752948952612</v>
      </c>
      <c r="M746" s="14">
        <f t="shared" si="59"/>
        <v>1.68875001375</v>
      </c>
      <c r="N746" s="20">
        <f t="shared" si="56"/>
        <v>1.3558402820147786E-4</v>
      </c>
      <c r="O746" s="14" t="str">
        <f t="shared" si="57"/>
        <v xml:space="preserve"> </v>
      </c>
      <c r="P746" s="20">
        <f t="shared" si="58"/>
        <v>0</v>
      </c>
    </row>
    <row r="747" spans="1:16" x14ac:dyDescent="0.25">
      <c r="A747">
        <v>1121551</v>
      </c>
      <c r="B747">
        <v>1178</v>
      </c>
      <c r="C747">
        <v>144615</v>
      </c>
      <c r="D747" t="s">
        <v>14</v>
      </c>
      <c r="E747" t="s">
        <v>12</v>
      </c>
      <c r="F747" s="5">
        <v>36</v>
      </c>
      <c r="G747" s="5">
        <v>196253</v>
      </c>
      <c r="H747" s="5">
        <v>32</v>
      </c>
      <c r="I747" s="8">
        <v>55.100000020000003</v>
      </c>
      <c r="J747" s="5">
        <v>1</v>
      </c>
      <c r="K747" s="5">
        <v>0</v>
      </c>
      <c r="L747" s="14">
        <f t="shared" si="55"/>
        <v>0.28076003943888755</v>
      </c>
      <c r="M747" s="14">
        <f t="shared" si="59"/>
        <v>1.7218750006250001</v>
      </c>
      <c r="N747" s="20">
        <f t="shared" si="56"/>
        <v>1.6305483228281861E-4</v>
      </c>
      <c r="O747" s="14" t="str">
        <f t="shared" si="57"/>
        <v xml:space="preserve"> </v>
      </c>
      <c r="P747" s="20">
        <f t="shared" si="58"/>
        <v>0</v>
      </c>
    </row>
    <row r="748" spans="1:16" x14ac:dyDescent="0.25">
      <c r="A748">
        <v>1121554</v>
      </c>
      <c r="B748">
        <v>1178</v>
      </c>
      <c r="C748">
        <v>144616</v>
      </c>
      <c r="D748" t="s">
        <v>14</v>
      </c>
      <c r="E748" t="s">
        <v>12</v>
      </c>
      <c r="F748" s="5">
        <v>63</v>
      </c>
      <c r="G748" s="5">
        <v>51858</v>
      </c>
      <c r="H748" s="5">
        <v>8</v>
      </c>
      <c r="I748" s="8">
        <v>12.630000109999999</v>
      </c>
      <c r="J748" s="5">
        <v>1</v>
      </c>
      <c r="K748" s="5">
        <v>1</v>
      </c>
      <c r="L748" s="14">
        <f t="shared" si="55"/>
        <v>0.24354969551467467</v>
      </c>
      <c r="M748" s="14">
        <f t="shared" si="59"/>
        <v>1.5787500137499999</v>
      </c>
      <c r="N748" s="20">
        <f t="shared" si="56"/>
        <v>1.5426742257703731E-4</v>
      </c>
      <c r="O748" s="14">
        <f t="shared" si="57"/>
        <v>12.630000109999999</v>
      </c>
      <c r="P748" s="20">
        <f t="shared" si="58"/>
        <v>0.125</v>
      </c>
    </row>
    <row r="749" spans="1:16" x14ac:dyDescent="0.25">
      <c r="A749">
        <v>1121557</v>
      </c>
      <c r="B749">
        <v>1178</v>
      </c>
      <c r="C749">
        <v>144616</v>
      </c>
      <c r="D749" t="s">
        <v>14</v>
      </c>
      <c r="E749" t="s">
        <v>12</v>
      </c>
      <c r="F749" s="5">
        <v>63</v>
      </c>
      <c r="G749" s="5">
        <v>280764</v>
      </c>
      <c r="H749" s="5">
        <v>49</v>
      </c>
      <c r="I749" s="8">
        <v>81.360000249999999</v>
      </c>
      <c r="J749" s="5">
        <v>2</v>
      </c>
      <c r="K749" s="5">
        <v>1</v>
      </c>
      <c r="L749" s="14">
        <f t="shared" si="55"/>
        <v>0.28978074201108406</v>
      </c>
      <c r="M749" s="14">
        <f t="shared" si="59"/>
        <v>1.6604081683673468</v>
      </c>
      <c r="N749" s="20">
        <f t="shared" si="56"/>
        <v>1.7452379934749469E-4</v>
      </c>
      <c r="O749" s="14">
        <f t="shared" si="57"/>
        <v>81.360000249999999</v>
      </c>
      <c r="P749" s="20">
        <f t="shared" si="58"/>
        <v>2.0408163265306121E-2</v>
      </c>
    </row>
    <row r="750" spans="1:16" x14ac:dyDescent="0.25">
      <c r="A750">
        <v>1121561</v>
      </c>
      <c r="B750">
        <v>1178</v>
      </c>
      <c r="C750">
        <v>144617</v>
      </c>
      <c r="D750" t="s">
        <v>14</v>
      </c>
      <c r="E750" t="s">
        <v>12</v>
      </c>
      <c r="F750" s="5">
        <v>64</v>
      </c>
      <c r="G750" s="5">
        <v>63660</v>
      </c>
      <c r="H750" s="5">
        <v>11</v>
      </c>
      <c r="I750" s="8">
        <v>16.470000030000001</v>
      </c>
      <c r="J750" s="5">
        <v>1</v>
      </c>
      <c r="K750" s="5">
        <v>1</v>
      </c>
      <c r="L750" s="14">
        <f t="shared" si="55"/>
        <v>0.25871819085768144</v>
      </c>
      <c r="M750" s="14">
        <f t="shared" si="59"/>
        <v>1.4972727300000002</v>
      </c>
      <c r="N750" s="20">
        <f t="shared" si="56"/>
        <v>1.7279296261388626E-4</v>
      </c>
      <c r="O750" s="14">
        <f t="shared" si="57"/>
        <v>16.470000030000001</v>
      </c>
      <c r="P750" s="20">
        <f t="shared" si="58"/>
        <v>9.0909090909090912E-2</v>
      </c>
    </row>
    <row r="751" spans="1:16" x14ac:dyDescent="0.25">
      <c r="A751">
        <v>1121562</v>
      </c>
      <c r="B751">
        <v>1178</v>
      </c>
      <c r="C751">
        <v>144617</v>
      </c>
      <c r="D751" t="s">
        <v>14</v>
      </c>
      <c r="E751" t="s">
        <v>12</v>
      </c>
      <c r="F751" s="5">
        <v>64</v>
      </c>
      <c r="G751" s="5">
        <v>109289</v>
      </c>
      <c r="H751" s="5">
        <v>19</v>
      </c>
      <c r="I751" s="8">
        <v>31.029999969999999</v>
      </c>
      <c r="J751" s="5">
        <v>1</v>
      </c>
      <c r="K751" s="5">
        <v>0</v>
      </c>
      <c r="L751" s="14">
        <f t="shared" si="55"/>
        <v>0.28392610390798706</v>
      </c>
      <c r="M751" s="14">
        <f t="shared" si="59"/>
        <v>1.6331578931578947</v>
      </c>
      <c r="N751" s="20">
        <f t="shared" si="56"/>
        <v>1.7385098225804977E-4</v>
      </c>
      <c r="O751" s="14" t="str">
        <f t="shared" si="57"/>
        <v xml:space="preserve"> </v>
      </c>
      <c r="P751" s="20">
        <f t="shared" si="58"/>
        <v>0</v>
      </c>
    </row>
    <row r="752" spans="1:16" x14ac:dyDescent="0.25">
      <c r="A752">
        <v>1121568</v>
      </c>
      <c r="B752">
        <v>1178</v>
      </c>
      <c r="C752">
        <v>144618</v>
      </c>
      <c r="D752" t="s">
        <v>14</v>
      </c>
      <c r="E752" t="s">
        <v>12</v>
      </c>
      <c r="F752" s="5">
        <v>65</v>
      </c>
      <c r="G752" s="5">
        <v>188440</v>
      </c>
      <c r="H752" s="5">
        <v>40</v>
      </c>
      <c r="I752" s="8">
        <v>60.729999659999997</v>
      </c>
      <c r="J752" s="5">
        <v>2</v>
      </c>
      <c r="K752" s="5">
        <v>1</v>
      </c>
      <c r="L752" s="14">
        <f t="shared" si="55"/>
        <v>0.32227764625344935</v>
      </c>
      <c r="M752" s="14">
        <f t="shared" si="59"/>
        <v>1.5182499914999998</v>
      </c>
      <c r="N752" s="20">
        <f t="shared" si="56"/>
        <v>2.1226915729144556E-4</v>
      </c>
      <c r="O752" s="14">
        <f t="shared" si="57"/>
        <v>60.729999659999997</v>
      </c>
      <c r="P752" s="20">
        <f t="shared" si="58"/>
        <v>2.5000000000000001E-2</v>
      </c>
    </row>
    <row r="753" spans="1:16" x14ac:dyDescent="0.25">
      <c r="A753">
        <v>1121571</v>
      </c>
      <c r="B753">
        <v>1178</v>
      </c>
      <c r="C753">
        <v>144619</v>
      </c>
      <c r="D753" t="s">
        <v>14</v>
      </c>
      <c r="E753" t="s">
        <v>12</v>
      </c>
      <c r="F753" s="5">
        <v>2</v>
      </c>
      <c r="G753" s="5">
        <v>212496</v>
      </c>
      <c r="H753" s="5">
        <v>44</v>
      </c>
      <c r="I753" s="8">
        <v>74.830001350000003</v>
      </c>
      <c r="J753" s="5">
        <v>2</v>
      </c>
      <c r="K753" s="5">
        <v>1</v>
      </c>
      <c r="L753" s="14">
        <f t="shared" si="55"/>
        <v>0.35214781148821628</v>
      </c>
      <c r="M753" s="14">
        <f t="shared" si="59"/>
        <v>1.7006818488636364</v>
      </c>
      <c r="N753" s="20">
        <f t="shared" si="56"/>
        <v>2.07062721180634E-4</v>
      </c>
      <c r="O753" s="14">
        <f t="shared" si="57"/>
        <v>74.830001350000003</v>
      </c>
      <c r="P753" s="20">
        <f t="shared" si="58"/>
        <v>2.2727272727272728E-2</v>
      </c>
    </row>
    <row r="754" spans="1:16" x14ac:dyDescent="0.25">
      <c r="A754">
        <v>1121572</v>
      </c>
      <c r="B754">
        <v>1178</v>
      </c>
      <c r="C754">
        <v>144619</v>
      </c>
      <c r="D754" t="s">
        <v>14</v>
      </c>
      <c r="E754" t="s">
        <v>12</v>
      </c>
      <c r="F754" s="5">
        <v>2</v>
      </c>
      <c r="G754" s="5">
        <v>32574</v>
      </c>
      <c r="H754" s="5">
        <v>5</v>
      </c>
      <c r="I754" s="8">
        <v>7.4800000190000002</v>
      </c>
      <c r="J754" s="5">
        <v>1</v>
      </c>
      <c r="K754" s="5">
        <v>0</v>
      </c>
      <c r="L754" s="14">
        <f t="shared" si="55"/>
        <v>0.22963099462761713</v>
      </c>
      <c r="M754" s="14">
        <f t="shared" si="59"/>
        <v>1.4960000038000001</v>
      </c>
      <c r="N754" s="20">
        <f t="shared" si="56"/>
        <v>1.5349665377294776E-4</v>
      </c>
      <c r="O754" s="14" t="str">
        <f t="shared" si="57"/>
        <v xml:space="preserve"> </v>
      </c>
      <c r="P754" s="20">
        <f t="shared" si="58"/>
        <v>0</v>
      </c>
    </row>
    <row r="755" spans="1:16" x14ac:dyDescent="0.25">
      <c r="A755">
        <v>1121575</v>
      </c>
      <c r="B755">
        <v>1178</v>
      </c>
      <c r="C755">
        <v>144619</v>
      </c>
      <c r="D755" t="s">
        <v>14</v>
      </c>
      <c r="E755" t="s">
        <v>12</v>
      </c>
      <c r="F755" s="5">
        <v>2</v>
      </c>
      <c r="G755" s="5">
        <v>128595</v>
      </c>
      <c r="H755" s="5">
        <v>23</v>
      </c>
      <c r="I755" s="8">
        <v>36.480000500000003</v>
      </c>
      <c r="J755" s="5">
        <v>1</v>
      </c>
      <c r="K755" s="5">
        <v>1</v>
      </c>
      <c r="L755" s="14">
        <f t="shared" si="55"/>
        <v>0.28368132897857617</v>
      </c>
      <c r="M755" s="14">
        <f t="shared" si="59"/>
        <v>1.5860869782608698</v>
      </c>
      <c r="N755" s="20">
        <f t="shared" si="56"/>
        <v>1.7885609860414478E-4</v>
      </c>
      <c r="O755" s="14">
        <f t="shared" si="57"/>
        <v>36.480000500000003</v>
      </c>
      <c r="P755" s="20">
        <f t="shared" si="58"/>
        <v>4.3478260869565216E-2</v>
      </c>
    </row>
    <row r="756" spans="1:16" x14ac:dyDescent="0.25">
      <c r="A756">
        <v>1121577</v>
      </c>
      <c r="B756">
        <v>1178</v>
      </c>
      <c r="C756">
        <v>144620</v>
      </c>
      <c r="D756" t="s">
        <v>14</v>
      </c>
      <c r="E756" t="s">
        <v>12</v>
      </c>
      <c r="F756" s="5">
        <v>7</v>
      </c>
      <c r="G756" s="5">
        <v>242234</v>
      </c>
      <c r="H756" s="5">
        <v>48</v>
      </c>
      <c r="I756" s="8">
        <v>68.060000540000004</v>
      </c>
      <c r="J756" s="5">
        <v>2</v>
      </c>
      <c r="K756" s="5">
        <v>0</v>
      </c>
      <c r="L756" s="14">
        <f t="shared" si="55"/>
        <v>0.28096799185911148</v>
      </c>
      <c r="M756" s="14">
        <f t="shared" si="59"/>
        <v>1.4179166779166668</v>
      </c>
      <c r="N756" s="20">
        <f t="shared" si="56"/>
        <v>1.9815550253061089E-4</v>
      </c>
      <c r="O756" s="14" t="str">
        <f t="shared" si="57"/>
        <v xml:space="preserve"> </v>
      </c>
      <c r="P756" s="20">
        <f t="shared" si="58"/>
        <v>0</v>
      </c>
    </row>
    <row r="757" spans="1:16" x14ac:dyDescent="0.25">
      <c r="A757">
        <v>1121584</v>
      </c>
      <c r="B757">
        <v>1178</v>
      </c>
      <c r="C757">
        <v>144621</v>
      </c>
      <c r="D757" t="s">
        <v>14</v>
      </c>
      <c r="E757" t="s">
        <v>12</v>
      </c>
      <c r="F757" s="5">
        <v>66</v>
      </c>
      <c r="G757" s="5">
        <v>33154</v>
      </c>
      <c r="H757" s="5">
        <v>5</v>
      </c>
      <c r="I757" s="8">
        <v>7.8799999950000004</v>
      </c>
      <c r="J757" s="5">
        <v>1</v>
      </c>
      <c r="K757" s="5">
        <v>1</v>
      </c>
      <c r="L757" s="14">
        <f t="shared" si="55"/>
        <v>0.23767871131688487</v>
      </c>
      <c r="M757" s="14">
        <f t="shared" si="59"/>
        <v>1.575999999</v>
      </c>
      <c r="N757" s="20">
        <f t="shared" si="56"/>
        <v>1.5081136514447728E-4</v>
      </c>
      <c r="O757" s="14">
        <f t="shared" si="57"/>
        <v>7.8799999950000004</v>
      </c>
      <c r="P757" s="20">
        <f t="shared" si="58"/>
        <v>0.2</v>
      </c>
    </row>
    <row r="758" spans="1:16" x14ac:dyDescent="0.25">
      <c r="A758">
        <v>1121585</v>
      </c>
      <c r="B758">
        <v>1178</v>
      </c>
      <c r="C758">
        <v>144621</v>
      </c>
      <c r="D758" t="s">
        <v>14</v>
      </c>
      <c r="E758" t="s">
        <v>12</v>
      </c>
      <c r="F758" s="5">
        <v>66</v>
      </c>
      <c r="G758" s="5">
        <v>9773</v>
      </c>
      <c r="H758" s="5">
        <v>1</v>
      </c>
      <c r="I758" s="8">
        <v>1.460000038</v>
      </c>
      <c r="J758" s="5">
        <v>1</v>
      </c>
      <c r="K758" s="5">
        <v>0</v>
      </c>
      <c r="L758" s="14">
        <f t="shared" si="55"/>
        <v>0.14939118366929297</v>
      </c>
      <c r="M758" s="14">
        <f t="shared" si="59"/>
        <v>1.460000038</v>
      </c>
      <c r="N758" s="20">
        <f t="shared" si="56"/>
        <v>1.0232272587741738E-4</v>
      </c>
      <c r="O758" s="14" t="str">
        <f t="shared" si="57"/>
        <v xml:space="preserve"> </v>
      </c>
      <c r="P758" s="20">
        <f t="shared" si="58"/>
        <v>0</v>
      </c>
    </row>
    <row r="759" spans="1:16" x14ac:dyDescent="0.25">
      <c r="A759">
        <v>1121589</v>
      </c>
      <c r="B759">
        <v>1178</v>
      </c>
      <c r="C759">
        <v>144622</v>
      </c>
      <c r="D759" t="s">
        <v>15</v>
      </c>
      <c r="E759" t="s">
        <v>12</v>
      </c>
      <c r="F759" s="5">
        <v>10</v>
      </c>
      <c r="G759" s="5">
        <v>464036</v>
      </c>
      <c r="H759" s="5">
        <v>77</v>
      </c>
      <c r="I759" s="8">
        <v>123.5500004</v>
      </c>
      <c r="J759" s="5">
        <v>3</v>
      </c>
      <c r="K759" s="5">
        <v>1</v>
      </c>
      <c r="L759" s="14">
        <f t="shared" si="55"/>
        <v>0.26625089518916639</v>
      </c>
      <c r="M759" s="14">
        <f t="shared" si="59"/>
        <v>1.6045454597402597</v>
      </c>
      <c r="N759" s="20">
        <f t="shared" si="56"/>
        <v>1.6593540156367178E-4</v>
      </c>
      <c r="O759" s="14">
        <f t="shared" si="57"/>
        <v>123.5500004</v>
      </c>
      <c r="P759" s="20">
        <f t="shared" si="58"/>
        <v>1.2987012987012988E-2</v>
      </c>
    </row>
    <row r="760" spans="1:16" x14ac:dyDescent="0.25">
      <c r="A760">
        <v>1121590</v>
      </c>
      <c r="B760">
        <v>1178</v>
      </c>
      <c r="C760">
        <v>144622</v>
      </c>
      <c r="D760" t="s">
        <v>15</v>
      </c>
      <c r="E760" t="s">
        <v>12</v>
      </c>
      <c r="F760" s="5">
        <v>10</v>
      </c>
      <c r="G760" s="5">
        <v>478480</v>
      </c>
      <c r="H760" s="5">
        <v>75</v>
      </c>
      <c r="I760" s="8">
        <v>135.75000120000001</v>
      </c>
      <c r="J760" s="5">
        <v>3</v>
      </c>
      <c r="K760" s="5">
        <v>1</v>
      </c>
      <c r="L760" s="14">
        <f t="shared" si="55"/>
        <v>0.28371092041464641</v>
      </c>
      <c r="M760" s="14">
        <f t="shared" si="59"/>
        <v>1.8100000160000003</v>
      </c>
      <c r="N760" s="20">
        <f t="shared" si="56"/>
        <v>1.5674636348436715E-4</v>
      </c>
      <c r="O760" s="14">
        <f t="shared" si="57"/>
        <v>135.75000120000001</v>
      </c>
      <c r="P760" s="20">
        <f t="shared" si="58"/>
        <v>1.3333333333333334E-2</v>
      </c>
    </row>
    <row r="761" spans="1:16" x14ac:dyDescent="0.25">
      <c r="A761">
        <v>1121592</v>
      </c>
      <c r="B761">
        <v>1178</v>
      </c>
      <c r="C761">
        <v>144622</v>
      </c>
      <c r="D761" t="s">
        <v>15</v>
      </c>
      <c r="E761" t="s">
        <v>12</v>
      </c>
      <c r="F761" s="5">
        <v>10</v>
      </c>
      <c r="G761" s="5">
        <v>428812</v>
      </c>
      <c r="H761" s="5">
        <v>66</v>
      </c>
      <c r="I761" s="8">
        <v>116.8800001</v>
      </c>
      <c r="J761" s="5">
        <v>4</v>
      </c>
      <c r="K761" s="5">
        <v>2</v>
      </c>
      <c r="L761" s="14">
        <f t="shared" si="55"/>
        <v>0.27256699929106465</v>
      </c>
      <c r="M761" s="14">
        <f t="shared" si="59"/>
        <v>1.7709090924242425</v>
      </c>
      <c r="N761" s="20">
        <f t="shared" si="56"/>
        <v>1.5391360316409055E-4</v>
      </c>
      <c r="O761" s="14">
        <f t="shared" si="57"/>
        <v>58.440000050000002</v>
      </c>
      <c r="P761" s="20">
        <f t="shared" si="58"/>
        <v>3.0303030303030304E-2</v>
      </c>
    </row>
    <row r="762" spans="1:16" x14ac:dyDescent="0.25">
      <c r="A762">
        <v>1121593</v>
      </c>
      <c r="B762">
        <v>1178</v>
      </c>
      <c r="C762">
        <v>144622</v>
      </c>
      <c r="D762" t="s">
        <v>15</v>
      </c>
      <c r="E762" t="s">
        <v>12</v>
      </c>
      <c r="F762" s="5">
        <v>10</v>
      </c>
      <c r="G762" s="5">
        <v>1177535</v>
      </c>
      <c r="H762" s="5">
        <v>221</v>
      </c>
      <c r="I762" s="8">
        <v>365.6600009</v>
      </c>
      <c r="J762" s="5">
        <v>15</v>
      </c>
      <c r="K762" s="5">
        <v>3</v>
      </c>
      <c r="L762" s="14">
        <f t="shared" si="55"/>
        <v>0.31053004870343554</v>
      </c>
      <c r="M762" s="14">
        <f t="shared" si="59"/>
        <v>1.6545701398190045</v>
      </c>
      <c r="N762" s="20">
        <f t="shared" si="56"/>
        <v>1.8768019634235925E-4</v>
      </c>
      <c r="O762" s="14">
        <f t="shared" si="57"/>
        <v>121.88666696666667</v>
      </c>
      <c r="P762" s="20">
        <f t="shared" si="58"/>
        <v>1.3574660633484163E-2</v>
      </c>
    </row>
    <row r="763" spans="1:16" x14ac:dyDescent="0.25">
      <c r="A763">
        <v>1121594</v>
      </c>
      <c r="B763">
        <v>1178</v>
      </c>
      <c r="C763">
        <v>144622</v>
      </c>
      <c r="D763" t="s">
        <v>15</v>
      </c>
      <c r="E763" t="s">
        <v>12</v>
      </c>
      <c r="F763" s="5">
        <v>10</v>
      </c>
      <c r="G763" s="5">
        <v>426500</v>
      </c>
      <c r="H763" s="5">
        <v>72</v>
      </c>
      <c r="I763" s="8">
        <v>128.27999879999999</v>
      </c>
      <c r="J763" s="5">
        <v>4</v>
      </c>
      <c r="K763" s="5">
        <v>1</v>
      </c>
      <c r="L763" s="14">
        <f t="shared" si="55"/>
        <v>0.30077373692848763</v>
      </c>
      <c r="M763" s="14">
        <f t="shared" si="59"/>
        <v>1.7816666499999998</v>
      </c>
      <c r="N763" s="20">
        <f t="shared" si="56"/>
        <v>1.6881594372801875E-4</v>
      </c>
      <c r="O763" s="14">
        <f t="shared" si="57"/>
        <v>128.27999879999999</v>
      </c>
      <c r="P763" s="20">
        <f t="shared" si="58"/>
        <v>1.3888888888888888E-2</v>
      </c>
    </row>
    <row r="764" spans="1:16" x14ac:dyDescent="0.25">
      <c r="A764">
        <v>1121597</v>
      </c>
      <c r="B764">
        <v>1178</v>
      </c>
      <c r="C764">
        <v>144623</v>
      </c>
      <c r="D764" t="s">
        <v>15</v>
      </c>
      <c r="E764" t="s">
        <v>12</v>
      </c>
      <c r="F764" s="5">
        <v>15</v>
      </c>
      <c r="G764" s="5">
        <v>54237</v>
      </c>
      <c r="H764" s="5">
        <v>7</v>
      </c>
      <c r="I764" s="8">
        <v>10.779999849999999</v>
      </c>
      <c r="J764" s="5">
        <v>2</v>
      </c>
      <c r="K764" s="5">
        <v>1</v>
      </c>
      <c r="L764" s="14">
        <f t="shared" si="55"/>
        <v>0.19875730313254789</v>
      </c>
      <c r="M764" s="14">
        <f t="shared" si="59"/>
        <v>1.5399999785714285</v>
      </c>
      <c r="N764" s="20">
        <f t="shared" si="56"/>
        <v>1.2906318564817376E-4</v>
      </c>
      <c r="O764" s="14">
        <f t="shared" si="57"/>
        <v>10.779999849999999</v>
      </c>
      <c r="P764" s="20">
        <f t="shared" si="58"/>
        <v>0.14285714285714285</v>
      </c>
    </row>
    <row r="765" spans="1:16" x14ac:dyDescent="0.25">
      <c r="A765">
        <v>1121598</v>
      </c>
      <c r="B765">
        <v>1178</v>
      </c>
      <c r="C765">
        <v>144623</v>
      </c>
      <c r="D765" t="s">
        <v>15</v>
      </c>
      <c r="E765" t="s">
        <v>12</v>
      </c>
      <c r="F765" s="5">
        <v>15</v>
      </c>
      <c r="G765" s="5">
        <v>506916</v>
      </c>
      <c r="H765" s="5">
        <v>89</v>
      </c>
      <c r="I765" s="8">
        <v>133.69999859999999</v>
      </c>
      <c r="J765" s="5">
        <v>2</v>
      </c>
      <c r="K765" s="5">
        <v>2</v>
      </c>
      <c r="L765" s="14">
        <f t="shared" si="55"/>
        <v>0.2637517825438534</v>
      </c>
      <c r="M765" s="14">
        <f t="shared" si="59"/>
        <v>1.5022471752808988</v>
      </c>
      <c r="N765" s="20">
        <f t="shared" si="56"/>
        <v>1.7557149508005271E-4</v>
      </c>
      <c r="O765" s="14">
        <f t="shared" si="57"/>
        <v>66.849999299999993</v>
      </c>
      <c r="P765" s="20">
        <f t="shared" si="58"/>
        <v>2.247191011235955E-2</v>
      </c>
    </row>
    <row r="766" spans="1:16" x14ac:dyDescent="0.25">
      <c r="A766">
        <v>1121599</v>
      </c>
      <c r="B766">
        <v>1178</v>
      </c>
      <c r="C766">
        <v>144623</v>
      </c>
      <c r="D766" t="s">
        <v>15</v>
      </c>
      <c r="E766" t="s">
        <v>12</v>
      </c>
      <c r="F766" s="5">
        <v>15</v>
      </c>
      <c r="G766" s="5">
        <v>250960</v>
      </c>
      <c r="H766" s="5">
        <v>42</v>
      </c>
      <c r="I766" s="8">
        <v>64.879999519999998</v>
      </c>
      <c r="J766" s="5">
        <v>2</v>
      </c>
      <c r="K766" s="5">
        <v>0</v>
      </c>
      <c r="L766" s="14">
        <f t="shared" si="55"/>
        <v>0.25852725342684091</v>
      </c>
      <c r="M766" s="14">
        <f t="shared" si="59"/>
        <v>1.5447618933333334</v>
      </c>
      <c r="N766" s="20">
        <f t="shared" si="56"/>
        <v>1.673573477845075E-4</v>
      </c>
      <c r="O766" s="14" t="str">
        <f t="shared" si="57"/>
        <v xml:space="preserve"> </v>
      </c>
      <c r="P766" s="20">
        <f t="shared" si="58"/>
        <v>0</v>
      </c>
    </row>
    <row r="767" spans="1:16" x14ac:dyDescent="0.25">
      <c r="A767">
        <v>1121601</v>
      </c>
      <c r="B767">
        <v>1178</v>
      </c>
      <c r="C767">
        <v>144624</v>
      </c>
      <c r="D767" t="s">
        <v>15</v>
      </c>
      <c r="E767" t="s">
        <v>12</v>
      </c>
      <c r="F767" s="5">
        <v>16</v>
      </c>
      <c r="G767" s="5">
        <v>2286228</v>
      </c>
      <c r="H767" s="5">
        <v>353</v>
      </c>
      <c r="I767" s="8">
        <v>603.38000199999999</v>
      </c>
      <c r="J767" s="5">
        <v>16</v>
      </c>
      <c r="K767" s="5">
        <v>7</v>
      </c>
      <c r="L767" s="14">
        <f t="shared" si="55"/>
        <v>0.26391943498198783</v>
      </c>
      <c r="M767" s="14">
        <f t="shared" si="59"/>
        <v>1.7092917903682718</v>
      </c>
      <c r="N767" s="20">
        <f t="shared" si="56"/>
        <v>1.5440279797115599E-4</v>
      </c>
      <c r="O767" s="14">
        <f t="shared" si="57"/>
        <v>86.197143142857144</v>
      </c>
      <c r="P767" s="20">
        <f t="shared" si="58"/>
        <v>1.9830028328611898E-2</v>
      </c>
    </row>
    <row r="768" spans="1:16" x14ac:dyDescent="0.25">
      <c r="A768">
        <v>1121602</v>
      </c>
      <c r="B768">
        <v>1178</v>
      </c>
      <c r="C768">
        <v>144624</v>
      </c>
      <c r="D768" t="s">
        <v>15</v>
      </c>
      <c r="E768" t="s">
        <v>12</v>
      </c>
      <c r="F768" s="5">
        <v>16</v>
      </c>
      <c r="G768" s="5">
        <v>915451</v>
      </c>
      <c r="H768" s="5">
        <v>125</v>
      </c>
      <c r="I768" s="8">
        <v>220.559999</v>
      </c>
      <c r="J768" s="5">
        <v>6</v>
      </c>
      <c r="K768" s="5">
        <v>1</v>
      </c>
      <c r="L768" s="14">
        <f t="shared" si="55"/>
        <v>0.24093042554981098</v>
      </c>
      <c r="M768" s="14">
        <f t="shared" si="59"/>
        <v>1.7644799920000001</v>
      </c>
      <c r="N768" s="20">
        <f t="shared" si="56"/>
        <v>1.3654471948799007E-4</v>
      </c>
      <c r="O768" s="14">
        <f t="shared" si="57"/>
        <v>220.559999</v>
      </c>
      <c r="P768" s="20">
        <f t="shared" si="58"/>
        <v>8.0000000000000002E-3</v>
      </c>
    </row>
    <row r="769" spans="1:16" x14ac:dyDescent="0.25">
      <c r="A769">
        <v>1121603</v>
      </c>
      <c r="B769">
        <v>1178</v>
      </c>
      <c r="C769">
        <v>144624</v>
      </c>
      <c r="D769" t="s">
        <v>15</v>
      </c>
      <c r="E769" t="s">
        <v>12</v>
      </c>
      <c r="F769" s="5">
        <v>16</v>
      </c>
      <c r="G769" s="5">
        <v>159478</v>
      </c>
      <c r="H769" s="5">
        <v>20</v>
      </c>
      <c r="I769" s="8">
        <v>33.899999979999997</v>
      </c>
      <c r="J769" s="5">
        <v>3</v>
      </c>
      <c r="K769" s="5">
        <v>1</v>
      </c>
      <c r="L769" s="14">
        <f t="shared" si="55"/>
        <v>0.21256850462132706</v>
      </c>
      <c r="M769" s="14">
        <f t="shared" si="59"/>
        <v>1.6949999989999998</v>
      </c>
      <c r="N769" s="20">
        <f t="shared" si="56"/>
        <v>1.2540914734320721E-4</v>
      </c>
      <c r="O769" s="14">
        <f t="shared" si="57"/>
        <v>33.899999979999997</v>
      </c>
      <c r="P769" s="20">
        <f t="shared" si="58"/>
        <v>0.05</v>
      </c>
    </row>
    <row r="770" spans="1:16" x14ac:dyDescent="0.25">
      <c r="A770">
        <v>1121605</v>
      </c>
      <c r="B770">
        <v>1178</v>
      </c>
      <c r="C770">
        <v>144624</v>
      </c>
      <c r="D770" t="s">
        <v>15</v>
      </c>
      <c r="E770" t="s">
        <v>12</v>
      </c>
      <c r="F770" s="5">
        <v>16</v>
      </c>
      <c r="G770" s="5">
        <v>1228924</v>
      </c>
      <c r="H770" s="5">
        <v>190</v>
      </c>
      <c r="I770" s="8">
        <v>318.97000320000001</v>
      </c>
      <c r="J770" s="5">
        <v>6</v>
      </c>
      <c r="K770" s="5">
        <v>3</v>
      </c>
      <c r="L770" s="14">
        <f t="shared" si="55"/>
        <v>0.25955226132779569</v>
      </c>
      <c r="M770" s="14">
        <f t="shared" si="59"/>
        <v>1.6787894905263159</v>
      </c>
      <c r="N770" s="20">
        <f t="shared" si="56"/>
        <v>1.5460679423625871E-4</v>
      </c>
      <c r="O770" s="14">
        <f t="shared" si="57"/>
        <v>106.32333440000001</v>
      </c>
      <c r="P770" s="20">
        <f t="shared" si="58"/>
        <v>1.5789473684210527E-2</v>
      </c>
    </row>
    <row r="771" spans="1:16" x14ac:dyDescent="0.25">
      <c r="A771">
        <v>1121606</v>
      </c>
      <c r="B771">
        <v>1178</v>
      </c>
      <c r="C771">
        <v>144624</v>
      </c>
      <c r="D771" t="s">
        <v>15</v>
      </c>
      <c r="E771" t="s">
        <v>12</v>
      </c>
      <c r="F771" s="5">
        <v>16</v>
      </c>
      <c r="G771" s="5">
        <v>938283</v>
      </c>
      <c r="H771" s="5">
        <v>134</v>
      </c>
      <c r="I771" s="8">
        <v>248.64000010000001</v>
      </c>
      <c r="J771" s="5">
        <v>7</v>
      </c>
      <c r="K771" s="5">
        <v>2</v>
      </c>
      <c r="L771" s="14">
        <f t="shared" ref="L771:L834" si="60">IF(G771=0,0,(I771/G771)*1000)</f>
        <v>0.26499467655280978</v>
      </c>
      <c r="M771" s="14">
        <f t="shared" si="59"/>
        <v>1.8555223888059702</v>
      </c>
      <c r="N771" s="20">
        <f t="shared" ref="N771:N834" si="61">IF(G771=0,0,(H771/G771))</f>
        <v>1.4281405503456846E-4</v>
      </c>
      <c r="O771" s="14">
        <f t="shared" ref="O771:O834" si="62">IF(K771&gt;0, I771/K771, " ")</f>
        <v>124.32000005</v>
      </c>
      <c r="P771" s="20">
        <f t="shared" ref="P771:P834" si="63">IF(H771=0,0,(K771/H771))</f>
        <v>1.4925373134328358E-2</v>
      </c>
    </row>
    <row r="772" spans="1:16" x14ac:dyDescent="0.25">
      <c r="A772">
        <v>1121607</v>
      </c>
      <c r="B772">
        <v>1178</v>
      </c>
      <c r="C772">
        <v>144625</v>
      </c>
      <c r="D772" t="s">
        <v>15</v>
      </c>
      <c r="E772" t="s">
        <v>12</v>
      </c>
      <c r="F772" s="5">
        <v>18</v>
      </c>
      <c r="G772" s="5">
        <v>154572</v>
      </c>
      <c r="H772" s="5">
        <v>26</v>
      </c>
      <c r="I772" s="8">
        <v>40.930000069999998</v>
      </c>
      <c r="J772" s="5">
        <v>1</v>
      </c>
      <c r="K772" s="5">
        <v>1</v>
      </c>
      <c r="L772" s="14">
        <f t="shared" si="60"/>
        <v>0.26479569436896716</v>
      </c>
      <c r="M772" s="14">
        <f t="shared" si="59"/>
        <v>1.5742307719230768</v>
      </c>
      <c r="N772" s="20">
        <f t="shared" si="61"/>
        <v>1.6820640219444659E-4</v>
      </c>
      <c r="O772" s="14">
        <f t="shared" si="62"/>
        <v>40.930000069999998</v>
      </c>
      <c r="P772" s="20">
        <f t="shared" si="63"/>
        <v>3.8461538461538464E-2</v>
      </c>
    </row>
    <row r="773" spans="1:16" x14ac:dyDescent="0.25">
      <c r="A773">
        <v>1121609</v>
      </c>
      <c r="B773">
        <v>1178</v>
      </c>
      <c r="C773">
        <v>144625</v>
      </c>
      <c r="D773" t="s">
        <v>15</v>
      </c>
      <c r="E773" t="s">
        <v>12</v>
      </c>
      <c r="F773" s="5">
        <v>18</v>
      </c>
      <c r="G773" s="5">
        <v>378171</v>
      </c>
      <c r="H773" s="5">
        <v>70</v>
      </c>
      <c r="I773" s="8">
        <v>109.2500008</v>
      </c>
      <c r="J773" s="5">
        <v>1</v>
      </c>
      <c r="K773" s="5">
        <v>0</v>
      </c>
      <c r="L773" s="14">
        <f t="shared" si="60"/>
        <v>0.28889047758818098</v>
      </c>
      <c r="M773" s="14">
        <f t="shared" ref="M773:M836" si="64">IF(H773&gt;0, I773/H773, " ")</f>
        <v>1.5607142971428571</v>
      </c>
      <c r="N773" s="20">
        <f t="shared" si="61"/>
        <v>1.8510144881548295E-4</v>
      </c>
      <c r="O773" s="14" t="str">
        <f t="shared" si="62"/>
        <v xml:space="preserve"> </v>
      </c>
      <c r="P773" s="20">
        <f t="shared" si="63"/>
        <v>0</v>
      </c>
    </row>
    <row r="774" spans="1:16" x14ac:dyDescent="0.25">
      <c r="A774">
        <v>1121612</v>
      </c>
      <c r="B774">
        <v>1178</v>
      </c>
      <c r="C774">
        <v>144625</v>
      </c>
      <c r="D774" t="s">
        <v>15</v>
      </c>
      <c r="E774" t="s">
        <v>12</v>
      </c>
      <c r="F774" s="5">
        <v>18</v>
      </c>
      <c r="G774" s="5">
        <v>468749</v>
      </c>
      <c r="H774" s="5">
        <v>84</v>
      </c>
      <c r="I774" s="8">
        <v>134.11999750000001</v>
      </c>
      <c r="J774" s="5">
        <v>6</v>
      </c>
      <c r="K774" s="5">
        <v>1</v>
      </c>
      <c r="L774" s="14">
        <f t="shared" si="60"/>
        <v>0.28612327172964636</v>
      </c>
      <c r="M774" s="14">
        <f t="shared" si="64"/>
        <v>1.596666636904762</v>
      </c>
      <c r="N774" s="20">
        <f t="shared" si="61"/>
        <v>1.7920038229414888E-4</v>
      </c>
      <c r="O774" s="14">
        <f t="shared" si="62"/>
        <v>134.11999750000001</v>
      </c>
      <c r="P774" s="20">
        <f t="shared" si="63"/>
        <v>1.1904761904761904E-2</v>
      </c>
    </row>
    <row r="775" spans="1:16" x14ac:dyDescent="0.25">
      <c r="A775">
        <v>1121613</v>
      </c>
      <c r="B775">
        <v>1178</v>
      </c>
      <c r="C775">
        <v>144626</v>
      </c>
      <c r="D775" t="s">
        <v>15</v>
      </c>
      <c r="E775" t="s">
        <v>12</v>
      </c>
      <c r="F775" s="5">
        <v>19</v>
      </c>
      <c r="G775" s="5">
        <v>309823</v>
      </c>
      <c r="H775" s="5">
        <v>60</v>
      </c>
      <c r="I775" s="8">
        <v>103.3899996</v>
      </c>
      <c r="J775" s="5">
        <v>4</v>
      </c>
      <c r="K775" s="5">
        <v>4</v>
      </c>
      <c r="L775" s="14">
        <f t="shared" si="60"/>
        <v>0.33370666348205263</v>
      </c>
      <c r="M775" s="14">
        <f t="shared" si="64"/>
        <v>1.72316666</v>
      </c>
      <c r="N775" s="20">
        <f t="shared" si="61"/>
        <v>1.9365896011593717E-4</v>
      </c>
      <c r="O775" s="14">
        <f t="shared" si="62"/>
        <v>25.847499899999999</v>
      </c>
      <c r="P775" s="20">
        <f t="shared" si="63"/>
        <v>6.6666666666666666E-2</v>
      </c>
    </row>
    <row r="776" spans="1:16" x14ac:dyDescent="0.25">
      <c r="A776">
        <v>1121615</v>
      </c>
      <c r="B776">
        <v>1178</v>
      </c>
      <c r="C776">
        <v>144626</v>
      </c>
      <c r="D776" t="s">
        <v>15</v>
      </c>
      <c r="E776" t="s">
        <v>12</v>
      </c>
      <c r="F776" s="5">
        <v>19</v>
      </c>
      <c r="G776" s="5">
        <v>327227</v>
      </c>
      <c r="H776" s="5">
        <v>65</v>
      </c>
      <c r="I776" s="8">
        <v>116.5599996</v>
      </c>
      <c r="J776" s="5">
        <v>5</v>
      </c>
      <c r="K776" s="5">
        <v>0</v>
      </c>
      <c r="L776" s="14">
        <f t="shared" si="60"/>
        <v>0.35620532413278855</v>
      </c>
      <c r="M776" s="14">
        <f t="shared" si="64"/>
        <v>1.7932307630769231</v>
      </c>
      <c r="N776" s="20">
        <f t="shared" si="61"/>
        <v>1.9863886537480098E-4</v>
      </c>
      <c r="O776" s="14" t="str">
        <f t="shared" si="62"/>
        <v xml:space="preserve"> </v>
      </c>
      <c r="P776" s="20">
        <f t="shared" si="63"/>
        <v>0</v>
      </c>
    </row>
    <row r="777" spans="1:16" x14ac:dyDescent="0.25">
      <c r="A777">
        <v>1121616</v>
      </c>
      <c r="B777">
        <v>1178</v>
      </c>
      <c r="C777">
        <v>144626</v>
      </c>
      <c r="D777" t="s">
        <v>15</v>
      </c>
      <c r="E777" t="s">
        <v>12</v>
      </c>
      <c r="F777" s="5">
        <v>19</v>
      </c>
      <c r="G777" s="5">
        <v>334945</v>
      </c>
      <c r="H777" s="5">
        <v>72</v>
      </c>
      <c r="I777" s="8">
        <v>120.2999994</v>
      </c>
      <c r="J777" s="5">
        <v>2</v>
      </c>
      <c r="K777" s="5">
        <v>1</v>
      </c>
      <c r="L777" s="14">
        <f t="shared" si="60"/>
        <v>0.3591634429533207</v>
      </c>
      <c r="M777" s="14">
        <f t="shared" si="64"/>
        <v>1.670833325</v>
      </c>
      <c r="N777" s="20">
        <f t="shared" si="61"/>
        <v>2.1496066518383614E-4</v>
      </c>
      <c r="O777" s="14">
        <f t="shared" si="62"/>
        <v>120.2999994</v>
      </c>
      <c r="P777" s="20">
        <f t="shared" si="63"/>
        <v>1.3888888888888888E-2</v>
      </c>
    </row>
    <row r="778" spans="1:16" x14ac:dyDescent="0.25">
      <c r="A778">
        <v>1121617</v>
      </c>
      <c r="B778">
        <v>1178</v>
      </c>
      <c r="C778">
        <v>144626</v>
      </c>
      <c r="D778" t="s">
        <v>15</v>
      </c>
      <c r="E778" t="s">
        <v>12</v>
      </c>
      <c r="F778" s="5">
        <v>19</v>
      </c>
      <c r="G778" s="5">
        <v>68859</v>
      </c>
      <c r="H778" s="5">
        <v>15</v>
      </c>
      <c r="I778" s="8">
        <v>25.459999679999999</v>
      </c>
      <c r="J778" s="5">
        <v>1</v>
      </c>
      <c r="K778" s="5">
        <v>0</v>
      </c>
      <c r="L778" s="14">
        <f t="shared" si="60"/>
        <v>0.36974106042783078</v>
      </c>
      <c r="M778" s="14">
        <f t="shared" si="64"/>
        <v>1.697333312</v>
      </c>
      <c r="N778" s="20">
        <f t="shared" si="61"/>
        <v>2.1783644839454538E-4</v>
      </c>
      <c r="O778" s="14" t="str">
        <f t="shared" si="62"/>
        <v xml:space="preserve"> </v>
      </c>
      <c r="P778" s="20">
        <f t="shared" si="63"/>
        <v>0</v>
      </c>
    </row>
    <row r="779" spans="1:16" x14ac:dyDescent="0.25">
      <c r="A779">
        <v>1121619</v>
      </c>
      <c r="B779">
        <v>1178</v>
      </c>
      <c r="C779">
        <v>144627</v>
      </c>
      <c r="D779" t="s">
        <v>15</v>
      </c>
      <c r="E779" t="s">
        <v>12</v>
      </c>
      <c r="F779" s="5">
        <v>20</v>
      </c>
      <c r="G779" s="5">
        <v>127125</v>
      </c>
      <c r="H779" s="5">
        <v>20</v>
      </c>
      <c r="I779" s="8">
        <v>35.67999983</v>
      </c>
      <c r="J779" s="5">
        <v>2</v>
      </c>
      <c r="K779" s="5">
        <v>0</v>
      </c>
      <c r="L779" s="14">
        <f t="shared" si="60"/>
        <v>0.28066863189773844</v>
      </c>
      <c r="M779" s="14">
        <f t="shared" si="64"/>
        <v>1.7839999915</v>
      </c>
      <c r="N779" s="20">
        <f t="shared" si="61"/>
        <v>1.5732546705998033E-4</v>
      </c>
      <c r="O779" s="14" t="str">
        <f t="shared" si="62"/>
        <v xml:space="preserve"> </v>
      </c>
      <c r="P779" s="20">
        <f t="shared" si="63"/>
        <v>0</v>
      </c>
    </row>
    <row r="780" spans="1:16" x14ac:dyDescent="0.25">
      <c r="A780">
        <v>1121620</v>
      </c>
      <c r="B780">
        <v>1178</v>
      </c>
      <c r="C780">
        <v>144627</v>
      </c>
      <c r="D780" t="s">
        <v>15</v>
      </c>
      <c r="E780" t="s">
        <v>12</v>
      </c>
      <c r="F780" s="5">
        <v>20</v>
      </c>
      <c r="G780" s="5">
        <v>415798</v>
      </c>
      <c r="H780" s="5">
        <v>80</v>
      </c>
      <c r="I780" s="8">
        <v>131.78000059999999</v>
      </c>
      <c r="J780" s="5">
        <v>3</v>
      </c>
      <c r="K780" s="5">
        <v>1</v>
      </c>
      <c r="L780" s="14">
        <f t="shared" si="60"/>
        <v>0.31693274282223577</v>
      </c>
      <c r="M780" s="14">
        <f t="shared" si="64"/>
        <v>1.6472500074999998</v>
      </c>
      <c r="N780" s="20">
        <f t="shared" si="61"/>
        <v>1.9240111785049472E-4</v>
      </c>
      <c r="O780" s="14">
        <f t="shared" si="62"/>
        <v>131.78000059999999</v>
      </c>
      <c r="P780" s="20">
        <f t="shared" si="63"/>
        <v>1.2500000000000001E-2</v>
      </c>
    </row>
    <row r="781" spans="1:16" x14ac:dyDescent="0.25">
      <c r="A781">
        <v>1121622</v>
      </c>
      <c r="B781">
        <v>1178</v>
      </c>
      <c r="C781">
        <v>144627</v>
      </c>
      <c r="D781" t="s">
        <v>15</v>
      </c>
      <c r="E781" t="s">
        <v>12</v>
      </c>
      <c r="F781" s="5">
        <v>20</v>
      </c>
      <c r="G781" s="5">
        <v>107671</v>
      </c>
      <c r="H781" s="5">
        <v>20</v>
      </c>
      <c r="I781" s="8">
        <v>29.91000021</v>
      </c>
      <c r="J781" s="5">
        <v>1</v>
      </c>
      <c r="K781" s="5">
        <v>1</v>
      </c>
      <c r="L781" s="14">
        <f t="shared" si="60"/>
        <v>0.27779067910579447</v>
      </c>
      <c r="M781" s="14">
        <f t="shared" si="64"/>
        <v>1.4955000105</v>
      </c>
      <c r="N781" s="20">
        <f t="shared" si="61"/>
        <v>1.8575103788392416E-4</v>
      </c>
      <c r="O781" s="14">
        <f t="shared" si="62"/>
        <v>29.91000021</v>
      </c>
      <c r="P781" s="20">
        <f t="shared" si="63"/>
        <v>0.05</v>
      </c>
    </row>
    <row r="782" spans="1:16" x14ac:dyDescent="0.25">
      <c r="A782">
        <v>1121623</v>
      </c>
      <c r="B782">
        <v>1178</v>
      </c>
      <c r="C782">
        <v>144627</v>
      </c>
      <c r="D782" t="s">
        <v>15</v>
      </c>
      <c r="E782" t="s">
        <v>12</v>
      </c>
      <c r="F782" s="5">
        <v>20</v>
      </c>
      <c r="G782" s="5">
        <v>164356</v>
      </c>
      <c r="H782" s="5">
        <v>28</v>
      </c>
      <c r="I782" s="8">
        <v>46.790000200000001</v>
      </c>
      <c r="J782" s="5">
        <v>2</v>
      </c>
      <c r="K782" s="5">
        <v>1</v>
      </c>
      <c r="L782" s="14">
        <f t="shared" si="60"/>
        <v>0.28468690038696487</v>
      </c>
      <c r="M782" s="14">
        <f t="shared" si="64"/>
        <v>1.6710714357142857</v>
      </c>
      <c r="N782" s="20">
        <f t="shared" si="61"/>
        <v>1.7036189734478813E-4</v>
      </c>
      <c r="O782" s="14">
        <f t="shared" si="62"/>
        <v>46.790000200000001</v>
      </c>
      <c r="P782" s="20">
        <f t="shared" si="63"/>
        <v>3.5714285714285712E-2</v>
      </c>
    </row>
    <row r="783" spans="1:16" x14ac:dyDescent="0.25">
      <c r="A783">
        <v>1121624</v>
      </c>
      <c r="B783">
        <v>1178</v>
      </c>
      <c r="C783">
        <v>144627</v>
      </c>
      <c r="D783" t="s">
        <v>15</v>
      </c>
      <c r="E783" t="s">
        <v>12</v>
      </c>
      <c r="F783" s="5">
        <v>20</v>
      </c>
      <c r="G783" s="5">
        <v>17662</v>
      </c>
      <c r="H783" s="5">
        <v>2</v>
      </c>
      <c r="I783" s="8">
        <v>3.1899999380000001</v>
      </c>
      <c r="J783" s="5">
        <v>1</v>
      </c>
      <c r="K783" s="5">
        <v>0</v>
      </c>
      <c r="L783" s="14">
        <f t="shared" si="60"/>
        <v>0.18061374351715548</v>
      </c>
      <c r="M783" s="14">
        <f t="shared" si="64"/>
        <v>1.5949999690000001</v>
      </c>
      <c r="N783" s="20">
        <f t="shared" si="61"/>
        <v>1.1323745895142112E-4</v>
      </c>
      <c r="O783" s="14" t="str">
        <f t="shared" si="62"/>
        <v xml:space="preserve"> </v>
      </c>
      <c r="P783" s="20">
        <f t="shared" si="63"/>
        <v>0</v>
      </c>
    </row>
    <row r="784" spans="1:16" x14ac:dyDescent="0.25">
      <c r="A784">
        <v>1121627</v>
      </c>
      <c r="B784">
        <v>1178</v>
      </c>
      <c r="C784">
        <v>144628</v>
      </c>
      <c r="D784" t="s">
        <v>15</v>
      </c>
      <c r="E784" t="s">
        <v>12</v>
      </c>
      <c r="F784" s="5">
        <v>21</v>
      </c>
      <c r="G784" s="5">
        <v>65339</v>
      </c>
      <c r="H784" s="5">
        <v>10</v>
      </c>
      <c r="I784" s="8">
        <v>16.67999983</v>
      </c>
      <c r="J784" s="5">
        <v>2</v>
      </c>
      <c r="K784" s="5">
        <v>0</v>
      </c>
      <c r="L784" s="14">
        <f t="shared" si="60"/>
        <v>0.25528397786926643</v>
      </c>
      <c r="M784" s="14">
        <f t="shared" si="64"/>
        <v>1.6679999830000001</v>
      </c>
      <c r="N784" s="20">
        <f t="shared" si="61"/>
        <v>1.5304794992271079E-4</v>
      </c>
      <c r="O784" s="14" t="str">
        <f t="shared" si="62"/>
        <v xml:space="preserve"> </v>
      </c>
      <c r="P784" s="20">
        <f t="shared" si="63"/>
        <v>0</v>
      </c>
    </row>
    <row r="785" spans="1:16" x14ac:dyDescent="0.25">
      <c r="A785">
        <v>1121628</v>
      </c>
      <c r="B785">
        <v>1178</v>
      </c>
      <c r="C785">
        <v>144628</v>
      </c>
      <c r="D785" t="s">
        <v>15</v>
      </c>
      <c r="E785" t="s">
        <v>12</v>
      </c>
      <c r="F785" s="5">
        <v>21</v>
      </c>
      <c r="G785" s="5">
        <v>59838</v>
      </c>
      <c r="H785" s="5">
        <v>7</v>
      </c>
      <c r="I785" s="8">
        <v>11.11000013</v>
      </c>
      <c r="J785" s="5">
        <v>1</v>
      </c>
      <c r="K785" s="5">
        <v>0</v>
      </c>
      <c r="L785" s="14">
        <f t="shared" si="60"/>
        <v>0.1856679723587018</v>
      </c>
      <c r="M785" s="14">
        <f t="shared" si="64"/>
        <v>1.5871428757142856</v>
      </c>
      <c r="N785" s="20">
        <f t="shared" si="61"/>
        <v>1.1698251946923359E-4</v>
      </c>
      <c r="O785" s="14" t="str">
        <f t="shared" si="62"/>
        <v xml:space="preserve"> </v>
      </c>
      <c r="P785" s="20">
        <f t="shared" si="63"/>
        <v>0</v>
      </c>
    </row>
    <row r="786" spans="1:16" x14ac:dyDescent="0.25">
      <c r="A786">
        <v>1121629</v>
      </c>
      <c r="B786">
        <v>1178</v>
      </c>
      <c r="C786">
        <v>144628</v>
      </c>
      <c r="D786" t="s">
        <v>15</v>
      </c>
      <c r="E786" t="s">
        <v>12</v>
      </c>
      <c r="F786" s="5">
        <v>21</v>
      </c>
      <c r="G786" s="5">
        <v>381577</v>
      </c>
      <c r="H786" s="5">
        <v>81</v>
      </c>
      <c r="I786" s="8">
        <v>127.56999930000001</v>
      </c>
      <c r="J786" s="5">
        <v>2</v>
      </c>
      <c r="K786" s="5">
        <v>0</v>
      </c>
      <c r="L786" s="14">
        <f t="shared" si="60"/>
        <v>0.33432308367642705</v>
      </c>
      <c r="M786" s="14">
        <f t="shared" si="64"/>
        <v>1.5749382629629631</v>
      </c>
      <c r="N786" s="20">
        <f t="shared" si="61"/>
        <v>2.1227694541337658E-4</v>
      </c>
      <c r="O786" s="14" t="str">
        <f t="shared" si="62"/>
        <v xml:space="preserve"> </v>
      </c>
      <c r="P786" s="20">
        <f t="shared" si="63"/>
        <v>0</v>
      </c>
    </row>
    <row r="787" spans="1:16" x14ac:dyDescent="0.25">
      <c r="A787">
        <v>1121635</v>
      </c>
      <c r="B787">
        <v>1178</v>
      </c>
      <c r="C787">
        <v>144629</v>
      </c>
      <c r="D787" t="s">
        <v>15</v>
      </c>
      <c r="E787" t="s">
        <v>12</v>
      </c>
      <c r="F787" s="5">
        <v>22</v>
      </c>
      <c r="G787" s="5">
        <v>45491</v>
      </c>
      <c r="H787" s="5">
        <v>8</v>
      </c>
      <c r="I787" s="8">
        <v>11.009999990000001</v>
      </c>
      <c r="J787" s="5">
        <v>1</v>
      </c>
      <c r="K787" s="5">
        <v>0</v>
      </c>
      <c r="L787" s="14">
        <f t="shared" si="60"/>
        <v>0.24202589501220023</v>
      </c>
      <c r="M787" s="14">
        <f t="shared" si="64"/>
        <v>1.3762499987500001</v>
      </c>
      <c r="N787" s="20">
        <f t="shared" si="61"/>
        <v>1.7585896111318723E-4</v>
      </c>
      <c r="O787" s="14" t="str">
        <f t="shared" si="62"/>
        <v xml:space="preserve"> </v>
      </c>
      <c r="P787" s="20">
        <f t="shared" si="63"/>
        <v>0</v>
      </c>
    </row>
    <row r="788" spans="1:16" x14ac:dyDescent="0.25">
      <c r="A788">
        <v>1121638</v>
      </c>
      <c r="B788">
        <v>1178</v>
      </c>
      <c r="C788">
        <v>144630</v>
      </c>
      <c r="D788" t="s">
        <v>15</v>
      </c>
      <c r="E788" t="s">
        <v>12</v>
      </c>
      <c r="F788" s="5">
        <v>23</v>
      </c>
      <c r="G788" s="5">
        <v>18946</v>
      </c>
      <c r="H788" s="5">
        <v>2</v>
      </c>
      <c r="I788" s="8">
        <v>3.5999999049999998</v>
      </c>
      <c r="J788" s="5">
        <v>1</v>
      </c>
      <c r="K788" s="5">
        <v>0</v>
      </c>
      <c r="L788" s="14">
        <f t="shared" si="60"/>
        <v>0.19001371819909216</v>
      </c>
      <c r="M788" s="14">
        <f t="shared" si="64"/>
        <v>1.7999999524999999</v>
      </c>
      <c r="N788" s="20">
        <f t="shared" si="61"/>
        <v>1.0556317956296844E-4</v>
      </c>
      <c r="O788" s="14" t="str">
        <f t="shared" si="62"/>
        <v xml:space="preserve"> </v>
      </c>
      <c r="P788" s="20">
        <f t="shared" si="63"/>
        <v>0</v>
      </c>
    </row>
    <row r="789" spans="1:16" x14ac:dyDescent="0.25">
      <c r="A789">
        <v>1121641</v>
      </c>
      <c r="B789">
        <v>1178</v>
      </c>
      <c r="C789">
        <v>144630</v>
      </c>
      <c r="D789" t="s">
        <v>15</v>
      </c>
      <c r="E789" t="s">
        <v>12</v>
      </c>
      <c r="F789" s="5">
        <v>23</v>
      </c>
      <c r="G789" s="5">
        <v>114370</v>
      </c>
      <c r="H789" s="5">
        <v>18</v>
      </c>
      <c r="I789" s="8">
        <v>33.659999970000001</v>
      </c>
      <c r="J789" s="5">
        <v>1</v>
      </c>
      <c r="K789" s="5">
        <v>0</v>
      </c>
      <c r="L789" s="14">
        <f t="shared" si="60"/>
        <v>0.29430794762612572</v>
      </c>
      <c r="M789" s="14">
        <f t="shared" si="64"/>
        <v>1.8699999983333333</v>
      </c>
      <c r="N789" s="20">
        <f t="shared" si="61"/>
        <v>1.5738392935210282E-4</v>
      </c>
      <c r="O789" s="14" t="str">
        <f t="shared" si="62"/>
        <v xml:space="preserve"> </v>
      </c>
      <c r="P789" s="20">
        <f t="shared" si="63"/>
        <v>0</v>
      </c>
    </row>
    <row r="790" spans="1:16" x14ac:dyDescent="0.25">
      <c r="A790">
        <v>1121642</v>
      </c>
      <c r="B790">
        <v>1178</v>
      </c>
      <c r="C790">
        <v>144630</v>
      </c>
      <c r="D790" t="s">
        <v>15</v>
      </c>
      <c r="E790" t="s">
        <v>12</v>
      </c>
      <c r="F790" s="5">
        <v>23</v>
      </c>
      <c r="G790" s="5">
        <v>99698</v>
      </c>
      <c r="H790" s="5">
        <v>21</v>
      </c>
      <c r="I790" s="8">
        <v>33.3499999</v>
      </c>
      <c r="J790" s="5">
        <v>1</v>
      </c>
      <c r="K790" s="5">
        <v>0</v>
      </c>
      <c r="L790" s="14">
        <f t="shared" si="60"/>
        <v>0.33451021986398927</v>
      </c>
      <c r="M790" s="14">
        <f t="shared" si="64"/>
        <v>1.5880952333333334</v>
      </c>
      <c r="N790" s="20">
        <f t="shared" si="61"/>
        <v>2.1063612108567875E-4</v>
      </c>
      <c r="O790" s="14" t="str">
        <f t="shared" si="62"/>
        <v xml:space="preserve"> </v>
      </c>
      <c r="P790" s="20">
        <f t="shared" si="63"/>
        <v>0</v>
      </c>
    </row>
    <row r="791" spans="1:16" x14ac:dyDescent="0.25">
      <c r="A791">
        <v>1121644</v>
      </c>
      <c r="B791">
        <v>1178</v>
      </c>
      <c r="C791">
        <v>144631</v>
      </c>
      <c r="D791" t="s">
        <v>15</v>
      </c>
      <c r="E791" t="s">
        <v>12</v>
      </c>
      <c r="F791" s="5">
        <v>24</v>
      </c>
      <c r="G791" s="5">
        <v>355165</v>
      </c>
      <c r="H791" s="5">
        <v>81</v>
      </c>
      <c r="I791" s="8">
        <v>128.6099997</v>
      </c>
      <c r="J791" s="5">
        <v>4</v>
      </c>
      <c r="K791" s="5">
        <v>3</v>
      </c>
      <c r="L791" s="14">
        <f t="shared" si="60"/>
        <v>0.36211338307547197</v>
      </c>
      <c r="M791" s="14">
        <f t="shared" si="64"/>
        <v>1.5877777740740742</v>
      </c>
      <c r="N791" s="20">
        <f t="shared" si="61"/>
        <v>2.2806301296580462E-4</v>
      </c>
      <c r="O791" s="14">
        <f t="shared" si="62"/>
        <v>42.869999900000003</v>
      </c>
      <c r="P791" s="20">
        <f t="shared" si="63"/>
        <v>3.7037037037037035E-2</v>
      </c>
    </row>
    <row r="792" spans="1:16" x14ac:dyDescent="0.25">
      <c r="A792">
        <v>1121650</v>
      </c>
      <c r="B792">
        <v>1178</v>
      </c>
      <c r="C792">
        <v>144632</v>
      </c>
      <c r="D792" t="s">
        <v>15</v>
      </c>
      <c r="E792" t="s">
        <v>12</v>
      </c>
      <c r="F792" s="5">
        <v>25</v>
      </c>
      <c r="G792" s="5">
        <v>101431</v>
      </c>
      <c r="H792" s="5">
        <v>23</v>
      </c>
      <c r="I792" s="8">
        <v>33.930000309999997</v>
      </c>
      <c r="J792" s="5">
        <v>1</v>
      </c>
      <c r="K792" s="5">
        <v>1</v>
      </c>
      <c r="L792" s="14">
        <f t="shared" si="60"/>
        <v>0.3345131203478226</v>
      </c>
      <c r="M792" s="14">
        <f t="shared" si="64"/>
        <v>1.4752174047826085</v>
      </c>
      <c r="N792" s="20">
        <f t="shared" si="61"/>
        <v>2.2675513403200206E-4</v>
      </c>
      <c r="O792" s="14">
        <f t="shared" si="62"/>
        <v>33.930000309999997</v>
      </c>
      <c r="P792" s="20">
        <f t="shared" si="63"/>
        <v>4.3478260869565216E-2</v>
      </c>
    </row>
    <row r="793" spans="1:16" x14ac:dyDescent="0.25">
      <c r="A793">
        <v>1121652</v>
      </c>
      <c r="B793">
        <v>1178</v>
      </c>
      <c r="C793">
        <v>144632</v>
      </c>
      <c r="D793" t="s">
        <v>15</v>
      </c>
      <c r="E793" t="s">
        <v>12</v>
      </c>
      <c r="F793" s="5">
        <v>25</v>
      </c>
      <c r="G793" s="5">
        <v>123151</v>
      </c>
      <c r="H793" s="5">
        <v>24</v>
      </c>
      <c r="I793" s="8">
        <v>36.440000300000001</v>
      </c>
      <c r="J793" s="5">
        <v>2</v>
      </c>
      <c r="K793" s="5">
        <v>1</v>
      </c>
      <c r="L793" s="14">
        <f t="shared" si="60"/>
        <v>0.29589690948510367</v>
      </c>
      <c r="M793" s="14">
        <f t="shared" si="64"/>
        <v>1.5183333458333335</v>
      </c>
      <c r="N793" s="20">
        <f t="shared" si="61"/>
        <v>1.9488270497194501E-4</v>
      </c>
      <c r="O793" s="14">
        <f t="shared" si="62"/>
        <v>36.440000300000001</v>
      </c>
      <c r="P793" s="20">
        <f t="shared" si="63"/>
        <v>4.1666666666666664E-2</v>
      </c>
    </row>
    <row r="794" spans="1:16" x14ac:dyDescent="0.25">
      <c r="A794">
        <v>1121660</v>
      </c>
      <c r="B794">
        <v>1178</v>
      </c>
      <c r="C794">
        <v>144633</v>
      </c>
      <c r="D794" t="s">
        <v>15</v>
      </c>
      <c r="E794" t="s">
        <v>12</v>
      </c>
      <c r="F794" s="5">
        <v>26</v>
      </c>
      <c r="G794" s="5">
        <v>24078</v>
      </c>
      <c r="H794" s="5">
        <v>4</v>
      </c>
      <c r="I794" s="8">
        <v>5.7699999809999998</v>
      </c>
      <c r="J794" s="5">
        <v>1</v>
      </c>
      <c r="K794" s="5">
        <v>0</v>
      </c>
      <c r="L794" s="14">
        <f t="shared" si="60"/>
        <v>0.2396378428856217</v>
      </c>
      <c r="M794" s="14">
        <f t="shared" si="64"/>
        <v>1.4424999952499999</v>
      </c>
      <c r="N794" s="20">
        <f t="shared" si="61"/>
        <v>1.6612675471384668E-4</v>
      </c>
      <c r="O794" s="14" t="str">
        <f t="shared" si="62"/>
        <v xml:space="preserve"> </v>
      </c>
      <c r="P794" s="20">
        <f t="shared" si="63"/>
        <v>0</v>
      </c>
    </row>
    <row r="795" spans="1:16" x14ac:dyDescent="0.25">
      <c r="A795">
        <v>1121661</v>
      </c>
      <c r="B795">
        <v>1178</v>
      </c>
      <c r="C795">
        <v>144634</v>
      </c>
      <c r="D795" t="s">
        <v>15</v>
      </c>
      <c r="E795" t="s">
        <v>12</v>
      </c>
      <c r="F795" s="5">
        <v>27</v>
      </c>
      <c r="G795" s="5">
        <v>517801</v>
      </c>
      <c r="H795" s="5">
        <v>105</v>
      </c>
      <c r="I795" s="8">
        <v>181.72000109999999</v>
      </c>
      <c r="J795" s="5">
        <v>3</v>
      </c>
      <c r="K795" s="5">
        <v>0</v>
      </c>
      <c r="L795" s="14">
        <f t="shared" si="60"/>
        <v>0.35094563567857151</v>
      </c>
      <c r="M795" s="14">
        <f t="shared" si="64"/>
        <v>1.7306666771428572</v>
      </c>
      <c r="N795" s="20">
        <f t="shared" si="61"/>
        <v>2.0278060490420066E-4</v>
      </c>
      <c r="O795" s="14" t="str">
        <f t="shared" si="62"/>
        <v xml:space="preserve"> </v>
      </c>
      <c r="P795" s="20">
        <f t="shared" si="63"/>
        <v>0</v>
      </c>
    </row>
    <row r="796" spans="1:16" x14ac:dyDescent="0.25">
      <c r="A796">
        <v>1121662</v>
      </c>
      <c r="B796">
        <v>1178</v>
      </c>
      <c r="C796">
        <v>144634</v>
      </c>
      <c r="D796" t="s">
        <v>15</v>
      </c>
      <c r="E796" t="s">
        <v>12</v>
      </c>
      <c r="F796" s="5">
        <v>27</v>
      </c>
      <c r="G796" s="5">
        <v>145104</v>
      </c>
      <c r="H796" s="5">
        <v>25</v>
      </c>
      <c r="I796" s="8">
        <v>41.420000080000001</v>
      </c>
      <c r="J796" s="5">
        <v>2</v>
      </c>
      <c r="K796" s="5">
        <v>1</v>
      </c>
      <c r="L796" s="14">
        <f t="shared" si="60"/>
        <v>0.2854504361010034</v>
      </c>
      <c r="M796" s="14">
        <f t="shared" si="64"/>
        <v>1.6568000032000001</v>
      </c>
      <c r="N796" s="20">
        <f t="shared" si="61"/>
        <v>1.7229021942882346E-4</v>
      </c>
      <c r="O796" s="14">
        <f t="shared" si="62"/>
        <v>41.420000080000001</v>
      </c>
      <c r="P796" s="20">
        <f t="shared" si="63"/>
        <v>0.04</v>
      </c>
    </row>
    <row r="797" spans="1:16" x14ac:dyDescent="0.25">
      <c r="A797">
        <v>1121664</v>
      </c>
      <c r="B797">
        <v>1178</v>
      </c>
      <c r="C797">
        <v>144634</v>
      </c>
      <c r="D797" t="s">
        <v>15</v>
      </c>
      <c r="E797" t="s">
        <v>12</v>
      </c>
      <c r="F797" s="5">
        <v>27</v>
      </c>
      <c r="G797" s="5">
        <v>179950</v>
      </c>
      <c r="H797" s="5">
        <v>35</v>
      </c>
      <c r="I797" s="8">
        <v>58.679999709999997</v>
      </c>
      <c r="J797" s="5">
        <v>1</v>
      </c>
      <c r="K797" s="5">
        <v>0</v>
      </c>
      <c r="L797" s="14">
        <f t="shared" si="60"/>
        <v>0.32609057910530703</v>
      </c>
      <c r="M797" s="14">
        <f t="shared" si="64"/>
        <v>1.6765714202857143</v>
      </c>
      <c r="N797" s="20">
        <f t="shared" si="61"/>
        <v>1.9449847179772158E-4</v>
      </c>
      <c r="O797" s="14" t="str">
        <f t="shared" si="62"/>
        <v xml:space="preserve"> </v>
      </c>
      <c r="P797" s="20">
        <f t="shared" si="63"/>
        <v>0</v>
      </c>
    </row>
    <row r="798" spans="1:16" x14ac:dyDescent="0.25">
      <c r="A798">
        <v>1121665</v>
      </c>
      <c r="B798">
        <v>1178</v>
      </c>
      <c r="C798">
        <v>144634</v>
      </c>
      <c r="D798" t="s">
        <v>15</v>
      </c>
      <c r="E798" t="s">
        <v>12</v>
      </c>
      <c r="F798" s="5">
        <v>27</v>
      </c>
      <c r="G798" s="5">
        <v>258531</v>
      </c>
      <c r="H798" s="5">
        <v>46</v>
      </c>
      <c r="I798" s="8">
        <v>80.339999789999993</v>
      </c>
      <c r="J798" s="5">
        <v>2</v>
      </c>
      <c r="K798" s="5">
        <v>0</v>
      </c>
      <c r="L798" s="14">
        <f t="shared" si="60"/>
        <v>0.31075576928878934</v>
      </c>
      <c r="M798" s="14">
        <f t="shared" si="64"/>
        <v>1.7465217345652173</v>
      </c>
      <c r="N798" s="20">
        <f t="shared" si="61"/>
        <v>1.7792837222615471E-4</v>
      </c>
      <c r="O798" s="14" t="str">
        <f t="shared" si="62"/>
        <v xml:space="preserve"> </v>
      </c>
      <c r="P798" s="20">
        <f t="shared" si="63"/>
        <v>0</v>
      </c>
    </row>
    <row r="799" spans="1:16" x14ac:dyDescent="0.25">
      <c r="A799">
        <v>1121666</v>
      </c>
      <c r="B799">
        <v>1178</v>
      </c>
      <c r="C799">
        <v>144634</v>
      </c>
      <c r="D799" t="s">
        <v>15</v>
      </c>
      <c r="E799" t="s">
        <v>12</v>
      </c>
      <c r="F799" s="5">
        <v>27</v>
      </c>
      <c r="G799" s="5">
        <v>272500</v>
      </c>
      <c r="H799" s="5">
        <v>62</v>
      </c>
      <c r="I799" s="8">
        <v>104.4599996</v>
      </c>
      <c r="J799" s="5">
        <v>3</v>
      </c>
      <c r="K799" s="5">
        <v>0</v>
      </c>
      <c r="L799" s="14">
        <f t="shared" si="60"/>
        <v>0.38333944807339454</v>
      </c>
      <c r="M799" s="14">
        <f t="shared" si="64"/>
        <v>1.6848387032258065</v>
      </c>
      <c r="N799" s="20">
        <f t="shared" si="61"/>
        <v>2.275229357798165E-4</v>
      </c>
      <c r="O799" s="14" t="str">
        <f t="shared" si="62"/>
        <v xml:space="preserve"> </v>
      </c>
      <c r="P799" s="20">
        <f t="shared" si="63"/>
        <v>0</v>
      </c>
    </row>
    <row r="800" spans="1:16" x14ac:dyDescent="0.25">
      <c r="A800">
        <v>1121667</v>
      </c>
      <c r="B800">
        <v>1178</v>
      </c>
      <c r="C800">
        <v>144635</v>
      </c>
      <c r="D800" t="s">
        <v>15</v>
      </c>
      <c r="E800" t="s">
        <v>12</v>
      </c>
      <c r="F800" s="5">
        <v>28</v>
      </c>
      <c r="G800" s="5">
        <v>273197</v>
      </c>
      <c r="H800" s="5">
        <v>57</v>
      </c>
      <c r="I800" s="8">
        <v>87.730000500000003</v>
      </c>
      <c r="J800" s="5">
        <v>3</v>
      </c>
      <c r="K800" s="5">
        <v>0</v>
      </c>
      <c r="L800" s="14">
        <f t="shared" si="60"/>
        <v>0.32112358664260587</v>
      </c>
      <c r="M800" s="14">
        <f t="shared" si="64"/>
        <v>1.5391228157894736</v>
      </c>
      <c r="N800" s="20">
        <f t="shared" si="61"/>
        <v>2.086406512516609E-4</v>
      </c>
      <c r="O800" s="14" t="str">
        <f t="shared" si="62"/>
        <v xml:space="preserve"> </v>
      </c>
      <c r="P800" s="20">
        <f t="shared" si="63"/>
        <v>0</v>
      </c>
    </row>
    <row r="801" spans="1:16" x14ac:dyDescent="0.25">
      <c r="A801">
        <v>1121668</v>
      </c>
      <c r="B801">
        <v>1178</v>
      </c>
      <c r="C801">
        <v>144635</v>
      </c>
      <c r="D801" t="s">
        <v>15</v>
      </c>
      <c r="E801" t="s">
        <v>12</v>
      </c>
      <c r="F801" s="5">
        <v>28</v>
      </c>
      <c r="G801" s="5">
        <v>775904</v>
      </c>
      <c r="H801" s="5">
        <v>172</v>
      </c>
      <c r="I801" s="8">
        <v>253.990002</v>
      </c>
      <c r="J801" s="5">
        <v>4</v>
      </c>
      <c r="K801" s="5">
        <v>2</v>
      </c>
      <c r="L801" s="14">
        <f t="shared" si="60"/>
        <v>0.32734720016909308</v>
      </c>
      <c r="M801" s="14">
        <f t="shared" si="64"/>
        <v>1.4766860581395349</v>
      </c>
      <c r="N801" s="20">
        <f t="shared" si="61"/>
        <v>2.2167690848352373E-4</v>
      </c>
      <c r="O801" s="14">
        <f t="shared" si="62"/>
        <v>126.995001</v>
      </c>
      <c r="P801" s="20">
        <f t="shared" si="63"/>
        <v>1.1627906976744186E-2</v>
      </c>
    </row>
    <row r="802" spans="1:16" x14ac:dyDescent="0.25">
      <c r="A802">
        <v>1121669</v>
      </c>
      <c r="B802">
        <v>1178</v>
      </c>
      <c r="C802">
        <v>144635</v>
      </c>
      <c r="D802" t="s">
        <v>15</v>
      </c>
      <c r="E802" t="s">
        <v>12</v>
      </c>
      <c r="F802" s="5">
        <v>28</v>
      </c>
      <c r="G802" s="5">
        <v>120251</v>
      </c>
      <c r="H802" s="5">
        <v>26</v>
      </c>
      <c r="I802" s="8">
        <v>39.440000060000003</v>
      </c>
      <c r="J802" s="5">
        <v>1</v>
      </c>
      <c r="K802" s="5">
        <v>0</v>
      </c>
      <c r="L802" s="14">
        <f t="shared" si="60"/>
        <v>0.3279806409925905</v>
      </c>
      <c r="M802" s="14">
        <f t="shared" si="64"/>
        <v>1.5169230792307693</v>
      </c>
      <c r="N802" s="20">
        <f t="shared" si="61"/>
        <v>2.1621441817531664E-4</v>
      </c>
      <c r="O802" s="14" t="str">
        <f t="shared" si="62"/>
        <v xml:space="preserve"> </v>
      </c>
      <c r="P802" s="20">
        <f t="shared" si="63"/>
        <v>0</v>
      </c>
    </row>
    <row r="803" spans="1:16" x14ac:dyDescent="0.25">
      <c r="A803">
        <v>1121671</v>
      </c>
      <c r="B803">
        <v>1178</v>
      </c>
      <c r="C803">
        <v>144635</v>
      </c>
      <c r="D803" t="s">
        <v>15</v>
      </c>
      <c r="E803" t="s">
        <v>12</v>
      </c>
      <c r="F803" s="5">
        <v>28</v>
      </c>
      <c r="G803" s="5">
        <v>139406</v>
      </c>
      <c r="H803" s="5">
        <v>24</v>
      </c>
      <c r="I803" s="8">
        <v>39.049999479999997</v>
      </c>
      <c r="J803" s="5">
        <v>1</v>
      </c>
      <c r="K803" s="5">
        <v>0</v>
      </c>
      <c r="L803" s="14">
        <f t="shared" si="60"/>
        <v>0.28011706440181916</v>
      </c>
      <c r="M803" s="14">
        <f t="shared" si="64"/>
        <v>1.6270833116666665</v>
      </c>
      <c r="N803" s="20">
        <f t="shared" si="61"/>
        <v>1.7215901754587322E-4</v>
      </c>
      <c r="O803" s="14" t="str">
        <f t="shared" si="62"/>
        <v xml:space="preserve"> </v>
      </c>
      <c r="P803" s="20">
        <f t="shared" si="63"/>
        <v>0</v>
      </c>
    </row>
    <row r="804" spans="1:16" x14ac:dyDescent="0.25">
      <c r="A804">
        <v>1121672</v>
      </c>
      <c r="B804">
        <v>1178</v>
      </c>
      <c r="C804">
        <v>144635</v>
      </c>
      <c r="D804" t="s">
        <v>15</v>
      </c>
      <c r="E804" t="s">
        <v>12</v>
      </c>
      <c r="F804" s="5">
        <v>28</v>
      </c>
      <c r="G804" s="5">
        <v>60314</v>
      </c>
      <c r="H804" s="5">
        <v>11</v>
      </c>
      <c r="I804" s="8">
        <v>16.939999579999999</v>
      </c>
      <c r="J804" s="5">
        <v>2</v>
      </c>
      <c r="K804" s="5">
        <v>1</v>
      </c>
      <c r="L804" s="14">
        <f t="shared" si="60"/>
        <v>0.28086347415193813</v>
      </c>
      <c r="M804" s="14">
        <f t="shared" si="64"/>
        <v>1.5399999618181817</v>
      </c>
      <c r="N804" s="20">
        <f t="shared" si="61"/>
        <v>1.8237888384123088E-4</v>
      </c>
      <c r="O804" s="14">
        <f t="shared" si="62"/>
        <v>16.939999579999999</v>
      </c>
      <c r="P804" s="20">
        <f t="shared" si="63"/>
        <v>9.0909090909090912E-2</v>
      </c>
    </row>
    <row r="805" spans="1:16" x14ac:dyDescent="0.25">
      <c r="A805">
        <v>1121673</v>
      </c>
      <c r="B805">
        <v>1178</v>
      </c>
      <c r="C805">
        <v>144636</v>
      </c>
      <c r="D805" t="s">
        <v>15</v>
      </c>
      <c r="E805" t="s">
        <v>12</v>
      </c>
      <c r="F805" s="5">
        <v>29</v>
      </c>
      <c r="G805" s="5">
        <v>563074</v>
      </c>
      <c r="H805" s="5">
        <v>86</v>
      </c>
      <c r="I805" s="8">
        <v>142.70999850000001</v>
      </c>
      <c r="J805" s="5">
        <v>4</v>
      </c>
      <c r="K805" s="5">
        <v>2</v>
      </c>
      <c r="L805" s="14">
        <f t="shared" si="60"/>
        <v>0.25344803436138058</v>
      </c>
      <c r="M805" s="14">
        <f t="shared" si="64"/>
        <v>1.6594185872093024</v>
      </c>
      <c r="N805" s="20">
        <f t="shared" si="61"/>
        <v>1.5273303331356092E-4</v>
      </c>
      <c r="O805" s="14">
        <f t="shared" si="62"/>
        <v>71.354999250000006</v>
      </c>
      <c r="P805" s="20">
        <f t="shared" si="63"/>
        <v>2.3255813953488372E-2</v>
      </c>
    </row>
    <row r="806" spans="1:16" x14ac:dyDescent="0.25">
      <c r="A806">
        <v>1121674</v>
      </c>
      <c r="B806">
        <v>1178</v>
      </c>
      <c r="C806">
        <v>144636</v>
      </c>
      <c r="D806" t="s">
        <v>15</v>
      </c>
      <c r="E806" t="s">
        <v>12</v>
      </c>
      <c r="F806" s="5">
        <v>29</v>
      </c>
      <c r="G806" s="5">
        <v>168655</v>
      </c>
      <c r="H806" s="5">
        <v>18</v>
      </c>
      <c r="I806" s="8">
        <v>27.299999830000001</v>
      </c>
      <c r="J806" s="5">
        <v>2</v>
      </c>
      <c r="K806" s="5">
        <v>0</v>
      </c>
      <c r="L806" s="14">
        <f t="shared" si="60"/>
        <v>0.16186890296759657</v>
      </c>
      <c r="M806" s="14">
        <f t="shared" si="64"/>
        <v>1.5166666572222223</v>
      </c>
      <c r="N806" s="20">
        <f t="shared" si="61"/>
        <v>1.0672674987400314E-4</v>
      </c>
      <c r="O806" s="14" t="str">
        <f t="shared" si="62"/>
        <v xml:space="preserve"> </v>
      </c>
      <c r="P806" s="20">
        <f t="shared" si="63"/>
        <v>0</v>
      </c>
    </row>
    <row r="807" spans="1:16" x14ac:dyDescent="0.25">
      <c r="A807">
        <v>1121675</v>
      </c>
      <c r="B807">
        <v>1178</v>
      </c>
      <c r="C807">
        <v>144636</v>
      </c>
      <c r="D807" t="s">
        <v>15</v>
      </c>
      <c r="E807" t="s">
        <v>12</v>
      </c>
      <c r="F807" s="5">
        <v>29</v>
      </c>
      <c r="G807" s="5">
        <v>111963</v>
      </c>
      <c r="H807" s="5">
        <v>17</v>
      </c>
      <c r="I807" s="8">
        <v>29.379999399999999</v>
      </c>
      <c r="J807" s="5">
        <v>2</v>
      </c>
      <c r="K807" s="5">
        <v>1</v>
      </c>
      <c r="L807" s="14">
        <f t="shared" si="60"/>
        <v>0.26240811160829913</v>
      </c>
      <c r="M807" s="14">
        <f t="shared" si="64"/>
        <v>1.7282352588235295</v>
      </c>
      <c r="N807" s="20">
        <f t="shared" si="61"/>
        <v>1.5183587435134823E-4</v>
      </c>
      <c r="O807" s="14">
        <f t="shared" si="62"/>
        <v>29.379999399999999</v>
      </c>
      <c r="P807" s="20">
        <f t="shared" si="63"/>
        <v>5.8823529411764705E-2</v>
      </c>
    </row>
    <row r="808" spans="1:16" x14ac:dyDescent="0.25">
      <c r="A808">
        <v>1121676</v>
      </c>
      <c r="B808">
        <v>1178</v>
      </c>
      <c r="C808">
        <v>144636</v>
      </c>
      <c r="D808" t="s">
        <v>15</v>
      </c>
      <c r="E808" t="s">
        <v>12</v>
      </c>
      <c r="F808" s="5">
        <v>29</v>
      </c>
      <c r="G808" s="5">
        <v>1026304</v>
      </c>
      <c r="H808" s="5">
        <v>168</v>
      </c>
      <c r="I808" s="8">
        <v>277.57999860000001</v>
      </c>
      <c r="J808" s="5">
        <v>17</v>
      </c>
      <c r="K808" s="5">
        <v>8</v>
      </c>
      <c r="L808" s="14">
        <f t="shared" si="60"/>
        <v>0.2704656696261537</v>
      </c>
      <c r="M808" s="14">
        <f t="shared" si="64"/>
        <v>1.6522618964285716</v>
      </c>
      <c r="N808" s="20">
        <f t="shared" si="61"/>
        <v>1.6369418807682715E-4</v>
      </c>
      <c r="O808" s="14">
        <f t="shared" si="62"/>
        <v>34.697499825000001</v>
      </c>
      <c r="P808" s="20">
        <f t="shared" si="63"/>
        <v>4.7619047619047616E-2</v>
      </c>
    </row>
    <row r="809" spans="1:16" x14ac:dyDescent="0.25">
      <c r="A809">
        <v>1121677</v>
      </c>
      <c r="B809">
        <v>1178</v>
      </c>
      <c r="C809">
        <v>144636</v>
      </c>
      <c r="D809" t="s">
        <v>15</v>
      </c>
      <c r="E809" t="s">
        <v>12</v>
      </c>
      <c r="F809" s="5">
        <v>29</v>
      </c>
      <c r="G809" s="5">
        <v>1391924</v>
      </c>
      <c r="H809" s="5">
        <v>258</v>
      </c>
      <c r="I809" s="8">
        <v>422.84000379999998</v>
      </c>
      <c r="J809" s="5">
        <v>17</v>
      </c>
      <c r="K809" s="5">
        <v>10</v>
      </c>
      <c r="L809" s="14">
        <f t="shared" si="60"/>
        <v>0.30378095628784324</v>
      </c>
      <c r="M809" s="14">
        <f t="shared" si="64"/>
        <v>1.6389147434108526</v>
      </c>
      <c r="N809" s="20">
        <f t="shared" si="61"/>
        <v>1.8535494754023927E-4</v>
      </c>
      <c r="O809" s="14">
        <f t="shared" si="62"/>
        <v>42.284000379999995</v>
      </c>
      <c r="P809" s="20">
        <f t="shared" si="63"/>
        <v>3.875968992248062E-2</v>
      </c>
    </row>
    <row r="810" spans="1:16" x14ac:dyDescent="0.25">
      <c r="A810">
        <v>1121678</v>
      </c>
      <c r="B810">
        <v>1178</v>
      </c>
      <c r="C810">
        <v>144636</v>
      </c>
      <c r="D810" t="s">
        <v>15</v>
      </c>
      <c r="E810" t="s">
        <v>12</v>
      </c>
      <c r="F810" s="5">
        <v>29</v>
      </c>
      <c r="G810" s="5">
        <v>147551</v>
      </c>
      <c r="H810" s="5">
        <v>22</v>
      </c>
      <c r="I810" s="8">
        <v>38.500000829999998</v>
      </c>
      <c r="J810" s="5">
        <v>1</v>
      </c>
      <c r="K810" s="5">
        <v>0</v>
      </c>
      <c r="L810" s="14">
        <f t="shared" si="60"/>
        <v>0.26092673604380856</v>
      </c>
      <c r="M810" s="14">
        <f t="shared" si="64"/>
        <v>1.7500000377272726</v>
      </c>
      <c r="N810" s="20">
        <f t="shared" si="61"/>
        <v>1.4910098881064853E-4</v>
      </c>
      <c r="O810" s="14" t="str">
        <f t="shared" si="62"/>
        <v xml:space="preserve"> </v>
      </c>
      <c r="P810" s="20">
        <f t="shared" si="63"/>
        <v>0</v>
      </c>
    </row>
    <row r="811" spans="1:16" x14ac:dyDescent="0.25">
      <c r="A811">
        <v>1121685</v>
      </c>
      <c r="B811">
        <v>1178</v>
      </c>
      <c r="C811">
        <v>144638</v>
      </c>
      <c r="D811" t="s">
        <v>15</v>
      </c>
      <c r="E811" t="s">
        <v>12</v>
      </c>
      <c r="F811" s="5">
        <v>31</v>
      </c>
      <c r="G811" s="5">
        <v>66794</v>
      </c>
      <c r="H811" s="5">
        <v>9</v>
      </c>
      <c r="I811" s="8">
        <v>17.3299998</v>
      </c>
      <c r="J811" s="5">
        <v>1</v>
      </c>
      <c r="K811" s="5">
        <v>1</v>
      </c>
      <c r="L811" s="14">
        <f t="shared" si="60"/>
        <v>0.25945443902146897</v>
      </c>
      <c r="M811" s="14">
        <f t="shared" si="64"/>
        <v>1.9255555333333332</v>
      </c>
      <c r="N811" s="20">
        <f t="shared" si="61"/>
        <v>1.3474264155463066E-4</v>
      </c>
      <c r="O811" s="14">
        <f t="shared" si="62"/>
        <v>17.3299998</v>
      </c>
      <c r="P811" s="20">
        <f t="shared" si="63"/>
        <v>0.1111111111111111</v>
      </c>
    </row>
    <row r="812" spans="1:16" x14ac:dyDescent="0.25">
      <c r="A812">
        <v>1121687</v>
      </c>
      <c r="B812">
        <v>1178</v>
      </c>
      <c r="C812">
        <v>144638</v>
      </c>
      <c r="D812" t="s">
        <v>15</v>
      </c>
      <c r="E812" t="s">
        <v>12</v>
      </c>
      <c r="F812" s="5">
        <v>31</v>
      </c>
      <c r="G812" s="5">
        <v>118882</v>
      </c>
      <c r="H812" s="5">
        <v>19</v>
      </c>
      <c r="I812" s="8">
        <v>32.309999939999997</v>
      </c>
      <c r="J812" s="5">
        <v>2</v>
      </c>
      <c r="K812" s="5">
        <v>1</v>
      </c>
      <c r="L812" s="14">
        <f t="shared" si="60"/>
        <v>0.27178210275735598</v>
      </c>
      <c r="M812" s="14">
        <f t="shared" si="64"/>
        <v>1.7005263126315788</v>
      </c>
      <c r="N812" s="20">
        <f t="shared" si="61"/>
        <v>1.5982234484614996E-4</v>
      </c>
      <c r="O812" s="14">
        <f t="shared" si="62"/>
        <v>32.309999939999997</v>
      </c>
      <c r="P812" s="20">
        <f t="shared" si="63"/>
        <v>5.2631578947368418E-2</v>
      </c>
    </row>
    <row r="813" spans="1:16" x14ac:dyDescent="0.25">
      <c r="A813">
        <v>1121689</v>
      </c>
      <c r="B813">
        <v>1178</v>
      </c>
      <c r="C813">
        <v>144638</v>
      </c>
      <c r="D813" t="s">
        <v>15</v>
      </c>
      <c r="E813" t="s">
        <v>12</v>
      </c>
      <c r="F813" s="5">
        <v>31</v>
      </c>
      <c r="G813" s="5">
        <v>148010</v>
      </c>
      <c r="H813" s="5">
        <v>24</v>
      </c>
      <c r="I813" s="8">
        <v>41.969999430000001</v>
      </c>
      <c r="J813" s="5">
        <v>1</v>
      </c>
      <c r="K813" s="5">
        <v>0</v>
      </c>
      <c r="L813" s="14">
        <f t="shared" si="60"/>
        <v>0.28356191764069999</v>
      </c>
      <c r="M813" s="14">
        <f t="shared" si="64"/>
        <v>1.7487499762500001</v>
      </c>
      <c r="N813" s="20">
        <f t="shared" si="61"/>
        <v>1.6215120599959463E-4</v>
      </c>
      <c r="O813" s="14" t="str">
        <f t="shared" si="62"/>
        <v xml:space="preserve"> </v>
      </c>
      <c r="P813" s="20">
        <f t="shared" si="63"/>
        <v>0</v>
      </c>
    </row>
    <row r="814" spans="1:16" x14ac:dyDescent="0.25">
      <c r="A814">
        <v>1121691</v>
      </c>
      <c r="B814">
        <v>1178</v>
      </c>
      <c r="C814">
        <v>144639</v>
      </c>
      <c r="D814" t="s">
        <v>15</v>
      </c>
      <c r="E814" t="s">
        <v>12</v>
      </c>
      <c r="F814" s="5">
        <v>32</v>
      </c>
      <c r="G814" s="5">
        <v>932890</v>
      </c>
      <c r="H814" s="5">
        <v>197</v>
      </c>
      <c r="I814" s="8">
        <v>352.44999890000003</v>
      </c>
      <c r="J814" s="5">
        <v>3</v>
      </c>
      <c r="K814" s="5">
        <v>1</v>
      </c>
      <c r="L814" s="14">
        <f t="shared" si="60"/>
        <v>0.37780445593799916</v>
      </c>
      <c r="M814" s="14">
        <f t="shared" si="64"/>
        <v>1.7890862888324874</v>
      </c>
      <c r="N814" s="20">
        <f t="shared" si="61"/>
        <v>2.1117173514562275E-4</v>
      </c>
      <c r="O814" s="14">
        <f t="shared" si="62"/>
        <v>352.44999890000003</v>
      </c>
      <c r="P814" s="20">
        <f t="shared" si="63"/>
        <v>5.076142131979695E-3</v>
      </c>
    </row>
    <row r="815" spans="1:16" x14ac:dyDescent="0.25">
      <c r="A815">
        <v>1121692</v>
      </c>
      <c r="B815">
        <v>1178</v>
      </c>
      <c r="C815">
        <v>144639</v>
      </c>
      <c r="D815" t="s">
        <v>15</v>
      </c>
      <c r="E815" t="s">
        <v>12</v>
      </c>
      <c r="F815" s="5">
        <v>32</v>
      </c>
      <c r="G815" s="5">
        <v>718359</v>
      </c>
      <c r="H815" s="5">
        <v>147</v>
      </c>
      <c r="I815" s="8">
        <v>264.58999970000002</v>
      </c>
      <c r="J815" s="5">
        <v>4</v>
      </c>
      <c r="K815" s="5">
        <v>1</v>
      </c>
      <c r="L815" s="14">
        <f t="shared" si="60"/>
        <v>0.36832558609274757</v>
      </c>
      <c r="M815" s="14">
        <f t="shared" si="64"/>
        <v>1.7999319707482995</v>
      </c>
      <c r="N815" s="20">
        <f t="shared" si="61"/>
        <v>2.0463305951481085E-4</v>
      </c>
      <c r="O815" s="14">
        <f t="shared" si="62"/>
        <v>264.58999970000002</v>
      </c>
      <c r="P815" s="20">
        <f t="shared" si="63"/>
        <v>6.8027210884353739E-3</v>
      </c>
    </row>
    <row r="816" spans="1:16" x14ac:dyDescent="0.25">
      <c r="A816">
        <v>1121693</v>
      </c>
      <c r="B816">
        <v>1178</v>
      </c>
      <c r="C816">
        <v>144639</v>
      </c>
      <c r="D816" t="s">
        <v>15</v>
      </c>
      <c r="E816" t="s">
        <v>12</v>
      </c>
      <c r="F816" s="5">
        <v>32</v>
      </c>
      <c r="G816" s="5">
        <v>433658</v>
      </c>
      <c r="H816" s="5">
        <v>82</v>
      </c>
      <c r="I816" s="8">
        <v>158.59999980000001</v>
      </c>
      <c r="J816" s="5">
        <v>5</v>
      </c>
      <c r="K816" s="5">
        <v>2</v>
      </c>
      <c r="L816" s="14">
        <f t="shared" si="60"/>
        <v>0.36572598637636111</v>
      </c>
      <c r="M816" s="14">
        <f t="shared" si="64"/>
        <v>1.9341463390243903</v>
      </c>
      <c r="N816" s="20">
        <f t="shared" si="61"/>
        <v>1.8908909786052603E-4</v>
      </c>
      <c r="O816" s="14">
        <f t="shared" si="62"/>
        <v>79.299999900000003</v>
      </c>
      <c r="P816" s="20">
        <f t="shared" si="63"/>
        <v>2.4390243902439025E-2</v>
      </c>
    </row>
    <row r="817" spans="1:16" x14ac:dyDescent="0.25">
      <c r="A817">
        <v>1121695</v>
      </c>
      <c r="B817">
        <v>1178</v>
      </c>
      <c r="C817">
        <v>144639</v>
      </c>
      <c r="D817" t="s">
        <v>15</v>
      </c>
      <c r="E817" t="s">
        <v>12</v>
      </c>
      <c r="F817" s="5">
        <v>32</v>
      </c>
      <c r="G817" s="5">
        <v>29455</v>
      </c>
      <c r="H817" s="5">
        <v>3</v>
      </c>
      <c r="I817" s="8">
        <v>4.7699999809999998</v>
      </c>
      <c r="J817" s="5">
        <v>1</v>
      </c>
      <c r="K817" s="5">
        <v>0</v>
      </c>
      <c r="L817" s="14">
        <f t="shared" si="60"/>
        <v>0.16194194469529791</v>
      </c>
      <c r="M817" s="14">
        <f t="shared" si="64"/>
        <v>1.5899999936666667</v>
      </c>
      <c r="N817" s="20">
        <f t="shared" si="61"/>
        <v>1.0185028008827024E-4</v>
      </c>
      <c r="O817" s="14" t="str">
        <f t="shared" si="62"/>
        <v xml:space="preserve"> </v>
      </c>
      <c r="P817" s="20">
        <f t="shared" si="63"/>
        <v>0</v>
      </c>
    </row>
    <row r="818" spans="1:16" x14ac:dyDescent="0.25">
      <c r="A818">
        <v>1121701</v>
      </c>
      <c r="B818">
        <v>1178</v>
      </c>
      <c r="C818">
        <v>144640</v>
      </c>
      <c r="D818" t="s">
        <v>15</v>
      </c>
      <c r="E818" t="s">
        <v>12</v>
      </c>
      <c r="F818" s="5">
        <v>36</v>
      </c>
      <c r="G818" s="5">
        <v>23973</v>
      </c>
      <c r="H818" s="5">
        <v>3</v>
      </c>
      <c r="I818" s="8">
        <v>4.8200000520000001</v>
      </c>
      <c r="J818" s="5">
        <v>1</v>
      </c>
      <c r="K818" s="5">
        <v>1</v>
      </c>
      <c r="L818" s="14">
        <f t="shared" si="60"/>
        <v>0.20105952746840194</v>
      </c>
      <c r="M818" s="14">
        <f t="shared" si="64"/>
        <v>1.6066666840000001</v>
      </c>
      <c r="N818" s="20">
        <f t="shared" si="61"/>
        <v>1.2514078338130396E-4</v>
      </c>
      <c r="O818" s="14">
        <f t="shared" si="62"/>
        <v>4.8200000520000001</v>
      </c>
      <c r="P818" s="20">
        <f t="shared" si="63"/>
        <v>0.33333333333333331</v>
      </c>
    </row>
    <row r="819" spans="1:16" x14ac:dyDescent="0.25">
      <c r="A819">
        <v>1121705</v>
      </c>
      <c r="B819">
        <v>1178</v>
      </c>
      <c r="C819">
        <v>144641</v>
      </c>
      <c r="D819" t="s">
        <v>15</v>
      </c>
      <c r="E819" t="s">
        <v>12</v>
      </c>
      <c r="F819" s="5">
        <v>63</v>
      </c>
      <c r="G819" s="5">
        <v>126480</v>
      </c>
      <c r="H819" s="5">
        <v>25</v>
      </c>
      <c r="I819" s="8">
        <v>37.259999989999997</v>
      </c>
      <c r="J819" s="5">
        <v>1</v>
      </c>
      <c r="K819" s="5">
        <v>1</v>
      </c>
      <c r="L819" s="14">
        <f t="shared" si="60"/>
        <v>0.29459203028146741</v>
      </c>
      <c r="M819" s="14">
        <f t="shared" si="64"/>
        <v>1.4903999995999999</v>
      </c>
      <c r="N819" s="20">
        <f t="shared" si="61"/>
        <v>1.9765970904490828E-4</v>
      </c>
      <c r="O819" s="14">
        <f t="shared" si="62"/>
        <v>37.259999989999997</v>
      </c>
      <c r="P819" s="20">
        <f t="shared" si="63"/>
        <v>0.04</v>
      </c>
    </row>
    <row r="820" spans="1:16" x14ac:dyDescent="0.25">
      <c r="A820">
        <v>1121706</v>
      </c>
      <c r="B820">
        <v>1178</v>
      </c>
      <c r="C820">
        <v>144641</v>
      </c>
      <c r="D820" t="s">
        <v>15</v>
      </c>
      <c r="E820" t="s">
        <v>12</v>
      </c>
      <c r="F820" s="5">
        <v>63</v>
      </c>
      <c r="G820" s="5">
        <v>138959</v>
      </c>
      <c r="H820" s="5">
        <v>28</v>
      </c>
      <c r="I820" s="8">
        <v>39.520000699999997</v>
      </c>
      <c r="J820" s="5">
        <v>1</v>
      </c>
      <c r="K820" s="5">
        <v>0</v>
      </c>
      <c r="L820" s="14">
        <f t="shared" si="60"/>
        <v>0.28440043969804041</v>
      </c>
      <c r="M820" s="14">
        <f t="shared" si="64"/>
        <v>1.4114285964285713</v>
      </c>
      <c r="N820" s="20">
        <f t="shared" si="61"/>
        <v>2.0149828366640519E-4</v>
      </c>
      <c r="O820" s="14" t="str">
        <f t="shared" si="62"/>
        <v xml:space="preserve"> </v>
      </c>
      <c r="P820" s="20">
        <f t="shared" si="63"/>
        <v>0</v>
      </c>
    </row>
    <row r="821" spans="1:16" x14ac:dyDescent="0.25">
      <c r="A821">
        <v>1121708</v>
      </c>
      <c r="B821">
        <v>1178</v>
      </c>
      <c r="C821">
        <v>144641</v>
      </c>
      <c r="D821" t="s">
        <v>15</v>
      </c>
      <c r="E821" t="s">
        <v>12</v>
      </c>
      <c r="F821" s="5">
        <v>63</v>
      </c>
      <c r="G821" s="5">
        <v>68829</v>
      </c>
      <c r="H821" s="5">
        <v>12</v>
      </c>
      <c r="I821" s="8">
        <v>19.47999978</v>
      </c>
      <c r="J821" s="5">
        <v>1</v>
      </c>
      <c r="K821" s="5">
        <v>0</v>
      </c>
      <c r="L821" s="14">
        <f t="shared" si="60"/>
        <v>0.28302023536590681</v>
      </c>
      <c r="M821" s="14">
        <f t="shared" si="64"/>
        <v>1.623333315</v>
      </c>
      <c r="N821" s="20">
        <f t="shared" si="61"/>
        <v>1.7434511615743365E-4</v>
      </c>
      <c r="O821" s="14" t="str">
        <f t="shared" si="62"/>
        <v xml:space="preserve"> </v>
      </c>
      <c r="P821" s="20">
        <f t="shared" si="63"/>
        <v>0</v>
      </c>
    </row>
    <row r="822" spans="1:16" x14ac:dyDescent="0.25">
      <c r="A822">
        <v>1121711</v>
      </c>
      <c r="B822">
        <v>1178</v>
      </c>
      <c r="C822">
        <v>144642</v>
      </c>
      <c r="D822" t="s">
        <v>15</v>
      </c>
      <c r="E822" t="s">
        <v>12</v>
      </c>
      <c r="F822" s="5">
        <v>64</v>
      </c>
      <c r="G822" s="5">
        <v>49916</v>
      </c>
      <c r="H822" s="5">
        <v>10</v>
      </c>
      <c r="I822" s="8">
        <v>16.38</v>
      </c>
      <c r="J822" s="5">
        <v>1</v>
      </c>
      <c r="K822" s="5">
        <v>1</v>
      </c>
      <c r="L822" s="14">
        <f t="shared" si="60"/>
        <v>0.32815129417421268</v>
      </c>
      <c r="M822" s="14">
        <f t="shared" si="64"/>
        <v>1.6379999999999999</v>
      </c>
      <c r="N822" s="20">
        <f t="shared" si="61"/>
        <v>2.0033656542992227E-4</v>
      </c>
      <c r="O822" s="14">
        <f t="shared" si="62"/>
        <v>16.38</v>
      </c>
      <c r="P822" s="20">
        <f t="shared" si="63"/>
        <v>0.1</v>
      </c>
    </row>
    <row r="823" spans="1:16" x14ac:dyDescent="0.25">
      <c r="A823">
        <v>1121716</v>
      </c>
      <c r="B823">
        <v>1178</v>
      </c>
      <c r="C823">
        <v>144643</v>
      </c>
      <c r="D823" t="s">
        <v>15</v>
      </c>
      <c r="E823" t="s">
        <v>12</v>
      </c>
      <c r="F823" s="5">
        <v>65</v>
      </c>
      <c r="G823" s="5">
        <v>76014</v>
      </c>
      <c r="H823" s="5">
        <v>16</v>
      </c>
      <c r="I823" s="8">
        <v>22.670000309999999</v>
      </c>
      <c r="J823" s="5">
        <v>1</v>
      </c>
      <c r="K823" s="5">
        <v>1</v>
      </c>
      <c r="L823" s="14">
        <f t="shared" si="60"/>
        <v>0.2982345398216118</v>
      </c>
      <c r="M823" s="14">
        <f t="shared" si="64"/>
        <v>1.4168750193749999</v>
      </c>
      <c r="N823" s="20">
        <f t="shared" si="61"/>
        <v>2.1048754176862156E-4</v>
      </c>
      <c r="O823" s="14">
        <f t="shared" si="62"/>
        <v>22.670000309999999</v>
      </c>
      <c r="P823" s="20">
        <f t="shared" si="63"/>
        <v>6.25E-2</v>
      </c>
    </row>
    <row r="824" spans="1:16" x14ac:dyDescent="0.25">
      <c r="A824">
        <v>1121723</v>
      </c>
      <c r="B824">
        <v>1178</v>
      </c>
      <c r="C824">
        <v>144644</v>
      </c>
      <c r="D824" t="s">
        <v>15</v>
      </c>
      <c r="E824" t="s">
        <v>12</v>
      </c>
      <c r="F824" s="5">
        <v>2</v>
      </c>
      <c r="G824" s="5">
        <v>50947</v>
      </c>
      <c r="H824" s="5">
        <v>10</v>
      </c>
      <c r="I824" s="8">
        <v>15.99000025</v>
      </c>
      <c r="J824" s="5">
        <v>1</v>
      </c>
      <c r="K824" s="5">
        <v>0</v>
      </c>
      <c r="L824" s="14">
        <f t="shared" si="60"/>
        <v>0.3138555803089485</v>
      </c>
      <c r="M824" s="14">
        <f t="shared" si="64"/>
        <v>1.599000025</v>
      </c>
      <c r="N824" s="20">
        <f t="shared" si="61"/>
        <v>1.9628241113313835E-4</v>
      </c>
      <c r="O824" s="14" t="str">
        <f t="shared" si="62"/>
        <v xml:space="preserve"> </v>
      </c>
      <c r="P824" s="20">
        <f t="shared" si="63"/>
        <v>0</v>
      </c>
    </row>
    <row r="825" spans="1:16" x14ac:dyDescent="0.25">
      <c r="A825">
        <v>1121733</v>
      </c>
      <c r="B825">
        <v>1178</v>
      </c>
      <c r="C825">
        <v>144646</v>
      </c>
      <c r="D825" t="s">
        <v>15</v>
      </c>
      <c r="E825" t="s">
        <v>12</v>
      </c>
      <c r="F825" s="5">
        <v>66</v>
      </c>
      <c r="G825" s="5">
        <v>55536</v>
      </c>
      <c r="H825" s="5">
        <v>11</v>
      </c>
      <c r="I825" s="8">
        <v>17.04999995</v>
      </c>
      <c r="J825" s="5">
        <v>1</v>
      </c>
      <c r="K825" s="5">
        <v>0</v>
      </c>
      <c r="L825" s="14">
        <f t="shared" si="60"/>
        <v>0.30700806593921059</v>
      </c>
      <c r="M825" s="14">
        <f t="shared" si="64"/>
        <v>1.5499999954545454</v>
      </c>
      <c r="N825" s="20">
        <f t="shared" si="61"/>
        <v>1.9806972054163066E-4</v>
      </c>
      <c r="O825" s="14" t="str">
        <f t="shared" si="62"/>
        <v xml:space="preserve"> </v>
      </c>
      <c r="P825" s="20">
        <f t="shared" si="63"/>
        <v>0</v>
      </c>
    </row>
    <row r="826" spans="1:16" x14ac:dyDescent="0.25">
      <c r="A826">
        <v>1121741</v>
      </c>
      <c r="B826">
        <v>1178</v>
      </c>
      <c r="C826">
        <v>144647</v>
      </c>
      <c r="D826" t="s">
        <v>11</v>
      </c>
      <c r="E826" t="s">
        <v>16</v>
      </c>
      <c r="F826" s="5">
        <v>10</v>
      </c>
      <c r="G826" s="5">
        <v>318042</v>
      </c>
      <c r="H826" s="5">
        <v>46</v>
      </c>
      <c r="I826" s="8">
        <v>64.409999970000001</v>
      </c>
      <c r="J826" s="5">
        <v>8</v>
      </c>
      <c r="K826" s="5">
        <v>4</v>
      </c>
      <c r="L826" s="14">
        <f t="shared" si="60"/>
        <v>0.20252042173675175</v>
      </c>
      <c r="M826" s="14">
        <f t="shared" si="64"/>
        <v>1.400217390652174</v>
      </c>
      <c r="N826" s="20">
        <f t="shared" si="61"/>
        <v>1.4463498531640476E-4</v>
      </c>
      <c r="O826" s="14">
        <f t="shared" si="62"/>
        <v>16.1024999925</v>
      </c>
      <c r="P826" s="20">
        <f t="shared" si="63"/>
        <v>8.6956521739130432E-2</v>
      </c>
    </row>
    <row r="827" spans="1:16" x14ac:dyDescent="0.25">
      <c r="A827">
        <v>1121742</v>
      </c>
      <c r="B827">
        <v>1178</v>
      </c>
      <c r="C827">
        <v>144647</v>
      </c>
      <c r="D827" t="s">
        <v>11</v>
      </c>
      <c r="E827" t="s">
        <v>16</v>
      </c>
      <c r="F827" s="5">
        <v>10</v>
      </c>
      <c r="G827" s="5">
        <v>213016</v>
      </c>
      <c r="H827" s="5">
        <v>30</v>
      </c>
      <c r="I827" s="8">
        <v>44.219999549999997</v>
      </c>
      <c r="J827" s="5">
        <v>8</v>
      </c>
      <c r="K827" s="5">
        <v>2</v>
      </c>
      <c r="L827" s="14">
        <f t="shared" si="60"/>
        <v>0.20759003807225745</v>
      </c>
      <c r="M827" s="14">
        <f t="shared" si="64"/>
        <v>1.4739999849999998</v>
      </c>
      <c r="N827" s="20">
        <f t="shared" si="61"/>
        <v>1.408344913058174E-4</v>
      </c>
      <c r="O827" s="14">
        <f t="shared" si="62"/>
        <v>22.109999774999999</v>
      </c>
      <c r="P827" s="20">
        <f t="shared" si="63"/>
        <v>6.6666666666666666E-2</v>
      </c>
    </row>
    <row r="828" spans="1:16" x14ac:dyDescent="0.25">
      <c r="A828">
        <v>1121745</v>
      </c>
      <c r="B828">
        <v>1178</v>
      </c>
      <c r="C828">
        <v>144648</v>
      </c>
      <c r="D828" t="s">
        <v>11</v>
      </c>
      <c r="E828" t="s">
        <v>16</v>
      </c>
      <c r="F828" s="5">
        <v>15</v>
      </c>
      <c r="G828" s="5">
        <v>182265</v>
      </c>
      <c r="H828" s="5">
        <v>27</v>
      </c>
      <c r="I828" s="8">
        <v>38.180000069999998</v>
      </c>
      <c r="J828" s="5">
        <v>2</v>
      </c>
      <c r="K828" s="5">
        <v>1</v>
      </c>
      <c r="L828" s="14">
        <f t="shared" si="60"/>
        <v>0.20947521504402927</v>
      </c>
      <c r="M828" s="14">
        <f t="shared" si="64"/>
        <v>1.4140740766666666</v>
      </c>
      <c r="N828" s="20">
        <f t="shared" si="61"/>
        <v>1.4813595588840424E-4</v>
      </c>
      <c r="O828" s="14">
        <f t="shared" si="62"/>
        <v>38.180000069999998</v>
      </c>
      <c r="P828" s="20">
        <f t="shared" si="63"/>
        <v>3.7037037037037035E-2</v>
      </c>
    </row>
    <row r="829" spans="1:16" x14ac:dyDescent="0.25">
      <c r="A829">
        <v>1121746</v>
      </c>
      <c r="B829">
        <v>1178</v>
      </c>
      <c r="C829">
        <v>144648</v>
      </c>
      <c r="D829" t="s">
        <v>11</v>
      </c>
      <c r="E829" t="s">
        <v>16</v>
      </c>
      <c r="F829" s="5">
        <v>15</v>
      </c>
      <c r="G829" s="5">
        <v>1117371</v>
      </c>
      <c r="H829" s="5">
        <v>177</v>
      </c>
      <c r="I829" s="8">
        <v>268.05000200000001</v>
      </c>
      <c r="J829" s="5">
        <v>26</v>
      </c>
      <c r="K829" s="5">
        <v>5</v>
      </c>
      <c r="L829" s="14">
        <f t="shared" si="60"/>
        <v>0.23989346600189193</v>
      </c>
      <c r="M829" s="14">
        <f t="shared" si="64"/>
        <v>1.5144067909604519</v>
      </c>
      <c r="N829" s="20">
        <f t="shared" si="61"/>
        <v>1.5840754771691767E-4</v>
      </c>
      <c r="O829" s="14">
        <f t="shared" si="62"/>
        <v>53.610000400000004</v>
      </c>
      <c r="P829" s="20">
        <f t="shared" si="63"/>
        <v>2.8248587570621469E-2</v>
      </c>
    </row>
    <row r="830" spans="1:16" x14ac:dyDescent="0.25">
      <c r="A830">
        <v>1121749</v>
      </c>
      <c r="B830">
        <v>1178</v>
      </c>
      <c r="C830">
        <v>144648</v>
      </c>
      <c r="D830" t="s">
        <v>11</v>
      </c>
      <c r="E830" t="s">
        <v>16</v>
      </c>
      <c r="F830" s="5">
        <v>15</v>
      </c>
      <c r="G830" s="5">
        <v>333345</v>
      </c>
      <c r="H830" s="5">
        <v>52</v>
      </c>
      <c r="I830" s="8">
        <v>77.590000270000004</v>
      </c>
      <c r="J830" s="5">
        <v>5</v>
      </c>
      <c r="K830" s="5">
        <v>1</v>
      </c>
      <c r="L830" s="14">
        <f t="shared" si="60"/>
        <v>0.23276185414510495</v>
      </c>
      <c r="M830" s="14">
        <f t="shared" si="64"/>
        <v>1.4921153898076924</v>
      </c>
      <c r="N830" s="20">
        <f t="shared" si="61"/>
        <v>1.5599454019109331E-4</v>
      </c>
      <c r="O830" s="14">
        <f t="shared" si="62"/>
        <v>77.590000270000004</v>
      </c>
      <c r="P830" s="20">
        <f t="shared" si="63"/>
        <v>1.9230769230769232E-2</v>
      </c>
    </row>
    <row r="831" spans="1:16" x14ac:dyDescent="0.25">
      <c r="A831">
        <v>1121751</v>
      </c>
      <c r="B831">
        <v>1178</v>
      </c>
      <c r="C831">
        <v>144649</v>
      </c>
      <c r="D831" t="s">
        <v>11</v>
      </c>
      <c r="E831" t="s">
        <v>16</v>
      </c>
      <c r="F831" s="5">
        <v>16</v>
      </c>
      <c r="G831" s="5">
        <v>275930</v>
      </c>
      <c r="H831" s="5">
        <v>30</v>
      </c>
      <c r="I831" s="8">
        <v>46.779999969999999</v>
      </c>
      <c r="J831" s="5">
        <v>5</v>
      </c>
      <c r="K831" s="5">
        <v>2</v>
      </c>
      <c r="L831" s="14">
        <f t="shared" si="60"/>
        <v>0.16953575171239083</v>
      </c>
      <c r="M831" s="14">
        <f t="shared" si="64"/>
        <v>1.5593333323333334</v>
      </c>
      <c r="N831" s="20">
        <f t="shared" si="61"/>
        <v>1.0872322690537456E-4</v>
      </c>
      <c r="O831" s="14">
        <f t="shared" si="62"/>
        <v>23.389999984999999</v>
      </c>
      <c r="P831" s="20">
        <f t="shared" si="63"/>
        <v>6.6666666666666666E-2</v>
      </c>
    </row>
    <row r="832" spans="1:16" x14ac:dyDescent="0.25">
      <c r="A832">
        <v>1121753</v>
      </c>
      <c r="B832">
        <v>1178</v>
      </c>
      <c r="C832">
        <v>144649</v>
      </c>
      <c r="D832" t="s">
        <v>11</v>
      </c>
      <c r="E832" t="s">
        <v>16</v>
      </c>
      <c r="F832" s="5">
        <v>16</v>
      </c>
      <c r="G832" s="5">
        <v>740631</v>
      </c>
      <c r="H832" s="5">
        <v>101</v>
      </c>
      <c r="I832" s="8">
        <v>153.11999750000001</v>
      </c>
      <c r="J832" s="5">
        <v>9</v>
      </c>
      <c r="K832" s="5">
        <v>1</v>
      </c>
      <c r="L832" s="14">
        <f t="shared" si="60"/>
        <v>0.20674262554497452</v>
      </c>
      <c r="M832" s="14">
        <f t="shared" si="64"/>
        <v>1.5160395792079209</v>
      </c>
      <c r="N832" s="20">
        <f t="shared" si="61"/>
        <v>1.3637020324561085E-4</v>
      </c>
      <c r="O832" s="14">
        <f t="shared" si="62"/>
        <v>153.11999750000001</v>
      </c>
      <c r="P832" s="20">
        <f t="shared" si="63"/>
        <v>9.9009900990099011E-3</v>
      </c>
    </row>
    <row r="833" spans="1:16" x14ac:dyDescent="0.25">
      <c r="A833">
        <v>1121754</v>
      </c>
      <c r="B833">
        <v>1178</v>
      </c>
      <c r="C833">
        <v>144649</v>
      </c>
      <c r="D833" t="s">
        <v>11</v>
      </c>
      <c r="E833" t="s">
        <v>16</v>
      </c>
      <c r="F833" s="5">
        <v>16</v>
      </c>
      <c r="G833" s="5">
        <v>328272</v>
      </c>
      <c r="H833" s="5">
        <v>35</v>
      </c>
      <c r="I833" s="8">
        <v>55.990000250000001</v>
      </c>
      <c r="J833" s="5">
        <v>2</v>
      </c>
      <c r="K833" s="5">
        <v>1</v>
      </c>
      <c r="L833" s="14">
        <f t="shared" si="60"/>
        <v>0.17055978045645073</v>
      </c>
      <c r="M833" s="14">
        <f t="shared" si="64"/>
        <v>1.5997142928571428</v>
      </c>
      <c r="N833" s="20">
        <f t="shared" si="61"/>
        <v>1.0661890139883998E-4</v>
      </c>
      <c r="O833" s="14">
        <f t="shared" si="62"/>
        <v>55.990000250000001</v>
      </c>
      <c r="P833" s="20">
        <f t="shared" si="63"/>
        <v>2.8571428571428571E-2</v>
      </c>
    </row>
    <row r="834" spans="1:16" x14ac:dyDescent="0.25">
      <c r="A834">
        <v>1121755</v>
      </c>
      <c r="B834">
        <v>1178</v>
      </c>
      <c r="C834">
        <v>144649</v>
      </c>
      <c r="D834" t="s">
        <v>11</v>
      </c>
      <c r="E834" t="s">
        <v>16</v>
      </c>
      <c r="F834" s="5">
        <v>16</v>
      </c>
      <c r="G834" s="5">
        <v>178455</v>
      </c>
      <c r="H834" s="5">
        <v>20</v>
      </c>
      <c r="I834" s="8">
        <v>31.540000200000001</v>
      </c>
      <c r="J834" s="5">
        <v>6</v>
      </c>
      <c r="K834" s="5">
        <v>3</v>
      </c>
      <c r="L834" s="14">
        <f t="shared" si="60"/>
        <v>0.17673923510128606</v>
      </c>
      <c r="M834" s="14">
        <f t="shared" si="64"/>
        <v>1.5770000100000001</v>
      </c>
      <c r="N834" s="20">
        <f t="shared" si="61"/>
        <v>1.1207307164271105E-4</v>
      </c>
      <c r="O834" s="14">
        <f t="shared" si="62"/>
        <v>10.5133334</v>
      </c>
      <c r="P834" s="20">
        <f t="shared" si="63"/>
        <v>0.15</v>
      </c>
    </row>
    <row r="835" spans="1:16" x14ac:dyDescent="0.25">
      <c r="A835">
        <v>1121756</v>
      </c>
      <c r="B835">
        <v>1178</v>
      </c>
      <c r="C835">
        <v>144649</v>
      </c>
      <c r="D835" t="s">
        <v>11</v>
      </c>
      <c r="E835" t="s">
        <v>16</v>
      </c>
      <c r="F835" s="5">
        <v>16</v>
      </c>
      <c r="G835" s="5">
        <v>705712</v>
      </c>
      <c r="H835" s="5">
        <v>98</v>
      </c>
      <c r="I835" s="8">
        <v>147.33999900000001</v>
      </c>
      <c r="J835" s="5">
        <v>6</v>
      </c>
      <c r="K835" s="5">
        <v>1</v>
      </c>
      <c r="L835" s="14">
        <f t="shared" ref="L835:L898" si="65">IF(G835=0,0,(I835/G835)*1000)</f>
        <v>0.20878205131838484</v>
      </c>
      <c r="M835" s="14">
        <f t="shared" si="64"/>
        <v>1.5034693775510204</v>
      </c>
      <c r="N835" s="20">
        <f t="shared" ref="N835:N898" si="66">IF(G835=0,0,(H835/G835))</f>
        <v>1.3886684653229646E-4</v>
      </c>
      <c r="O835" s="14">
        <f t="shared" ref="O835:O898" si="67">IF(K835&gt;0, I835/K835, " ")</f>
        <v>147.33999900000001</v>
      </c>
      <c r="P835" s="20">
        <f t="shared" ref="P835:P898" si="68">IF(H835=0,0,(K835/H835))</f>
        <v>1.020408163265306E-2</v>
      </c>
    </row>
    <row r="836" spans="1:16" x14ac:dyDescent="0.25">
      <c r="A836">
        <v>1121758</v>
      </c>
      <c r="B836">
        <v>1178</v>
      </c>
      <c r="C836">
        <v>144650</v>
      </c>
      <c r="D836" t="s">
        <v>11</v>
      </c>
      <c r="E836" t="s">
        <v>16</v>
      </c>
      <c r="F836" s="5">
        <v>18</v>
      </c>
      <c r="G836" s="5">
        <v>690373</v>
      </c>
      <c r="H836" s="5">
        <v>91</v>
      </c>
      <c r="I836" s="8">
        <v>159.57000210000001</v>
      </c>
      <c r="J836" s="5">
        <v>5</v>
      </c>
      <c r="K836" s="5">
        <v>2</v>
      </c>
      <c r="L836" s="14">
        <f t="shared" si="65"/>
        <v>0.23113592521723766</v>
      </c>
      <c r="M836" s="14">
        <f t="shared" si="64"/>
        <v>1.7535165065934066</v>
      </c>
      <c r="N836" s="20">
        <f t="shared" si="66"/>
        <v>1.3181280264436761E-4</v>
      </c>
      <c r="O836" s="14">
        <f t="shared" si="67"/>
        <v>79.785001050000005</v>
      </c>
      <c r="P836" s="20">
        <f t="shared" si="68"/>
        <v>2.197802197802198E-2</v>
      </c>
    </row>
    <row r="837" spans="1:16" x14ac:dyDescent="0.25">
      <c r="A837">
        <v>1121759</v>
      </c>
      <c r="B837">
        <v>1178</v>
      </c>
      <c r="C837">
        <v>144650</v>
      </c>
      <c r="D837" t="s">
        <v>11</v>
      </c>
      <c r="E837" t="s">
        <v>16</v>
      </c>
      <c r="F837" s="5">
        <v>18</v>
      </c>
      <c r="G837" s="5">
        <v>515812</v>
      </c>
      <c r="H837" s="5">
        <v>69</v>
      </c>
      <c r="I837" s="8">
        <v>117.6299995</v>
      </c>
      <c r="J837" s="5">
        <v>3</v>
      </c>
      <c r="K837" s="5">
        <v>1</v>
      </c>
      <c r="L837" s="14">
        <f t="shared" si="65"/>
        <v>0.22804820263972145</v>
      </c>
      <c r="M837" s="14">
        <f t="shared" ref="M837:M900" si="69">IF(H837&gt;0, I837/H837, " ")</f>
        <v>1.7047826014492753</v>
      </c>
      <c r="N837" s="20">
        <f t="shared" si="66"/>
        <v>1.3376966801858042E-4</v>
      </c>
      <c r="O837" s="14">
        <f t="shared" si="67"/>
        <v>117.6299995</v>
      </c>
      <c r="P837" s="20">
        <f t="shared" si="68"/>
        <v>1.4492753623188406E-2</v>
      </c>
    </row>
    <row r="838" spans="1:16" x14ac:dyDescent="0.25">
      <c r="A838">
        <v>1121760</v>
      </c>
      <c r="B838">
        <v>1178</v>
      </c>
      <c r="C838">
        <v>144650</v>
      </c>
      <c r="D838" t="s">
        <v>11</v>
      </c>
      <c r="E838" t="s">
        <v>16</v>
      </c>
      <c r="F838" s="5">
        <v>18</v>
      </c>
      <c r="G838" s="5">
        <v>764793</v>
      </c>
      <c r="H838" s="5">
        <v>101</v>
      </c>
      <c r="I838" s="8">
        <v>171.97999759999999</v>
      </c>
      <c r="J838" s="5">
        <v>4</v>
      </c>
      <c r="K838" s="5">
        <v>2</v>
      </c>
      <c r="L838" s="14">
        <f t="shared" si="65"/>
        <v>0.22487130190783647</v>
      </c>
      <c r="M838" s="14">
        <f t="shared" si="69"/>
        <v>1.7027722534653464</v>
      </c>
      <c r="N838" s="20">
        <f t="shared" si="66"/>
        <v>1.3206187818141642E-4</v>
      </c>
      <c r="O838" s="14">
        <f t="shared" si="67"/>
        <v>85.989998799999995</v>
      </c>
      <c r="P838" s="20">
        <f t="shared" si="68"/>
        <v>1.9801980198019802E-2</v>
      </c>
    </row>
    <row r="839" spans="1:16" x14ac:dyDescent="0.25">
      <c r="A839">
        <v>1121763</v>
      </c>
      <c r="B839">
        <v>1178</v>
      </c>
      <c r="C839">
        <v>144651</v>
      </c>
      <c r="D839" t="s">
        <v>11</v>
      </c>
      <c r="E839" t="s">
        <v>16</v>
      </c>
      <c r="F839" s="5">
        <v>19</v>
      </c>
      <c r="G839" s="5">
        <v>87832</v>
      </c>
      <c r="H839" s="5">
        <v>11</v>
      </c>
      <c r="I839" s="8">
        <v>18.100000380000001</v>
      </c>
      <c r="J839" s="5">
        <v>1</v>
      </c>
      <c r="K839" s="5">
        <v>1</v>
      </c>
      <c r="L839" s="14">
        <f t="shared" si="65"/>
        <v>0.20607523886510612</v>
      </c>
      <c r="M839" s="14">
        <f t="shared" si="69"/>
        <v>1.64545458</v>
      </c>
      <c r="N839" s="20">
        <f t="shared" si="66"/>
        <v>1.2523909281355315E-4</v>
      </c>
      <c r="O839" s="14">
        <f t="shared" si="67"/>
        <v>18.100000380000001</v>
      </c>
      <c r="P839" s="20">
        <f t="shared" si="68"/>
        <v>9.0909090909090912E-2</v>
      </c>
    </row>
    <row r="840" spans="1:16" x14ac:dyDescent="0.25">
      <c r="A840">
        <v>1121764</v>
      </c>
      <c r="B840">
        <v>1178</v>
      </c>
      <c r="C840">
        <v>144651</v>
      </c>
      <c r="D840" t="s">
        <v>11</v>
      </c>
      <c r="E840" t="s">
        <v>16</v>
      </c>
      <c r="F840" s="5">
        <v>19</v>
      </c>
      <c r="G840" s="5">
        <v>23368</v>
      </c>
      <c r="H840" s="5">
        <v>3</v>
      </c>
      <c r="I840" s="8">
        <v>4.3000001909999996</v>
      </c>
      <c r="J840" s="5">
        <v>1</v>
      </c>
      <c r="K840" s="5">
        <v>0</v>
      </c>
      <c r="L840" s="14">
        <f t="shared" si="65"/>
        <v>0.1840123327199589</v>
      </c>
      <c r="M840" s="14">
        <f t="shared" si="69"/>
        <v>1.433333397</v>
      </c>
      <c r="N840" s="20">
        <f t="shared" si="66"/>
        <v>1.2838069154399179E-4</v>
      </c>
      <c r="O840" s="14" t="str">
        <f t="shared" si="67"/>
        <v xml:space="preserve"> </v>
      </c>
      <c r="P840" s="20">
        <f t="shared" si="68"/>
        <v>0</v>
      </c>
    </row>
    <row r="841" spans="1:16" x14ac:dyDescent="0.25">
      <c r="A841">
        <v>1121765</v>
      </c>
      <c r="B841">
        <v>1178</v>
      </c>
      <c r="C841">
        <v>144651</v>
      </c>
      <c r="D841" t="s">
        <v>11</v>
      </c>
      <c r="E841" t="s">
        <v>16</v>
      </c>
      <c r="F841" s="5">
        <v>19</v>
      </c>
      <c r="G841" s="5">
        <v>51509</v>
      </c>
      <c r="H841" s="5">
        <v>7</v>
      </c>
      <c r="I841" s="8">
        <v>11.570000050000001</v>
      </c>
      <c r="J841" s="5">
        <v>1</v>
      </c>
      <c r="K841" s="5">
        <v>0</v>
      </c>
      <c r="L841" s="14">
        <f t="shared" si="65"/>
        <v>0.22462094100060184</v>
      </c>
      <c r="M841" s="14">
        <f t="shared" si="69"/>
        <v>1.6528571500000002</v>
      </c>
      <c r="N841" s="20">
        <f t="shared" si="66"/>
        <v>1.3589858083053446E-4</v>
      </c>
      <c r="O841" s="14" t="str">
        <f t="shared" si="67"/>
        <v xml:space="preserve"> </v>
      </c>
      <c r="P841" s="20">
        <f t="shared" si="68"/>
        <v>0</v>
      </c>
    </row>
    <row r="842" spans="1:16" x14ac:dyDescent="0.25">
      <c r="A842">
        <v>1121767</v>
      </c>
      <c r="B842">
        <v>1178</v>
      </c>
      <c r="C842">
        <v>144651</v>
      </c>
      <c r="D842" t="s">
        <v>11</v>
      </c>
      <c r="E842" t="s">
        <v>16</v>
      </c>
      <c r="F842" s="5">
        <v>19</v>
      </c>
      <c r="G842" s="5">
        <v>87043</v>
      </c>
      <c r="H842" s="5">
        <v>16</v>
      </c>
      <c r="I842" s="8">
        <v>24.480000019999999</v>
      </c>
      <c r="J842" s="5">
        <v>2</v>
      </c>
      <c r="K842" s="5">
        <v>0</v>
      </c>
      <c r="L842" s="14">
        <f t="shared" si="65"/>
        <v>0.28124030674494216</v>
      </c>
      <c r="M842" s="14">
        <f t="shared" si="69"/>
        <v>1.5300000012499999</v>
      </c>
      <c r="N842" s="20">
        <f t="shared" si="66"/>
        <v>1.8381719380076514E-4</v>
      </c>
      <c r="O842" s="14" t="str">
        <f t="shared" si="67"/>
        <v xml:space="preserve"> </v>
      </c>
      <c r="P842" s="20">
        <f t="shared" si="68"/>
        <v>0</v>
      </c>
    </row>
    <row r="843" spans="1:16" x14ac:dyDescent="0.25">
      <c r="A843">
        <v>1121768</v>
      </c>
      <c r="B843">
        <v>1178</v>
      </c>
      <c r="C843">
        <v>144651</v>
      </c>
      <c r="D843" t="s">
        <v>11</v>
      </c>
      <c r="E843" t="s">
        <v>16</v>
      </c>
      <c r="F843" s="5">
        <v>19</v>
      </c>
      <c r="G843" s="5">
        <v>565565</v>
      </c>
      <c r="H843" s="5">
        <v>113</v>
      </c>
      <c r="I843" s="8">
        <v>169.66999820000001</v>
      </c>
      <c r="J843" s="5">
        <v>7</v>
      </c>
      <c r="K843" s="5">
        <v>4</v>
      </c>
      <c r="L843" s="14">
        <f t="shared" si="65"/>
        <v>0.30000088088902249</v>
      </c>
      <c r="M843" s="14">
        <f t="shared" si="69"/>
        <v>1.5015044088495575</v>
      </c>
      <c r="N843" s="20">
        <f t="shared" si="66"/>
        <v>1.998001998001998E-4</v>
      </c>
      <c r="O843" s="14">
        <f t="shared" si="67"/>
        <v>42.417499550000002</v>
      </c>
      <c r="P843" s="20">
        <f t="shared" si="68"/>
        <v>3.5398230088495575E-2</v>
      </c>
    </row>
    <row r="844" spans="1:16" x14ac:dyDescent="0.25">
      <c r="A844">
        <v>1121769</v>
      </c>
      <c r="B844">
        <v>1178</v>
      </c>
      <c r="C844">
        <v>144652</v>
      </c>
      <c r="D844" t="s">
        <v>11</v>
      </c>
      <c r="E844" t="s">
        <v>16</v>
      </c>
      <c r="F844" s="5">
        <v>20</v>
      </c>
      <c r="G844" s="5">
        <v>253758</v>
      </c>
      <c r="H844" s="5">
        <v>43</v>
      </c>
      <c r="I844" s="8">
        <v>62.14000034</v>
      </c>
      <c r="J844" s="5">
        <v>4</v>
      </c>
      <c r="K844" s="5">
        <v>1</v>
      </c>
      <c r="L844" s="14">
        <f t="shared" si="65"/>
        <v>0.2448789805247519</v>
      </c>
      <c r="M844" s="14">
        <f t="shared" si="69"/>
        <v>1.4451162869767442</v>
      </c>
      <c r="N844" s="20">
        <f t="shared" si="66"/>
        <v>1.6945278572498207E-4</v>
      </c>
      <c r="O844" s="14">
        <f t="shared" si="67"/>
        <v>62.14000034</v>
      </c>
      <c r="P844" s="20">
        <f t="shared" si="68"/>
        <v>2.3255813953488372E-2</v>
      </c>
    </row>
    <row r="845" spans="1:16" x14ac:dyDescent="0.25">
      <c r="A845">
        <v>1121773</v>
      </c>
      <c r="B845">
        <v>1178</v>
      </c>
      <c r="C845">
        <v>144652</v>
      </c>
      <c r="D845" t="s">
        <v>11</v>
      </c>
      <c r="E845" t="s">
        <v>16</v>
      </c>
      <c r="F845" s="5">
        <v>20</v>
      </c>
      <c r="G845" s="5">
        <v>319131</v>
      </c>
      <c r="H845" s="5">
        <v>51</v>
      </c>
      <c r="I845" s="8">
        <v>76.680000250000006</v>
      </c>
      <c r="J845" s="5">
        <v>6</v>
      </c>
      <c r="K845" s="5">
        <v>1</v>
      </c>
      <c r="L845" s="14">
        <f t="shared" si="65"/>
        <v>0.24027750437907947</v>
      </c>
      <c r="M845" s="14">
        <f t="shared" si="69"/>
        <v>1.5035294166666668</v>
      </c>
      <c r="N845" s="20">
        <f t="shared" si="66"/>
        <v>1.5980898126474708E-4</v>
      </c>
      <c r="O845" s="14">
        <f t="shared" si="67"/>
        <v>76.680000250000006</v>
      </c>
      <c r="P845" s="20">
        <f t="shared" si="68"/>
        <v>1.9607843137254902E-2</v>
      </c>
    </row>
    <row r="846" spans="1:16" x14ac:dyDescent="0.25">
      <c r="A846">
        <v>1121774</v>
      </c>
      <c r="B846">
        <v>1178</v>
      </c>
      <c r="C846">
        <v>144652</v>
      </c>
      <c r="D846" t="s">
        <v>11</v>
      </c>
      <c r="E846" t="s">
        <v>16</v>
      </c>
      <c r="F846" s="5">
        <v>20</v>
      </c>
      <c r="G846" s="5">
        <v>670608</v>
      </c>
      <c r="H846" s="5">
        <v>130</v>
      </c>
      <c r="I846" s="8">
        <v>195.14999779999999</v>
      </c>
      <c r="J846" s="5">
        <v>11</v>
      </c>
      <c r="K846" s="5">
        <v>3</v>
      </c>
      <c r="L846" s="14">
        <f t="shared" si="65"/>
        <v>0.29100457763700999</v>
      </c>
      <c r="M846" s="14">
        <f t="shared" si="69"/>
        <v>1.5011538292307691</v>
      </c>
      <c r="N846" s="20">
        <f t="shared" si="66"/>
        <v>1.9385393553312814E-4</v>
      </c>
      <c r="O846" s="14">
        <f t="shared" si="67"/>
        <v>65.04999926666666</v>
      </c>
      <c r="P846" s="20">
        <f t="shared" si="68"/>
        <v>2.3076923076923078E-2</v>
      </c>
    </row>
    <row r="847" spans="1:16" x14ac:dyDescent="0.25">
      <c r="A847">
        <v>1121775</v>
      </c>
      <c r="B847">
        <v>1178</v>
      </c>
      <c r="C847">
        <v>144653</v>
      </c>
      <c r="D847" t="s">
        <v>11</v>
      </c>
      <c r="E847" t="s">
        <v>16</v>
      </c>
      <c r="F847" s="5">
        <v>21</v>
      </c>
      <c r="G847" s="5">
        <v>159123</v>
      </c>
      <c r="H847" s="5">
        <v>25</v>
      </c>
      <c r="I847" s="8">
        <v>38.360000130000003</v>
      </c>
      <c r="J847" s="5">
        <v>5</v>
      </c>
      <c r="K847" s="5">
        <v>3</v>
      </c>
      <c r="L847" s="14">
        <f t="shared" si="65"/>
        <v>0.2410713732772761</v>
      </c>
      <c r="M847" s="14">
        <f t="shared" si="69"/>
        <v>1.5344000052000002</v>
      </c>
      <c r="N847" s="20">
        <f t="shared" si="66"/>
        <v>1.5711116557631517E-4</v>
      </c>
      <c r="O847" s="14">
        <f t="shared" si="67"/>
        <v>12.78666671</v>
      </c>
      <c r="P847" s="20">
        <f t="shared" si="68"/>
        <v>0.12</v>
      </c>
    </row>
    <row r="848" spans="1:16" x14ac:dyDescent="0.25">
      <c r="A848">
        <v>1121776</v>
      </c>
      <c r="B848">
        <v>1178</v>
      </c>
      <c r="C848">
        <v>144653</v>
      </c>
      <c r="D848" t="s">
        <v>11</v>
      </c>
      <c r="E848" t="s">
        <v>16</v>
      </c>
      <c r="F848" s="5">
        <v>21</v>
      </c>
      <c r="G848" s="5">
        <v>103709</v>
      </c>
      <c r="H848" s="5">
        <v>15</v>
      </c>
      <c r="I848" s="8">
        <v>24.56999969</v>
      </c>
      <c r="J848" s="5">
        <v>3</v>
      </c>
      <c r="K848" s="5">
        <v>1</v>
      </c>
      <c r="L848" s="14">
        <f t="shared" si="65"/>
        <v>0.23691289753059039</v>
      </c>
      <c r="M848" s="14">
        <f t="shared" si="69"/>
        <v>1.6379999793333333</v>
      </c>
      <c r="N848" s="20">
        <f t="shared" si="66"/>
        <v>1.4463547040276158E-4</v>
      </c>
      <c r="O848" s="14">
        <f t="shared" si="67"/>
        <v>24.56999969</v>
      </c>
      <c r="P848" s="20">
        <f t="shared" si="68"/>
        <v>6.6666666666666666E-2</v>
      </c>
    </row>
    <row r="849" spans="1:16" x14ac:dyDescent="0.25">
      <c r="A849">
        <v>1121779</v>
      </c>
      <c r="B849">
        <v>1178</v>
      </c>
      <c r="C849">
        <v>144653</v>
      </c>
      <c r="D849" t="s">
        <v>11</v>
      </c>
      <c r="E849" t="s">
        <v>16</v>
      </c>
      <c r="F849" s="5">
        <v>21</v>
      </c>
      <c r="G849" s="5">
        <v>271589</v>
      </c>
      <c r="H849" s="5">
        <v>45</v>
      </c>
      <c r="I849" s="8">
        <v>74.410000319999995</v>
      </c>
      <c r="J849" s="5">
        <v>9</v>
      </c>
      <c r="K849" s="5">
        <v>3</v>
      </c>
      <c r="L849" s="14">
        <f t="shared" si="65"/>
        <v>0.27398016974177891</v>
      </c>
      <c r="M849" s="14">
        <f t="shared" si="69"/>
        <v>1.6535555626666665</v>
      </c>
      <c r="N849" s="20">
        <f t="shared" si="66"/>
        <v>1.6569154126271681E-4</v>
      </c>
      <c r="O849" s="14">
        <f t="shared" si="67"/>
        <v>24.803333439999999</v>
      </c>
      <c r="P849" s="20">
        <f t="shared" si="68"/>
        <v>6.6666666666666666E-2</v>
      </c>
    </row>
    <row r="850" spans="1:16" x14ac:dyDescent="0.25">
      <c r="A850">
        <v>1121780</v>
      </c>
      <c r="B850">
        <v>1178</v>
      </c>
      <c r="C850">
        <v>144653</v>
      </c>
      <c r="D850" t="s">
        <v>11</v>
      </c>
      <c r="E850" t="s">
        <v>16</v>
      </c>
      <c r="F850" s="5">
        <v>21</v>
      </c>
      <c r="G850" s="5">
        <v>119772</v>
      </c>
      <c r="H850" s="5">
        <v>20</v>
      </c>
      <c r="I850" s="8">
        <v>33.46999907</v>
      </c>
      <c r="J850" s="5">
        <v>5</v>
      </c>
      <c r="K850" s="5">
        <v>2</v>
      </c>
      <c r="L850" s="14">
        <f t="shared" si="65"/>
        <v>0.27944760937447816</v>
      </c>
      <c r="M850" s="14">
        <f t="shared" si="69"/>
        <v>1.6734999534999999</v>
      </c>
      <c r="N850" s="20">
        <f t="shared" si="66"/>
        <v>1.6698393614534283E-4</v>
      </c>
      <c r="O850" s="14">
        <f t="shared" si="67"/>
        <v>16.734999535</v>
      </c>
      <c r="P850" s="20">
        <f t="shared" si="68"/>
        <v>0.1</v>
      </c>
    </row>
    <row r="851" spans="1:16" x14ac:dyDescent="0.25">
      <c r="A851">
        <v>1121782</v>
      </c>
      <c r="B851">
        <v>1178</v>
      </c>
      <c r="C851">
        <v>144654</v>
      </c>
      <c r="D851" t="s">
        <v>11</v>
      </c>
      <c r="E851" t="s">
        <v>16</v>
      </c>
      <c r="F851" s="5">
        <v>22</v>
      </c>
      <c r="G851" s="5">
        <v>26340</v>
      </c>
      <c r="H851" s="5">
        <v>3</v>
      </c>
      <c r="I851" s="8">
        <v>4.2200000290000004</v>
      </c>
      <c r="J851" s="5">
        <v>1</v>
      </c>
      <c r="K851" s="5">
        <v>1</v>
      </c>
      <c r="L851" s="14">
        <f t="shared" si="65"/>
        <v>0.16021260550493546</v>
      </c>
      <c r="M851" s="14">
        <f t="shared" si="69"/>
        <v>1.4066666763333335</v>
      </c>
      <c r="N851" s="20">
        <f t="shared" si="66"/>
        <v>1.1389521640091117E-4</v>
      </c>
      <c r="O851" s="14">
        <f t="shared" si="67"/>
        <v>4.2200000290000004</v>
      </c>
      <c r="P851" s="20">
        <f t="shared" si="68"/>
        <v>0.33333333333333331</v>
      </c>
    </row>
    <row r="852" spans="1:16" x14ac:dyDescent="0.25">
      <c r="A852">
        <v>1121783</v>
      </c>
      <c r="B852">
        <v>1178</v>
      </c>
      <c r="C852">
        <v>144654</v>
      </c>
      <c r="D852" t="s">
        <v>11</v>
      </c>
      <c r="E852" t="s">
        <v>16</v>
      </c>
      <c r="F852" s="5">
        <v>22</v>
      </c>
      <c r="G852" s="5">
        <v>594968</v>
      </c>
      <c r="H852" s="5">
        <v>111</v>
      </c>
      <c r="I852" s="8">
        <v>147.67000060000001</v>
      </c>
      <c r="J852" s="5">
        <v>4</v>
      </c>
      <c r="K852" s="5">
        <v>0</v>
      </c>
      <c r="L852" s="14">
        <f t="shared" si="65"/>
        <v>0.24819822343386536</v>
      </c>
      <c r="M852" s="14">
        <f t="shared" si="69"/>
        <v>1.3303603657657659</v>
      </c>
      <c r="N852" s="20">
        <f t="shared" si="66"/>
        <v>1.8656465557811513E-4</v>
      </c>
      <c r="O852" s="14" t="str">
        <f t="shared" si="67"/>
        <v xml:space="preserve"> </v>
      </c>
      <c r="P852" s="20">
        <f t="shared" si="68"/>
        <v>0</v>
      </c>
    </row>
    <row r="853" spans="1:16" x14ac:dyDescent="0.25">
      <c r="A853">
        <v>1121791</v>
      </c>
      <c r="B853">
        <v>1178</v>
      </c>
      <c r="C853">
        <v>144655</v>
      </c>
      <c r="D853" t="s">
        <v>11</v>
      </c>
      <c r="E853" t="s">
        <v>16</v>
      </c>
      <c r="F853" s="5">
        <v>23</v>
      </c>
      <c r="G853" s="5">
        <v>6838</v>
      </c>
      <c r="H853" s="5">
        <v>0</v>
      </c>
      <c r="I853" s="8">
        <v>0</v>
      </c>
      <c r="J853" s="5">
        <v>1</v>
      </c>
      <c r="K853" s="5">
        <v>0</v>
      </c>
      <c r="L853" s="14">
        <f t="shared" si="65"/>
        <v>0</v>
      </c>
      <c r="M853" s="14" t="str">
        <f t="shared" si="69"/>
        <v xml:space="preserve"> </v>
      </c>
      <c r="N853" s="20">
        <f t="shared" si="66"/>
        <v>0</v>
      </c>
      <c r="O853" s="14" t="str">
        <f t="shared" si="67"/>
        <v xml:space="preserve"> </v>
      </c>
      <c r="P853" s="20">
        <f t="shared" si="68"/>
        <v>0</v>
      </c>
    </row>
    <row r="854" spans="1:16" x14ac:dyDescent="0.25">
      <c r="A854">
        <v>1121793</v>
      </c>
      <c r="B854">
        <v>1178</v>
      </c>
      <c r="C854">
        <v>144656</v>
      </c>
      <c r="D854" t="s">
        <v>11</v>
      </c>
      <c r="E854" t="s">
        <v>16</v>
      </c>
      <c r="F854" s="5">
        <v>24</v>
      </c>
      <c r="G854" s="5">
        <v>185665</v>
      </c>
      <c r="H854" s="5">
        <v>39</v>
      </c>
      <c r="I854" s="8">
        <v>62.140000579999999</v>
      </c>
      <c r="J854" s="5">
        <v>1</v>
      </c>
      <c r="K854" s="5">
        <v>0</v>
      </c>
      <c r="L854" s="14">
        <f t="shared" si="65"/>
        <v>0.33468882438801062</v>
      </c>
      <c r="M854" s="14">
        <f t="shared" si="69"/>
        <v>1.5933333482051282</v>
      </c>
      <c r="N854" s="20">
        <f t="shared" si="66"/>
        <v>2.1005574556324564E-4</v>
      </c>
      <c r="O854" s="14" t="str">
        <f t="shared" si="67"/>
        <v xml:space="preserve"> </v>
      </c>
      <c r="P854" s="20">
        <f t="shared" si="68"/>
        <v>0</v>
      </c>
    </row>
    <row r="855" spans="1:16" x14ac:dyDescent="0.25">
      <c r="A855">
        <v>1121795</v>
      </c>
      <c r="B855">
        <v>1178</v>
      </c>
      <c r="C855">
        <v>144656</v>
      </c>
      <c r="D855" t="s">
        <v>11</v>
      </c>
      <c r="E855" t="s">
        <v>16</v>
      </c>
      <c r="F855" s="5">
        <v>24</v>
      </c>
      <c r="G855" s="5">
        <v>24959</v>
      </c>
      <c r="H855" s="5">
        <v>3</v>
      </c>
      <c r="I855" s="8">
        <v>4.5600000620000003</v>
      </c>
      <c r="J855" s="5">
        <v>1</v>
      </c>
      <c r="K855" s="5">
        <v>1</v>
      </c>
      <c r="L855" s="14">
        <f t="shared" si="65"/>
        <v>0.18269962987299171</v>
      </c>
      <c r="M855" s="14">
        <f t="shared" si="69"/>
        <v>1.5200000206666668</v>
      </c>
      <c r="N855" s="20">
        <f t="shared" si="66"/>
        <v>1.2019712328218278E-4</v>
      </c>
      <c r="O855" s="14">
        <f t="shared" si="67"/>
        <v>4.5600000620000003</v>
      </c>
      <c r="P855" s="20">
        <f t="shared" si="68"/>
        <v>0.33333333333333331</v>
      </c>
    </row>
    <row r="856" spans="1:16" x14ac:dyDescent="0.25">
      <c r="A856">
        <v>1121796</v>
      </c>
      <c r="B856">
        <v>1178</v>
      </c>
      <c r="C856">
        <v>144656</v>
      </c>
      <c r="D856" t="s">
        <v>11</v>
      </c>
      <c r="E856" t="s">
        <v>16</v>
      </c>
      <c r="F856" s="5">
        <v>24</v>
      </c>
      <c r="G856" s="5">
        <v>136967</v>
      </c>
      <c r="H856" s="5">
        <v>23</v>
      </c>
      <c r="I856" s="8">
        <v>35.059999820000002</v>
      </c>
      <c r="J856" s="5">
        <v>3</v>
      </c>
      <c r="K856" s="5">
        <v>1</v>
      </c>
      <c r="L856" s="14">
        <f t="shared" si="65"/>
        <v>0.25597406543181939</v>
      </c>
      <c r="M856" s="14">
        <f t="shared" si="69"/>
        <v>1.5243478182608696</v>
      </c>
      <c r="N856" s="20">
        <f t="shared" si="66"/>
        <v>1.6792366044375651E-4</v>
      </c>
      <c r="O856" s="14">
        <f t="shared" si="67"/>
        <v>35.059999820000002</v>
      </c>
      <c r="P856" s="20">
        <f t="shared" si="68"/>
        <v>4.3478260869565216E-2</v>
      </c>
    </row>
    <row r="857" spans="1:16" x14ac:dyDescent="0.25">
      <c r="A857">
        <v>1121798</v>
      </c>
      <c r="B857">
        <v>1178</v>
      </c>
      <c r="C857">
        <v>144656</v>
      </c>
      <c r="D857" t="s">
        <v>11</v>
      </c>
      <c r="E857" t="s">
        <v>16</v>
      </c>
      <c r="F857" s="5">
        <v>24</v>
      </c>
      <c r="G857" s="5">
        <v>107548</v>
      </c>
      <c r="H857" s="5">
        <v>19</v>
      </c>
      <c r="I857" s="8">
        <v>29.310000179999999</v>
      </c>
      <c r="J857" s="5">
        <v>1</v>
      </c>
      <c r="K857" s="5">
        <v>0</v>
      </c>
      <c r="L857" s="14">
        <f t="shared" si="65"/>
        <v>0.27252947688473983</v>
      </c>
      <c r="M857" s="14">
        <f t="shared" si="69"/>
        <v>1.5426315884210526</v>
      </c>
      <c r="N857" s="20">
        <f t="shared" si="66"/>
        <v>1.7666530293450366E-4</v>
      </c>
      <c r="O857" s="14" t="str">
        <f t="shared" si="67"/>
        <v xml:space="preserve"> </v>
      </c>
      <c r="P857" s="20">
        <f t="shared" si="68"/>
        <v>0</v>
      </c>
    </row>
    <row r="858" spans="1:16" x14ac:dyDescent="0.25">
      <c r="A858">
        <v>1121803</v>
      </c>
      <c r="B858">
        <v>1178</v>
      </c>
      <c r="C858">
        <v>144657</v>
      </c>
      <c r="D858" t="s">
        <v>11</v>
      </c>
      <c r="E858" t="s">
        <v>16</v>
      </c>
      <c r="F858" s="5">
        <v>25</v>
      </c>
      <c r="G858" s="5">
        <v>588617</v>
      </c>
      <c r="H858" s="5">
        <v>119</v>
      </c>
      <c r="I858" s="8">
        <v>169.91999730000001</v>
      </c>
      <c r="J858" s="5">
        <v>2</v>
      </c>
      <c r="K858" s="5">
        <v>0</v>
      </c>
      <c r="L858" s="14">
        <f t="shared" si="65"/>
        <v>0.2886766731168145</v>
      </c>
      <c r="M858" s="14">
        <f t="shared" si="69"/>
        <v>1.42789913697479</v>
      </c>
      <c r="N858" s="20">
        <f t="shared" si="66"/>
        <v>2.0216881265746657E-4</v>
      </c>
      <c r="O858" s="14" t="str">
        <f t="shared" si="67"/>
        <v xml:space="preserve"> </v>
      </c>
      <c r="P858" s="20">
        <f t="shared" si="68"/>
        <v>0</v>
      </c>
    </row>
    <row r="859" spans="1:16" x14ac:dyDescent="0.25">
      <c r="A859">
        <v>1121806</v>
      </c>
      <c r="B859">
        <v>1178</v>
      </c>
      <c r="C859">
        <v>144658</v>
      </c>
      <c r="D859" t="s">
        <v>11</v>
      </c>
      <c r="E859" t="s">
        <v>16</v>
      </c>
      <c r="F859" s="5">
        <v>26</v>
      </c>
      <c r="G859" s="5">
        <v>190560</v>
      </c>
      <c r="H859" s="5">
        <v>26</v>
      </c>
      <c r="I859" s="8">
        <v>41.63</v>
      </c>
      <c r="J859" s="5">
        <v>3</v>
      </c>
      <c r="K859" s="5">
        <v>1</v>
      </c>
      <c r="L859" s="14">
        <f t="shared" si="65"/>
        <v>0.21846137699412257</v>
      </c>
      <c r="M859" s="14">
        <f t="shared" si="69"/>
        <v>1.6011538461538461</v>
      </c>
      <c r="N859" s="20">
        <f t="shared" si="66"/>
        <v>1.3643996641477749E-4</v>
      </c>
      <c r="O859" s="14">
        <f t="shared" si="67"/>
        <v>41.63</v>
      </c>
      <c r="P859" s="20">
        <f t="shared" si="68"/>
        <v>3.8461538461538464E-2</v>
      </c>
    </row>
    <row r="860" spans="1:16" x14ac:dyDescent="0.25">
      <c r="A860">
        <v>1121807</v>
      </c>
      <c r="B860">
        <v>1178</v>
      </c>
      <c r="C860">
        <v>144658</v>
      </c>
      <c r="D860" t="s">
        <v>11</v>
      </c>
      <c r="E860" t="s">
        <v>16</v>
      </c>
      <c r="F860" s="5">
        <v>26</v>
      </c>
      <c r="G860" s="5">
        <v>373110</v>
      </c>
      <c r="H860" s="5">
        <v>49</v>
      </c>
      <c r="I860" s="8">
        <v>75.700000759999995</v>
      </c>
      <c r="J860" s="5">
        <v>4</v>
      </c>
      <c r="K860" s="5">
        <v>2</v>
      </c>
      <c r="L860" s="14">
        <f t="shared" si="65"/>
        <v>0.20288923041462303</v>
      </c>
      <c r="M860" s="14">
        <f t="shared" si="69"/>
        <v>1.5448979746938774</v>
      </c>
      <c r="N860" s="20">
        <f t="shared" si="66"/>
        <v>1.3132856262228296E-4</v>
      </c>
      <c r="O860" s="14">
        <f t="shared" si="67"/>
        <v>37.850000379999997</v>
      </c>
      <c r="P860" s="20">
        <f t="shared" si="68"/>
        <v>4.0816326530612242E-2</v>
      </c>
    </row>
    <row r="861" spans="1:16" x14ac:dyDescent="0.25">
      <c r="A861">
        <v>1121812</v>
      </c>
      <c r="B861">
        <v>1178</v>
      </c>
      <c r="C861">
        <v>144659</v>
      </c>
      <c r="D861" t="s">
        <v>11</v>
      </c>
      <c r="E861" t="s">
        <v>16</v>
      </c>
      <c r="F861" s="5">
        <v>27</v>
      </c>
      <c r="G861" s="5">
        <v>935646</v>
      </c>
      <c r="H861" s="5">
        <v>170</v>
      </c>
      <c r="I861" s="8">
        <v>256.46999820000002</v>
      </c>
      <c r="J861" s="5">
        <v>19</v>
      </c>
      <c r="K861" s="5">
        <v>6</v>
      </c>
      <c r="L861" s="14">
        <f t="shared" si="65"/>
        <v>0.27411007817059019</v>
      </c>
      <c r="M861" s="14">
        <f t="shared" si="69"/>
        <v>1.5086470482352943</v>
      </c>
      <c r="N861" s="20">
        <f t="shared" si="66"/>
        <v>1.8169264871543297E-4</v>
      </c>
      <c r="O861" s="14">
        <f t="shared" si="67"/>
        <v>42.744999700000001</v>
      </c>
      <c r="P861" s="20">
        <f t="shared" si="68"/>
        <v>3.5294117647058823E-2</v>
      </c>
    </row>
    <row r="862" spans="1:16" x14ac:dyDescent="0.25">
      <c r="A862">
        <v>1121814</v>
      </c>
      <c r="B862">
        <v>1178</v>
      </c>
      <c r="C862">
        <v>144659</v>
      </c>
      <c r="D862" t="s">
        <v>11</v>
      </c>
      <c r="E862" t="s">
        <v>16</v>
      </c>
      <c r="F862" s="5">
        <v>27</v>
      </c>
      <c r="G862" s="5">
        <v>2223278</v>
      </c>
      <c r="H862" s="5">
        <v>421</v>
      </c>
      <c r="I862" s="8">
        <v>612.30000319999999</v>
      </c>
      <c r="J862" s="5">
        <v>38</v>
      </c>
      <c r="K862" s="5">
        <v>13</v>
      </c>
      <c r="L862" s="14">
        <f t="shared" si="65"/>
        <v>0.27540415692504494</v>
      </c>
      <c r="M862" s="14">
        <f t="shared" si="69"/>
        <v>1.4543943068883611</v>
      </c>
      <c r="N862" s="20">
        <f t="shared" si="66"/>
        <v>1.8936003504734899E-4</v>
      </c>
      <c r="O862" s="14">
        <f t="shared" si="67"/>
        <v>47.100000246153847</v>
      </c>
      <c r="P862" s="20">
        <f t="shared" si="68"/>
        <v>3.0878859857482184E-2</v>
      </c>
    </row>
    <row r="863" spans="1:16" x14ac:dyDescent="0.25">
      <c r="A863">
        <v>1121815</v>
      </c>
      <c r="B863">
        <v>1178</v>
      </c>
      <c r="C863">
        <v>144659</v>
      </c>
      <c r="D863" t="s">
        <v>11</v>
      </c>
      <c r="E863" t="s">
        <v>16</v>
      </c>
      <c r="F863" s="5">
        <v>27</v>
      </c>
      <c r="G863" s="5">
        <v>240497</v>
      </c>
      <c r="H863" s="5">
        <v>36</v>
      </c>
      <c r="I863" s="8">
        <v>51.840000869999997</v>
      </c>
      <c r="J863" s="5">
        <v>1</v>
      </c>
      <c r="K863" s="5">
        <v>0</v>
      </c>
      <c r="L863" s="14">
        <f t="shared" si="65"/>
        <v>0.2155536279870435</v>
      </c>
      <c r="M863" s="14">
        <f t="shared" si="69"/>
        <v>1.4400000241666666</v>
      </c>
      <c r="N863" s="20">
        <f t="shared" si="66"/>
        <v>1.4969001692328803E-4</v>
      </c>
      <c r="O863" s="14" t="str">
        <f t="shared" si="67"/>
        <v xml:space="preserve"> </v>
      </c>
      <c r="P863" s="20">
        <f t="shared" si="68"/>
        <v>0</v>
      </c>
    </row>
    <row r="864" spans="1:16" x14ac:dyDescent="0.25">
      <c r="A864">
        <v>1121816</v>
      </c>
      <c r="B864">
        <v>1178</v>
      </c>
      <c r="C864">
        <v>144659</v>
      </c>
      <c r="D864" t="s">
        <v>11</v>
      </c>
      <c r="E864" t="s">
        <v>16</v>
      </c>
      <c r="F864" s="5">
        <v>27</v>
      </c>
      <c r="G864" s="5">
        <v>259984</v>
      </c>
      <c r="H864" s="5">
        <v>37</v>
      </c>
      <c r="I864" s="8">
        <v>54.790000200000001</v>
      </c>
      <c r="J864" s="5">
        <v>5</v>
      </c>
      <c r="K864" s="5">
        <v>0</v>
      </c>
      <c r="L864" s="14">
        <f t="shared" si="65"/>
        <v>0.2107437388454674</v>
      </c>
      <c r="M864" s="14">
        <f t="shared" si="69"/>
        <v>1.4808108162162164</v>
      </c>
      <c r="N864" s="20">
        <f t="shared" si="66"/>
        <v>1.4231645024309188E-4</v>
      </c>
      <c r="O864" s="14" t="str">
        <f t="shared" si="67"/>
        <v xml:space="preserve"> </v>
      </c>
      <c r="P864" s="20">
        <f t="shared" si="68"/>
        <v>0</v>
      </c>
    </row>
    <row r="865" spans="1:16" x14ac:dyDescent="0.25">
      <c r="A865">
        <v>1121817</v>
      </c>
      <c r="B865">
        <v>1178</v>
      </c>
      <c r="C865">
        <v>144660</v>
      </c>
      <c r="D865" t="s">
        <v>11</v>
      </c>
      <c r="E865" t="s">
        <v>16</v>
      </c>
      <c r="F865" s="5">
        <v>28</v>
      </c>
      <c r="G865" s="5">
        <v>606786</v>
      </c>
      <c r="H865" s="5">
        <v>127</v>
      </c>
      <c r="I865" s="8">
        <v>179.05000100000001</v>
      </c>
      <c r="J865" s="5">
        <v>11</v>
      </c>
      <c r="K865" s="5">
        <v>3</v>
      </c>
      <c r="L865" s="14">
        <f t="shared" si="65"/>
        <v>0.29507932121044322</v>
      </c>
      <c r="M865" s="14">
        <f t="shared" si="69"/>
        <v>1.4098425275590551</v>
      </c>
      <c r="N865" s="20">
        <f t="shared" si="66"/>
        <v>2.0929948944108795E-4</v>
      </c>
      <c r="O865" s="14">
        <f t="shared" si="67"/>
        <v>59.68333366666667</v>
      </c>
      <c r="P865" s="20">
        <f t="shared" si="68"/>
        <v>2.3622047244094488E-2</v>
      </c>
    </row>
    <row r="866" spans="1:16" x14ac:dyDescent="0.25">
      <c r="A866">
        <v>1121818</v>
      </c>
      <c r="B866">
        <v>1178</v>
      </c>
      <c r="C866">
        <v>144660</v>
      </c>
      <c r="D866" t="s">
        <v>11</v>
      </c>
      <c r="E866" t="s">
        <v>16</v>
      </c>
      <c r="F866" s="5">
        <v>28</v>
      </c>
      <c r="G866" s="5">
        <v>83270</v>
      </c>
      <c r="H866" s="5">
        <v>13</v>
      </c>
      <c r="I866" s="8">
        <v>17.740000009999999</v>
      </c>
      <c r="J866" s="5">
        <v>1</v>
      </c>
      <c r="K866" s="5">
        <v>0</v>
      </c>
      <c r="L866" s="14">
        <f t="shared" si="65"/>
        <v>0.21304191197309955</v>
      </c>
      <c r="M866" s="14">
        <f t="shared" si="69"/>
        <v>1.3646153853846152</v>
      </c>
      <c r="N866" s="20">
        <f t="shared" si="66"/>
        <v>1.5611865017413235E-4</v>
      </c>
      <c r="O866" s="14" t="str">
        <f t="shared" si="67"/>
        <v xml:space="preserve"> </v>
      </c>
      <c r="P866" s="20">
        <f t="shared" si="68"/>
        <v>0</v>
      </c>
    </row>
    <row r="867" spans="1:16" x14ac:dyDescent="0.25">
      <c r="A867">
        <v>1121819</v>
      </c>
      <c r="B867">
        <v>1178</v>
      </c>
      <c r="C867">
        <v>144660</v>
      </c>
      <c r="D867" t="s">
        <v>11</v>
      </c>
      <c r="E867" t="s">
        <v>16</v>
      </c>
      <c r="F867" s="5">
        <v>28</v>
      </c>
      <c r="G867" s="5">
        <v>1189509</v>
      </c>
      <c r="H867" s="5">
        <v>268</v>
      </c>
      <c r="I867" s="8">
        <v>375.71999629999999</v>
      </c>
      <c r="J867" s="5">
        <v>7</v>
      </c>
      <c r="K867" s="5">
        <v>3</v>
      </c>
      <c r="L867" s="14">
        <f t="shared" si="65"/>
        <v>0.31586141534027906</v>
      </c>
      <c r="M867" s="14">
        <f t="shared" si="69"/>
        <v>1.4019402847014926</v>
      </c>
      <c r="N867" s="20">
        <f t="shared" si="66"/>
        <v>2.2530304520604721E-4</v>
      </c>
      <c r="O867" s="14">
        <f t="shared" si="67"/>
        <v>125.23999876666666</v>
      </c>
      <c r="P867" s="20">
        <f t="shared" si="68"/>
        <v>1.1194029850746268E-2</v>
      </c>
    </row>
    <row r="868" spans="1:16" x14ac:dyDescent="0.25">
      <c r="A868">
        <v>1121820</v>
      </c>
      <c r="B868">
        <v>1178</v>
      </c>
      <c r="C868">
        <v>144660</v>
      </c>
      <c r="D868" t="s">
        <v>11</v>
      </c>
      <c r="E868" t="s">
        <v>16</v>
      </c>
      <c r="F868" s="5">
        <v>28</v>
      </c>
      <c r="G868" s="5">
        <v>11471</v>
      </c>
      <c r="H868" s="5">
        <v>1</v>
      </c>
      <c r="I868" s="8">
        <v>1.5700000519999999</v>
      </c>
      <c r="J868" s="5">
        <v>0</v>
      </c>
      <c r="K868" s="5">
        <v>0</v>
      </c>
      <c r="L868" s="14">
        <f t="shared" si="65"/>
        <v>0.1368668862348531</v>
      </c>
      <c r="M868" s="14">
        <f t="shared" si="69"/>
        <v>1.5700000519999999</v>
      </c>
      <c r="N868" s="20">
        <f t="shared" si="66"/>
        <v>8.7176357771772298E-5</v>
      </c>
      <c r="O868" s="14" t="str">
        <f t="shared" si="67"/>
        <v xml:space="preserve"> </v>
      </c>
      <c r="P868" s="20">
        <f t="shared" si="68"/>
        <v>0</v>
      </c>
    </row>
    <row r="869" spans="1:16" x14ac:dyDescent="0.25">
      <c r="A869">
        <v>1121824</v>
      </c>
      <c r="B869">
        <v>1178</v>
      </c>
      <c r="C869">
        <v>144661</v>
      </c>
      <c r="D869" t="s">
        <v>11</v>
      </c>
      <c r="E869" t="s">
        <v>16</v>
      </c>
      <c r="F869" s="5">
        <v>29</v>
      </c>
      <c r="G869" s="5">
        <v>1705246</v>
      </c>
      <c r="H869" s="5">
        <v>295</v>
      </c>
      <c r="I869" s="8">
        <v>429.47999809999999</v>
      </c>
      <c r="J869" s="5">
        <v>23</v>
      </c>
      <c r="K869" s="5">
        <v>10</v>
      </c>
      <c r="L869" s="14">
        <f t="shared" si="65"/>
        <v>0.2518580885690393</v>
      </c>
      <c r="M869" s="14">
        <f t="shared" si="69"/>
        <v>1.4558644003389831</v>
      </c>
      <c r="N869" s="20">
        <f t="shared" si="66"/>
        <v>1.7299556779491054E-4</v>
      </c>
      <c r="O869" s="14">
        <f t="shared" si="67"/>
        <v>42.947999809999999</v>
      </c>
      <c r="P869" s="20">
        <f t="shared" si="68"/>
        <v>3.3898305084745763E-2</v>
      </c>
    </row>
    <row r="870" spans="1:16" x14ac:dyDescent="0.25">
      <c r="A870">
        <v>1121826</v>
      </c>
      <c r="B870">
        <v>1178</v>
      </c>
      <c r="C870">
        <v>144661</v>
      </c>
      <c r="D870" t="s">
        <v>11</v>
      </c>
      <c r="E870" t="s">
        <v>16</v>
      </c>
      <c r="F870" s="5">
        <v>29</v>
      </c>
      <c r="G870" s="5">
        <v>418016</v>
      </c>
      <c r="H870" s="5">
        <v>63</v>
      </c>
      <c r="I870" s="8">
        <v>95.850000499999993</v>
      </c>
      <c r="J870" s="5">
        <v>3</v>
      </c>
      <c r="K870" s="5">
        <v>1</v>
      </c>
      <c r="L870" s="14">
        <f t="shared" si="65"/>
        <v>0.22929744435619689</v>
      </c>
      <c r="M870" s="14">
        <f t="shared" si="69"/>
        <v>1.5214285793650792</v>
      </c>
      <c r="N870" s="20">
        <f t="shared" si="66"/>
        <v>1.5071193447140779E-4</v>
      </c>
      <c r="O870" s="14">
        <f t="shared" si="67"/>
        <v>95.850000499999993</v>
      </c>
      <c r="P870" s="20">
        <f t="shared" si="68"/>
        <v>1.5873015873015872E-2</v>
      </c>
    </row>
    <row r="871" spans="1:16" x14ac:dyDescent="0.25">
      <c r="A871">
        <v>1121827</v>
      </c>
      <c r="B871">
        <v>1178</v>
      </c>
      <c r="C871">
        <v>144661</v>
      </c>
      <c r="D871" t="s">
        <v>11</v>
      </c>
      <c r="E871" t="s">
        <v>16</v>
      </c>
      <c r="F871" s="5">
        <v>29</v>
      </c>
      <c r="G871" s="5">
        <v>30155</v>
      </c>
      <c r="H871" s="5">
        <v>3</v>
      </c>
      <c r="I871" s="8">
        <v>3.8199999330000001</v>
      </c>
      <c r="J871" s="5">
        <v>1</v>
      </c>
      <c r="K871" s="5">
        <v>0</v>
      </c>
      <c r="L871" s="14">
        <f t="shared" si="65"/>
        <v>0.12667882384347537</v>
      </c>
      <c r="M871" s="14">
        <f t="shared" si="69"/>
        <v>1.273333311</v>
      </c>
      <c r="N871" s="20">
        <f t="shared" si="66"/>
        <v>9.9485989056541203E-5</v>
      </c>
      <c r="O871" s="14" t="str">
        <f t="shared" si="67"/>
        <v xml:space="preserve"> </v>
      </c>
      <c r="P871" s="20">
        <f t="shared" si="68"/>
        <v>0</v>
      </c>
    </row>
    <row r="872" spans="1:16" x14ac:dyDescent="0.25">
      <c r="A872">
        <v>1121828</v>
      </c>
      <c r="B872">
        <v>1178</v>
      </c>
      <c r="C872">
        <v>144661</v>
      </c>
      <c r="D872" t="s">
        <v>11</v>
      </c>
      <c r="E872" t="s">
        <v>16</v>
      </c>
      <c r="F872" s="5">
        <v>29</v>
      </c>
      <c r="G872" s="5">
        <v>990404</v>
      </c>
      <c r="H872" s="5">
        <v>153</v>
      </c>
      <c r="I872" s="8">
        <v>226.53999920000001</v>
      </c>
      <c r="J872" s="5">
        <v>12</v>
      </c>
      <c r="K872" s="5">
        <v>6</v>
      </c>
      <c r="L872" s="14">
        <f t="shared" si="65"/>
        <v>0.22873493968118064</v>
      </c>
      <c r="M872" s="14">
        <f t="shared" si="69"/>
        <v>1.4806535895424837</v>
      </c>
      <c r="N872" s="20">
        <f t="shared" si="66"/>
        <v>1.5448241323742635E-4</v>
      </c>
      <c r="O872" s="14">
        <f t="shared" si="67"/>
        <v>37.756666533333338</v>
      </c>
      <c r="P872" s="20">
        <f t="shared" si="68"/>
        <v>3.9215686274509803E-2</v>
      </c>
    </row>
    <row r="873" spans="1:16" x14ac:dyDescent="0.25">
      <c r="A873">
        <v>1121829</v>
      </c>
      <c r="B873">
        <v>1178</v>
      </c>
      <c r="C873">
        <v>144662</v>
      </c>
      <c r="D873" t="s">
        <v>11</v>
      </c>
      <c r="E873" t="s">
        <v>16</v>
      </c>
      <c r="F873" s="5">
        <v>30</v>
      </c>
      <c r="G873" s="5">
        <v>187468</v>
      </c>
      <c r="H873" s="5">
        <v>34</v>
      </c>
      <c r="I873" s="8">
        <v>50.72000062</v>
      </c>
      <c r="J873" s="5">
        <v>2</v>
      </c>
      <c r="K873" s="5">
        <v>1</v>
      </c>
      <c r="L873" s="14">
        <f t="shared" si="65"/>
        <v>0.27055284432543153</v>
      </c>
      <c r="M873" s="14">
        <f t="shared" si="69"/>
        <v>1.491764724117647</v>
      </c>
      <c r="N873" s="20">
        <f t="shared" si="66"/>
        <v>1.813642861715066E-4</v>
      </c>
      <c r="O873" s="14">
        <f t="shared" si="67"/>
        <v>50.72000062</v>
      </c>
      <c r="P873" s="20">
        <f t="shared" si="68"/>
        <v>2.9411764705882353E-2</v>
      </c>
    </row>
    <row r="874" spans="1:16" x14ac:dyDescent="0.25">
      <c r="A874">
        <v>1121832</v>
      </c>
      <c r="B874">
        <v>1178</v>
      </c>
      <c r="C874">
        <v>144662</v>
      </c>
      <c r="D874" t="s">
        <v>11</v>
      </c>
      <c r="E874" t="s">
        <v>16</v>
      </c>
      <c r="F874" s="5">
        <v>30</v>
      </c>
      <c r="G874" s="5">
        <v>208301</v>
      </c>
      <c r="H874" s="5">
        <v>33</v>
      </c>
      <c r="I874" s="8">
        <v>54.570000890000003</v>
      </c>
      <c r="J874" s="5">
        <v>1</v>
      </c>
      <c r="K874" s="5">
        <v>0</v>
      </c>
      <c r="L874" s="14">
        <f t="shared" si="65"/>
        <v>0.26197666305010542</v>
      </c>
      <c r="M874" s="14">
        <f t="shared" si="69"/>
        <v>1.6536363906060607</v>
      </c>
      <c r="N874" s="20">
        <f t="shared" si="66"/>
        <v>1.5842458749597938E-4</v>
      </c>
      <c r="O874" s="14" t="str">
        <f t="shared" si="67"/>
        <v xml:space="preserve"> </v>
      </c>
      <c r="P874" s="20">
        <f t="shared" si="68"/>
        <v>0</v>
      </c>
    </row>
    <row r="875" spans="1:16" x14ac:dyDescent="0.25">
      <c r="A875">
        <v>1121833</v>
      </c>
      <c r="B875">
        <v>1178</v>
      </c>
      <c r="C875">
        <v>144662</v>
      </c>
      <c r="D875" t="s">
        <v>11</v>
      </c>
      <c r="E875" t="s">
        <v>16</v>
      </c>
      <c r="F875" s="5">
        <v>30</v>
      </c>
      <c r="G875" s="5">
        <v>101856</v>
      </c>
      <c r="H875" s="5">
        <v>16</v>
      </c>
      <c r="I875" s="8">
        <v>25.220000389999999</v>
      </c>
      <c r="J875" s="5">
        <v>4</v>
      </c>
      <c r="K875" s="5">
        <v>1</v>
      </c>
      <c r="L875" s="14">
        <f t="shared" si="65"/>
        <v>0.24760446502906064</v>
      </c>
      <c r="M875" s="14">
        <f t="shared" si="69"/>
        <v>1.5762500243749999</v>
      </c>
      <c r="N875" s="20">
        <f t="shared" si="66"/>
        <v>1.5708451146716933E-4</v>
      </c>
      <c r="O875" s="14">
        <f t="shared" si="67"/>
        <v>25.220000389999999</v>
      </c>
      <c r="P875" s="20">
        <f t="shared" si="68"/>
        <v>6.25E-2</v>
      </c>
    </row>
    <row r="876" spans="1:16" x14ac:dyDescent="0.25">
      <c r="A876">
        <v>1121835</v>
      </c>
      <c r="B876">
        <v>1178</v>
      </c>
      <c r="C876">
        <v>144663</v>
      </c>
      <c r="D876" t="s">
        <v>11</v>
      </c>
      <c r="E876" t="s">
        <v>16</v>
      </c>
      <c r="F876" s="5">
        <v>31</v>
      </c>
      <c r="G876" s="5">
        <v>48935</v>
      </c>
      <c r="H876" s="5">
        <v>7</v>
      </c>
      <c r="I876" s="8">
        <v>9.9700002669999996</v>
      </c>
      <c r="J876" s="5">
        <v>1</v>
      </c>
      <c r="K876" s="5">
        <v>1</v>
      </c>
      <c r="L876" s="14">
        <f t="shared" si="65"/>
        <v>0.20373966010013281</v>
      </c>
      <c r="M876" s="14">
        <f t="shared" si="69"/>
        <v>1.4242857524285715</v>
      </c>
      <c r="N876" s="20">
        <f t="shared" si="66"/>
        <v>1.4304689894758353E-4</v>
      </c>
      <c r="O876" s="14">
        <f t="shared" si="67"/>
        <v>9.9700002669999996</v>
      </c>
      <c r="P876" s="20">
        <f t="shared" si="68"/>
        <v>0.14285714285714285</v>
      </c>
    </row>
    <row r="877" spans="1:16" x14ac:dyDescent="0.25">
      <c r="A877">
        <v>1121839</v>
      </c>
      <c r="B877">
        <v>1178</v>
      </c>
      <c r="C877">
        <v>144663</v>
      </c>
      <c r="D877" t="s">
        <v>11</v>
      </c>
      <c r="E877" t="s">
        <v>16</v>
      </c>
      <c r="F877" s="5">
        <v>31</v>
      </c>
      <c r="G877" s="5">
        <v>13911</v>
      </c>
      <c r="H877" s="5">
        <v>1</v>
      </c>
      <c r="I877" s="8">
        <v>1.730000019</v>
      </c>
      <c r="J877" s="5">
        <v>1</v>
      </c>
      <c r="K877" s="5">
        <v>1</v>
      </c>
      <c r="L877" s="14">
        <f t="shared" si="65"/>
        <v>0.1243620170368773</v>
      </c>
      <c r="M877" s="14">
        <f t="shared" si="69"/>
        <v>1.730000019</v>
      </c>
      <c r="N877" s="20">
        <f t="shared" si="66"/>
        <v>7.1885558191359353E-5</v>
      </c>
      <c r="O877" s="14">
        <f t="shared" si="67"/>
        <v>1.730000019</v>
      </c>
      <c r="P877" s="20">
        <f t="shared" si="68"/>
        <v>1</v>
      </c>
    </row>
    <row r="878" spans="1:16" x14ac:dyDescent="0.25">
      <c r="A878">
        <v>1121841</v>
      </c>
      <c r="B878">
        <v>1178</v>
      </c>
      <c r="C878">
        <v>144664</v>
      </c>
      <c r="D878" t="s">
        <v>11</v>
      </c>
      <c r="E878" t="s">
        <v>16</v>
      </c>
      <c r="F878" s="5">
        <v>32</v>
      </c>
      <c r="G878" s="5">
        <v>511726</v>
      </c>
      <c r="H878" s="5">
        <v>77</v>
      </c>
      <c r="I878" s="8">
        <v>123.0900019</v>
      </c>
      <c r="J878" s="5">
        <v>8</v>
      </c>
      <c r="K878" s="5">
        <v>4</v>
      </c>
      <c r="L878" s="14">
        <f t="shared" si="65"/>
        <v>0.24053888584906769</v>
      </c>
      <c r="M878" s="14">
        <f t="shared" si="69"/>
        <v>1.5985714532467532</v>
      </c>
      <c r="N878" s="20">
        <f t="shared" si="66"/>
        <v>1.5047115057667581E-4</v>
      </c>
      <c r="O878" s="14">
        <f t="shared" si="67"/>
        <v>30.772500475000001</v>
      </c>
      <c r="P878" s="20">
        <f t="shared" si="68"/>
        <v>5.1948051948051951E-2</v>
      </c>
    </row>
    <row r="879" spans="1:16" x14ac:dyDescent="0.25">
      <c r="A879">
        <v>1121843</v>
      </c>
      <c r="B879">
        <v>1178</v>
      </c>
      <c r="C879">
        <v>144664</v>
      </c>
      <c r="D879" t="s">
        <v>11</v>
      </c>
      <c r="E879" t="s">
        <v>16</v>
      </c>
      <c r="F879" s="5">
        <v>32</v>
      </c>
      <c r="G879" s="5">
        <v>177452</v>
      </c>
      <c r="H879" s="5">
        <v>24</v>
      </c>
      <c r="I879" s="8">
        <v>37.830000159999997</v>
      </c>
      <c r="J879" s="5">
        <v>2</v>
      </c>
      <c r="K879" s="5">
        <v>0</v>
      </c>
      <c r="L879" s="14">
        <f t="shared" si="65"/>
        <v>0.21318441133376911</v>
      </c>
      <c r="M879" s="14">
        <f t="shared" si="69"/>
        <v>1.5762500066666665</v>
      </c>
      <c r="N879" s="20">
        <f t="shared" si="66"/>
        <v>1.3524784166986002E-4</v>
      </c>
      <c r="O879" s="14" t="str">
        <f t="shared" si="67"/>
        <v xml:space="preserve"> </v>
      </c>
      <c r="P879" s="20">
        <f t="shared" si="68"/>
        <v>0</v>
      </c>
    </row>
    <row r="880" spans="1:16" x14ac:dyDescent="0.25">
      <c r="A880">
        <v>1121844</v>
      </c>
      <c r="B880">
        <v>1178</v>
      </c>
      <c r="C880">
        <v>144664</v>
      </c>
      <c r="D880" t="s">
        <v>11</v>
      </c>
      <c r="E880" t="s">
        <v>16</v>
      </c>
      <c r="F880" s="5">
        <v>32</v>
      </c>
      <c r="G880" s="5">
        <v>149808</v>
      </c>
      <c r="H880" s="5">
        <v>20</v>
      </c>
      <c r="I880" s="8">
        <v>33.039999369999997</v>
      </c>
      <c r="J880" s="5">
        <v>1</v>
      </c>
      <c r="K880" s="5">
        <v>1</v>
      </c>
      <c r="L880" s="14">
        <f t="shared" si="65"/>
        <v>0.22054896514204847</v>
      </c>
      <c r="M880" s="14">
        <f t="shared" si="69"/>
        <v>1.6519999684999997</v>
      </c>
      <c r="N880" s="20">
        <f t="shared" si="66"/>
        <v>1.3350421873331198E-4</v>
      </c>
      <c r="O880" s="14">
        <f t="shared" si="67"/>
        <v>33.039999369999997</v>
      </c>
      <c r="P880" s="20">
        <f t="shared" si="68"/>
        <v>0.05</v>
      </c>
    </row>
    <row r="881" spans="1:16" x14ac:dyDescent="0.25">
      <c r="A881">
        <v>1121845</v>
      </c>
      <c r="B881">
        <v>1178</v>
      </c>
      <c r="C881">
        <v>144664</v>
      </c>
      <c r="D881" t="s">
        <v>11</v>
      </c>
      <c r="E881" t="s">
        <v>16</v>
      </c>
      <c r="F881" s="5">
        <v>32</v>
      </c>
      <c r="G881" s="5">
        <v>390339</v>
      </c>
      <c r="H881" s="5">
        <v>60</v>
      </c>
      <c r="I881" s="8">
        <v>105.0199997</v>
      </c>
      <c r="J881" s="5">
        <v>9</v>
      </c>
      <c r="K881" s="5">
        <v>6</v>
      </c>
      <c r="L881" s="14">
        <f t="shared" si="65"/>
        <v>0.26904818555153343</v>
      </c>
      <c r="M881" s="14">
        <f t="shared" si="69"/>
        <v>1.7503333283333333</v>
      </c>
      <c r="N881" s="20">
        <f t="shared" si="66"/>
        <v>1.5371254217487877E-4</v>
      </c>
      <c r="O881" s="14">
        <f t="shared" si="67"/>
        <v>17.503333283333333</v>
      </c>
      <c r="P881" s="20">
        <f t="shared" si="68"/>
        <v>0.1</v>
      </c>
    </row>
    <row r="882" spans="1:16" x14ac:dyDescent="0.25">
      <c r="A882">
        <v>1121846</v>
      </c>
      <c r="B882">
        <v>1178</v>
      </c>
      <c r="C882">
        <v>144664</v>
      </c>
      <c r="D882" t="s">
        <v>11</v>
      </c>
      <c r="E882" t="s">
        <v>16</v>
      </c>
      <c r="F882" s="5">
        <v>32</v>
      </c>
      <c r="G882" s="5">
        <v>8350</v>
      </c>
      <c r="H882" s="5">
        <v>0</v>
      </c>
      <c r="I882" s="8">
        <v>0</v>
      </c>
      <c r="J882" s="5">
        <v>1</v>
      </c>
      <c r="K882" s="5">
        <v>0</v>
      </c>
      <c r="L882" s="14">
        <f t="shared" si="65"/>
        <v>0</v>
      </c>
      <c r="M882" s="14" t="str">
        <f t="shared" si="69"/>
        <v xml:space="preserve"> </v>
      </c>
      <c r="N882" s="20">
        <f t="shared" si="66"/>
        <v>0</v>
      </c>
      <c r="O882" s="14" t="str">
        <f t="shared" si="67"/>
        <v xml:space="preserve"> </v>
      </c>
      <c r="P882" s="20">
        <f t="shared" si="68"/>
        <v>0</v>
      </c>
    </row>
    <row r="883" spans="1:16" x14ac:dyDescent="0.25">
      <c r="A883">
        <v>1121847</v>
      </c>
      <c r="B883">
        <v>1178</v>
      </c>
      <c r="C883">
        <v>144665</v>
      </c>
      <c r="D883" t="s">
        <v>11</v>
      </c>
      <c r="E883" t="s">
        <v>16</v>
      </c>
      <c r="F883" s="5">
        <v>36</v>
      </c>
      <c r="G883" s="5">
        <v>39339</v>
      </c>
      <c r="H883" s="5">
        <v>4</v>
      </c>
      <c r="I883" s="8">
        <v>5.9299999479999999</v>
      </c>
      <c r="J883" s="5">
        <v>1</v>
      </c>
      <c r="K883" s="5">
        <v>0</v>
      </c>
      <c r="L883" s="14">
        <f t="shared" si="65"/>
        <v>0.15074099361956328</v>
      </c>
      <c r="M883" s="14">
        <f t="shared" si="69"/>
        <v>1.482499987</v>
      </c>
      <c r="N883" s="20">
        <f t="shared" si="66"/>
        <v>1.0168026640229797E-4</v>
      </c>
      <c r="O883" s="14" t="str">
        <f t="shared" si="67"/>
        <v xml:space="preserve"> </v>
      </c>
      <c r="P883" s="20">
        <f t="shared" si="68"/>
        <v>0</v>
      </c>
    </row>
    <row r="884" spans="1:16" x14ac:dyDescent="0.25">
      <c r="A884">
        <v>1121854</v>
      </c>
      <c r="B884">
        <v>1178</v>
      </c>
      <c r="C884">
        <v>144666</v>
      </c>
      <c r="D884" t="s">
        <v>11</v>
      </c>
      <c r="E884" t="s">
        <v>16</v>
      </c>
      <c r="F884" s="5">
        <v>63</v>
      </c>
      <c r="G884" s="5">
        <v>8587</v>
      </c>
      <c r="H884" s="5">
        <v>0</v>
      </c>
      <c r="I884" s="8">
        <v>0</v>
      </c>
      <c r="J884" s="5">
        <v>1</v>
      </c>
      <c r="K884" s="5">
        <v>0</v>
      </c>
      <c r="L884" s="14">
        <f t="shared" si="65"/>
        <v>0</v>
      </c>
      <c r="M884" s="14" t="str">
        <f t="shared" si="69"/>
        <v xml:space="preserve"> </v>
      </c>
      <c r="N884" s="20">
        <f t="shared" si="66"/>
        <v>0</v>
      </c>
      <c r="O884" s="14" t="str">
        <f t="shared" si="67"/>
        <v xml:space="preserve"> </v>
      </c>
      <c r="P884" s="20">
        <f t="shared" si="68"/>
        <v>0</v>
      </c>
    </row>
    <row r="885" spans="1:16" x14ac:dyDescent="0.25">
      <c r="A885">
        <v>1121855</v>
      </c>
      <c r="B885">
        <v>1178</v>
      </c>
      <c r="C885">
        <v>144666</v>
      </c>
      <c r="D885" t="s">
        <v>11</v>
      </c>
      <c r="E885" t="s">
        <v>16</v>
      </c>
      <c r="F885" s="5">
        <v>63</v>
      </c>
      <c r="G885" s="5">
        <v>24893</v>
      </c>
      <c r="H885" s="5">
        <v>2</v>
      </c>
      <c r="I885" s="8">
        <v>3.75</v>
      </c>
      <c r="J885" s="5">
        <v>1</v>
      </c>
      <c r="K885" s="5">
        <v>0</v>
      </c>
      <c r="L885" s="14">
        <f t="shared" si="65"/>
        <v>0.15064475957096374</v>
      </c>
      <c r="M885" s="14">
        <f t="shared" si="69"/>
        <v>1.875</v>
      </c>
      <c r="N885" s="20">
        <f t="shared" si="66"/>
        <v>8.0343871771180648E-5</v>
      </c>
      <c r="O885" s="14" t="str">
        <f t="shared" si="67"/>
        <v xml:space="preserve"> </v>
      </c>
      <c r="P885" s="20">
        <f t="shared" si="68"/>
        <v>0</v>
      </c>
    </row>
    <row r="886" spans="1:16" x14ac:dyDescent="0.25">
      <c r="A886">
        <v>1121856</v>
      </c>
      <c r="B886">
        <v>1178</v>
      </c>
      <c r="C886">
        <v>144666</v>
      </c>
      <c r="D886" t="s">
        <v>11</v>
      </c>
      <c r="E886" t="s">
        <v>16</v>
      </c>
      <c r="F886" s="5">
        <v>63</v>
      </c>
      <c r="G886" s="5">
        <v>1296189</v>
      </c>
      <c r="H886" s="5">
        <v>212</v>
      </c>
      <c r="I886" s="8">
        <v>343.25999439999998</v>
      </c>
      <c r="J886" s="5">
        <v>14</v>
      </c>
      <c r="K886" s="5">
        <v>4</v>
      </c>
      <c r="L886" s="14">
        <f t="shared" si="65"/>
        <v>0.26482248684412535</v>
      </c>
      <c r="M886" s="14">
        <f t="shared" si="69"/>
        <v>1.619150916981132</v>
      </c>
      <c r="N886" s="20">
        <f t="shared" si="66"/>
        <v>1.6355639493931826E-4</v>
      </c>
      <c r="O886" s="14">
        <f t="shared" si="67"/>
        <v>85.814998599999996</v>
      </c>
      <c r="P886" s="20">
        <f t="shared" si="68"/>
        <v>1.8867924528301886E-2</v>
      </c>
    </row>
    <row r="887" spans="1:16" x14ac:dyDescent="0.25">
      <c r="A887">
        <v>1121857</v>
      </c>
      <c r="B887">
        <v>1178</v>
      </c>
      <c r="C887">
        <v>144666</v>
      </c>
      <c r="D887" t="s">
        <v>11</v>
      </c>
      <c r="E887" t="s">
        <v>16</v>
      </c>
      <c r="F887" s="5">
        <v>63</v>
      </c>
      <c r="G887" s="5">
        <v>91607</v>
      </c>
      <c r="H887" s="5">
        <v>12</v>
      </c>
      <c r="I887" s="8">
        <v>19.189999700000001</v>
      </c>
      <c r="J887" s="5">
        <v>2</v>
      </c>
      <c r="K887" s="5">
        <v>1</v>
      </c>
      <c r="L887" s="14">
        <f t="shared" si="65"/>
        <v>0.20948180488390628</v>
      </c>
      <c r="M887" s="14">
        <f t="shared" si="69"/>
        <v>1.5991666416666668</v>
      </c>
      <c r="N887" s="20">
        <f t="shared" si="66"/>
        <v>1.3099435632648161E-4</v>
      </c>
      <c r="O887" s="14">
        <f t="shared" si="67"/>
        <v>19.189999700000001</v>
      </c>
      <c r="P887" s="20">
        <f t="shared" si="68"/>
        <v>8.3333333333333329E-2</v>
      </c>
    </row>
    <row r="888" spans="1:16" x14ac:dyDescent="0.25">
      <c r="A888">
        <v>1121859</v>
      </c>
      <c r="B888">
        <v>1178</v>
      </c>
      <c r="C888">
        <v>144667</v>
      </c>
      <c r="D888" t="s">
        <v>11</v>
      </c>
      <c r="E888" t="s">
        <v>16</v>
      </c>
      <c r="F888" s="5">
        <v>64</v>
      </c>
      <c r="G888" s="5">
        <v>238036</v>
      </c>
      <c r="H888" s="5">
        <v>38</v>
      </c>
      <c r="I888" s="8">
        <v>61.029997710000004</v>
      </c>
      <c r="J888" s="5">
        <v>6</v>
      </c>
      <c r="K888" s="5">
        <v>3</v>
      </c>
      <c r="L888" s="14">
        <f t="shared" si="65"/>
        <v>0.25638978015930364</v>
      </c>
      <c r="M888" s="14">
        <f t="shared" si="69"/>
        <v>1.6060525713157896</v>
      </c>
      <c r="N888" s="20">
        <f t="shared" si="66"/>
        <v>1.5963971836192845E-4</v>
      </c>
      <c r="O888" s="14">
        <f t="shared" si="67"/>
        <v>20.343332570000001</v>
      </c>
      <c r="P888" s="20">
        <f t="shared" si="68"/>
        <v>7.8947368421052627E-2</v>
      </c>
    </row>
    <row r="889" spans="1:16" x14ac:dyDescent="0.25">
      <c r="A889">
        <v>1121860</v>
      </c>
      <c r="B889">
        <v>1178</v>
      </c>
      <c r="C889">
        <v>144667</v>
      </c>
      <c r="D889" t="s">
        <v>11</v>
      </c>
      <c r="E889" t="s">
        <v>16</v>
      </c>
      <c r="F889" s="5">
        <v>64</v>
      </c>
      <c r="G889" s="5">
        <v>254344</v>
      </c>
      <c r="H889" s="5">
        <v>35</v>
      </c>
      <c r="I889" s="8">
        <v>56.169999959999998</v>
      </c>
      <c r="J889" s="5">
        <v>2</v>
      </c>
      <c r="K889" s="5">
        <v>1</v>
      </c>
      <c r="L889" s="14">
        <f t="shared" si="65"/>
        <v>0.22084263815934324</v>
      </c>
      <c r="M889" s="14">
        <f t="shared" si="69"/>
        <v>1.6048571417142856</v>
      </c>
      <c r="N889" s="20">
        <f t="shared" si="66"/>
        <v>1.3760890762117448E-4</v>
      </c>
      <c r="O889" s="14">
        <f t="shared" si="67"/>
        <v>56.169999959999998</v>
      </c>
      <c r="P889" s="20">
        <f t="shared" si="68"/>
        <v>2.8571428571428571E-2</v>
      </c>
    </row>
    <row r="890" spans="1:16" x14ac:dyDescent="0.25">
      <c r="A890">
        <v>1121861</v>
      </c>
      <c r="B890">
        <v>1178</v>
      </c>
      <c r="C890">
        <v>144667</v>
      </c>
      <c r="D890" t="s">
        <v>11</v>
      </c>
      <c r="E890" t="s">
        <v>16</v>
      </c>
      <c r="F890" s="5">
        <v>64</v>
      </c>
      <c r="G890" s="5">
        <v>157705</v>
      </c>
      <c r="H890" s="5">
        <v>23</v>
      </c>
      <c r="I890" s="8">
        <v>39.230000259999997</v>
      </c>
      <c r="J890" s="5">
        <v>2</v>
      </c>
      <c r="K890" s="5">
        <v>0</v>
      </c>
      <c r="L890" s="14">
        <f t="shared" si="65"/>
        <v>0.2487555896135189</v>
      </c>
      <c r="M890" s="14">
        <f t="shared" si="69"/>
        <v>1.7056521852173911</v>
      </c>
      <c r="N890" s="20">
        <f t="shared" si="66"/>
        <v>1.4584192004058209E-4</v>
      </c>
      <c r="O890" s="14" t="str">
        <f t="shared" si="67"/>
        <v xml:space="preserve"> </v>
      </c>
      <c r="P890" s="20">
        <f t="shared" si="68"/>
        <v>0</v>
      </c>
    </row>
    <row r="891" spans="1:16" x14ac:dyDescent="0.25">
      <c r="A891">
        <v>1121862</v>
      </c>
      <c r="B891">
        <v>1178</v>
      </c>
      <c r="C891">
        <v>144667</v>
      </c>
      <c r="D891" t="s">
        <v>11</v>
      </c>
      <c r="E891" t="s">
        <v>16</v>
      </c>
      <c r="F891" s="5">
        <v>64</v>
      </c>
      <c r="G891" s="5">
        <v>411571</v>
      </c>
      <c r="H891" s="5">
        <v>60</v>
      </c>
      <c r="I891" s="8">
        <v>99.179998400000002</v>
      </c>
      <c r="J891" s="5">
        <v>6</v>
      </c>
      <c r="K891" s="5">
        <v>1</v>
      </c>
      <c r="L891" s="14">
        <f t="shared" si="65"/>
        <v>0.24097907384145142</v>
      </c>
      <c r="M891" s="14">
        <f t="shared" si="69"/>
        <v>1.6529999733333334</v>
      </c>
      <c r="N891" s="20">
        <f t="shared" si="66"/>
        <v>1.4578286613974259E-4</v>
      </c>
      <c r="O891" s="14">
        <f t="shared" si="67"/>
        <v>99.179998400000002</v>
      </c>
      <c r="P891" s="20">
        <f t="shared" si="68"/>
        <v>1.6666666666666666E-2</v>
      </c>
    </row>
    <row r="892" spans="1:16" x14ac:dyDescent="0.25">
      <c r="A892">
        <v>1121863</v>
      </c>
      <c r="B892">
        <v>1178</v>
      </c>
      <c r="C892">
        <v>144667</v>
      </c>
      <c r="D892" t="s">
        <v>11</v>
      </c>
      <c r="E892" t="s">
        <v>16</v>
      </c>
      <c r="F892" s="5">
        <v>64</v>
      </c>
      <c r="G892" s="5">
        <v>94136</v>
      </c>
      <c r="H892" s="5">
        <v>11</v>
      </c>
      <c r="I892" s="8">
        <v>16.179999710000001</v>
      </c>
      <c r="J892" s="5">
        <v>1</v>
      </c>
      <c r="K892" s="5">
        <v>0</v>
      </c>
      <c r="L892" s="14">
        <f t="shared" si="65"/>
        <v>0.17187898051754907</v>
      </c>
      <c r="M892" s="14">
        <f t="shared" si="69"/>
        <v>1.4709090645454546</v>
      </c>
      <c r="N892" s="20">
        <f t="shared" si="66"/>
        <v>1.1685221381830543E-4</v>
      </c>
      <c r="O892" s="14" t="str">
        <f t="shared" si="67"/>
        <v xml:space="preserve"> </v>
      </c>
      <c r="P892" s="20">
        <f t="shared" si="68"/>
        <v>0</v>
      </c>
    </row>
    <row r="893" spans="1:16" x14ac:dyDescent="0.25">
      <c r="A893">
        <v>1121867</v>
      </c>
      <c r="B893">
        <v>1178</v>
      </c>
      <c r="C893">
        <v>144668</v>
      </c>
      <c r="D893" t="s">
        <v>11</v>
      </c>
      <c r="E893" t="s">
        <v>16</v>
      </c>
      <c r="F893" s="5">
        <v>65</v>
      </c>
      <c r="G893" s="5">
        <v>82640</v>
      </c>
      <c r="H893" s="5">
        <v>16</v>
      </c>
      <c r="I893" s="8">
        <v>23.970000389999999</v>
      </c>
      <c r="J893" s="5">
        <v>1</v>
      </c>
      <c r="K893" s="5">
        <v>1</v>
      </c>
      <c r="L893" s="14">
        <f t="shared" si="65"/>
        <v>0.29005324770087121</v>
      </c>
      <c r="M893" s="14">
        <f t="shared" si="69"/>
        <v>1.4981250243749999</v>
      </c>
      <c r="N893" s="20">
        <f t="shared" si="66"/>
        <v>1.9361084220716361E-4</v>
      </c>
      <c r="O893" s="14">
        <f t="shared" si="67"/>
        <v>23.970000389999999</v>
      </c>
      <c r="P893" s="20">
        <f t="shared" si="68"/>
        <v>6.25E-2</v>
      </c>
    </row>
    <row r="894" spans="1:16" x14ac:dyDescent="0.25">
      <c r="A894">
        <v>1121869</v>
      </c>
      <c r="B894">
        <v>1178</v>
      </c>
      <c r="C894">
        <v>144668</v>
      </c>
      <c r="D894" t="s">
        <v>11</v>
      </c>
      <c r="E894" t="s">
        <v>16</v>
      </c>
      <c r="F894" s="5">
        <v>65</v>
      </c>
      <c r="G894" s="5">
        <v>17870</v>
      </c>
      <c r="H894" s="5">
        <v>2</v>
      </c>
      <c r="I894" s="8">
        <v>2.6200000050000001</v>
      </c>
      <c r="J894" s="5">
        <v>1</v>
      </c>
      <c r="K894" s="5">
        <v>1</v>
      </c>
      <c r="L894" s="14">
        <f t="shared" si="65"/>
        <v>0.146614437884723</v>
      </c>
      <c r="M894" s="14">
        <f t="shared" si="69"/>
        <v>1.3100000025</v>
      </c>
      <c r="N894" s="20">
        <f t="shared" si="66"/>
        <v>1.1191941801902631E-4</v>
      </c>
      <c r="O894" s="14">
        <f t="shared" si="67"/>
        <v>2.6200000050000001</v>
      </c>
      <c r="P894" s="20">
        <f t="shared" si="68"/>
        <v>0.5</v>
      </c>
    </row>
    <row r="895" spans="1:16" x14ac:dyDescent="0.25">
      <c r="A895">
        <v>1121871</v>
      </c>
      <c r="B895">
        <v>1178</v>
      </c>
      <c r="C895">
        <v>144669</v>
      </c>
      <c r="D895" t="s">
        <v>11</v>
      </c>
      <c r="E895" t="s">
        <v>16</v>
      </c>
      <c r="F895" s="5">
        <v>2</v>
      </c>
      <c r="G895" s="5">
        <v>19178</v>
      </c>
      <c r="H895" s="5">
        <v>2</v>
      </c>
      <c r="I895" s="8">
        <v>2.7799999710000001</v>
      </c>
      <c r="J895" s="5">
        <v>1</v>
      </c>
      <c r="K895" s="5">
        <v>1</v>
      </c>
      <c r="L895" s="14">
        <f t="shared" si="65"/>
        <v>0.14495776259255397</v>
      </c>
      <c r="M895" s="14">
        <f t="shared" si="69"/>
        <v>1.3899999855</v>
      </c>
      <c r="N895" s="20">
        <f t="shared" si="66"/>
        <v>1.0428616122640526E-4</v>
      </c>
      <c r="O895" s="14">
        <f t="shared" si="67"/>
        <v>2.7799999710000001</v>
      </c>
      <c r="P895" s="20">
        <f t="shared" si="68"/>
        <v>0.5</v>
      </c>
    </row>
    <row r="896" spans="1:16" x14ac:dyDescent="0.25">
      <c r="A896">
        <v>1121873</v>
      </c>
      <c r="B896">
        <v>1178</v>
      </c>
      <c r="C896">
        <v>144669</v>
      </c>
      <c r="D896" t="s">
        <v>11</v>
      </c>
      <c r="E896" t="s">
        <v>16</v>
      </c>
      <c r="F896" s="5">
        <v>2</v>
      </c>
      <c r="G896" s="5">
        <v>5264</v>
      </c>
      <c r="H896" s="5">
        <v>0</v>
      </c>
      <c r="I896" s="8">
        <v>0</v>
      </c>
      <c r="J896" s="5">
        <v>1</v>
      </c>
      <c r="K896" s="5">
        <v>0</v>
      </c>
      <c r="L896" s="14">
        <f t="shared" si="65"/>
        <v>0</v>
      </c>
      <c r="M896" s="14" t="str">
        <f t="shared" si="69"/>
        <v xml:space="preserve"> </v>
      </c>
      <c r="N896" s="20">
        <f t="shared" si="66"/>
        <v>0</v>
      </c>
      <c r="O896" s="14" t="str">
        <f t="shared" si="67"/>
        <v xml:space="preserve"> </v>
      </c>
      <c r="P896" s="20">
        <f t="shared" si="68"/>
        <v>0</v>
      </c>
    </row>
    <row r="897" spans="1:16" x14ac:dyDescent="0.25">
      <c r="A897">
        <v>1121874</v>
      </c>
      <c r="B897">
        <v>1178</v>
      </c>
      <c r="C897">
        <v>144669</v>
      </c>
      <c r="D897" t="s">
        <v>11</v>
      </c>
      <c r="E897" t="s">
        <v>16</v>
      </c>
      <c r="F897" s="5">
        <v>2</v>
      </c>
      <c r="G897" s="5">
        <v>145548</v>
      </c>
      <c r="H897" s="5">
        <v>28</v>
      </c>
      <c r="I897" s="8">
        <v>42.370000359999999</v>
      </c>
      <c r="J897" s="5">
        <v>2</v>
      </c>
      <c r="K897" s="5">
        <v>1</v>
      </c>
      <c r="L897" s="14">
        <f t="shared" si="65"/>
        <v>0.29110671640970676</v>
      </c>
      <c r="M897" s="14">
        <f t="shared" si="69"/>
        <v>1.5132142985714285</v>
      </c>
      <c r="N897" s="20">
        <f t="shared" si="66"/>
        <v>1.9237639816417951E-4</v>
      </c>
      <c r="O897" s="14">
        <f t="shared" si="67"/>
        <v>42.370000359999999</v>
      </c>
      <c r="P897" s="20">
        <f t="shared" si="68"/>
        <v>3.5714285714285712E-2</v>
      </c>
    </row>
    <row r="898" spans="1:16" x14ac:dyDescent="0.25">
      <c r="A898">
        <v>1121876</v>
      </c>
      <c r="B898">
        <v>1178</v>
      </c>
      <c r="C898">
        <v>144669</v>
      </c>
      <c r="D898" t="s">
        <v>11</v>
      </c>
      <c r="E898" t="s">
        <v>16</v>
      </c>
      <c r="F898" s="5">
        <v>2</v>
      </c>
      <c r="G898" s="5">
        <v>82455</v>
      </c>
      <c r="H898" s="5">
        <v>15</v>
      </c>
      <c r="I898" s="8">
        <v>22.049999710000002</v>
      </c>
      <c r="J898" s="5">
        <v>1</v>
      </c>
      <c r="K898" s="5">
        <v>0</v>
      </c>
      <c r="L898" s="14">
        <f t="shared" si="65"/>
        <v>0.26741858844218064</v>
      </c>
      <c r="M898" s="14">
        <f t="shared" si="69"/>
        <v>1.4699999806666668</v>
      </c>
      <c r="N898" s="20">
        <f t="shared" si="66"/>
        <v>1.8191740949608878E-4</v>
      </c>
      <c r="O898" s="14" t="str">
        <f t="shared" si="67"/>
        <v xml:space="preserve"> </v>
      </c>
      <c r="P898" s="20">
        <f t="shared" si="68"/>
        <v>0</v>
      </c>
    </row>
    <row r="899" spans="1:16" x14ac:dyDescent="0.25">
      <c r="A899">
        <v>1121877</v>
      </c>
      <c r="B899">
        <v>1178</v>
      </c>
      <c r="C899">
        <v>144670</v>
      </c>
      <c r="D899" t="s">
        <v>11</v>
      </c>
      <c r="E899" t="s">
        <v>16</v>
      </c>
      <c r="F899" s="5">
        <v>7</v>
      </c>
      <c r="G899" s="5">
        <v>44189</v>
      </c>
      <c r="H899" s="5">
        <v>7</v>
      </c>
      <c r="I899" s="8">
        <v>10.319999810000001</v>
      </c>
      <c r="J899" s="5">
        <v>2</v>
      </c>
      <c r="K899" s="5">
        <v>0</v>
      </c>
      <c r="L899" s="14">
        <f t="shared" ref="L899:L962" si="70">IF(G899=0,0,(I899/G899)*1000)</f>
        <v>0.23354227997918034</v>
      </c>
      <c r="M899" s="14">
        <f t="shared" si="69"/>
        <v>1.4742856871428571</v>
      </c>
      <c r="N899" s="20">
        <f t="shared" ref="N899:N962" si="71">IF(G899=0,0,(H899/G899))</f>
        <v>1.5841046414265993E-4</v>
      </c>
      <c r="O899" s="14" t="str">
        <f t="shared" ref="O899:O962" si="72">IF(K899&gt;0, I899/K899, " ")</f>
        <v xml:space="preserve"> </v>
      </c>
      <c r="P899" s="20">
        <f t="shared" ref="P899:P962" si="73">IF(H899=0,0,(K899/H899))</f>
        <v>0</v>
      </c>
    </row>
    <row r="900" spans="1:16" x14ac:dyDescent="0.25">
      <c r="A900">
        <v>1121878</v>
      </c>
      <c r="B900">
        <v>1178</v>
      </c>
      <c r="C900">
        <v>144670</v>
      </c>
      <c r="D900" t="s">
        <v>11</v>
      </c>
      <c r="E900" t="s">
        <v>16</v>
      </c>
      <c r="F900" s="5">
        <v>7</v>
      </c>
      <c r="G900" s="5">
        <v>45199</v>
      </c>
      <c r="H900" s="5">
        <v>7</v>
      </c>
      <c r="I900" s="8">
        <v>9.8099999429999993</v>
      </c>
      <c r="J900" s="5">
        <v>1</v>
      </c>
      <c r="K900" s="5">
        <v>0</v>
      </c>
      <c r="L900" s="14">
        <f t="shared" si="70"/>
        <v>0.21704019874333502</v>
      </c>
      <c r="M900" s="14">
        <f t="shared" si="69"/>
        <v>1.4014285632857142</v>
      </c>
      <c r="N900" s="20">
        <f t="shared" si="71"/>
        <v>1.5487068297971194E-4</v>
      </c>
      <c r="O900" s="14" t="str">
        <f t="shared" si="72"/>
        <v xml:space="preserve"> </v>
      </c>
      <c r="P900" s="20">
        <f t="shared" si="73"/>
        <v>0</v>
      </c>
    </row>
    <row r="901" spans="1:16" x14ac:dyDescent="0.25">
      <c r="A901">
        <v>1121881</v>
      </c>
      <c r="B901">
        <v>1178</v>
      </c>
      <c r="C901">
        <v>144670</v>
      </c>
      <c r="D901" t="s">
        <v>11</v>
      </c>
      <c r="E901" t="s">
        <v>16</v>
      </c>
      <c r="F901" s="5">
        <v>7</v>
      </c>
      <c r="G901" s="5">
        <v>221843</v>
      </c>
      <c r="H901" s="5">
        <v>43</v>
      </c>
      <c r="I901" s="8">
        <v>63.450000760000002</v>
      </c>
      <c r="J901" s="5">
        <v>5</v>
      </c>
      <c r="K901" s="5">
        <v>0</v>
      </c>
      <c r="L901" s="14">
        <f t="shared" si="70"/>
        <v>0.2860130847491244</v>
      </c>
      <c r="M901" s="14">
        <f t="shared" ref="M901:M964" si="74">IF(H901&gt;0, I901/H901, " ")</f>
        <v>1.4755814130232559</v>
      </c>
      <c r="N901" s="20">
        <f t="shared" si="71"/>
        <v>1.9383077221278111E-4</v>
      </c>
      <c r="O901" s="14" t="str">
        <f t="shared" si="72"/>
        <v xml:space="preserve"> </v>
      </c>
      <c r="P901" s="20">
        <f t="shared" si="73"/>
        <v>0</v>
      </c>
    </row>
    <row r="902" spans="1:16" x14ac:dyDescent="0.25">
      <c r="A902">
        <v>1121888</v>
      </c>
      <c r="B902">
        <v>1178</v>
      </c>
      <c r="C902">
        <v>144671</v>
      </c>
      <c r="D902" t="s">
        <v>11</v>
      </c>
      <c r="E902" t="s">
        <v>16</v>
      </c>
      <c r="F902" s="5">
        <v>66</v>
      </c>
      <c r="G902" s="5">
        <v>41672</v>
      </c>
      <c r="H902" s="5">
        <v>6</v>
      </c>
      <c r="I902" s="8">
        <v>10.54999995</v>
      </c>
      <c r="J902" s="5">
        <v>2</v>
      </c>
      <c r="K902" s="5">
        <v>1</v>
      </c>
      <c r="L902" s="14">
        <f t="shared" si="70"/>
        <v>0.25316759334805145</v>
      </c>
      <c r="M902" s="14">
        <f t="shared" si="74"/>
        <v>1.7583333249999999</v>
      </c>
      <c r="N902" s="20">
        <f t="shared" si="71"/>
        <v>1.4398157035899406E-4</v>
      </c>
      <c r="O902" s="14">
        <f t="shared" si="72"/>
        <v>10.54999995</v>
      </c>
      <c r="P902" s="20">
        <f t="shared" si="73"/>
        <v>0.16666666666666666</v>
      </c>
    </row>
    <row r="903" spans="1:16" x14ac:dyDescent="0.25">
      <c r="A903">
        <v>1121889</v>
      </c>
      <c r="B903">
        <v>1178</v>
      </c>
      <c r="C903">
        <v>144672</v>
      </c>
      <c r="D903" t="s">
        <v>13</v>
      </c>
      <c r="E903" t="s">
        <v>16</v>
      </c>
      <c r="F903" s="5">
        <v>10</v>
      </c>
      <c r="G903" s="5">
        <v>127546</v>
      </c>
      <c r="H903" s="5">
        <v>25</v>
      </c>
      <c r="I903" s="8">
        <v>38.940000410000003</v>
      </c>
      <c r="J903" s="5">
        <v>2</v>
      </c>
      <c r="K903" s="5">
        <v>0</v>
      </c>
      <c r="L903" s="14">
        <f t="shared" si="70"/>
        <v>0.30530161988615873</v>
      </c>
      <c r="M903" s="14">
        <f t="shared" si="74"/>
        <v>1.5576000164000001</v>
      </c>
      <c r="N903" s="20">
        <f t="shared" si="71"/>
        <v>1.9600771486365703E-4</v>
      </c>
      <c r="O903" s="14" t="str">
        <f t="shared" si="72"/>
        <v xml:space="preserve"> </v>
      </c>
      <c r="P903" s="20">
        <f t="shared" si="73"/>
        <v>0</v>
      </c>
    </row>
    <row r="904" spans="1:16" x14ac:dyDescent="0.25">
      <c r="A904">
        <v>1121890</v>
      </c>
      <c r="B904">
        <v>1178</v>
      </c>
      <c r="C904">
        <v>144672</v>
      </c>
      <c r="D904" t="s">
        <v>13</v>
      </c>
      <c r="E904" t="s">
        <v>16</v>
      </c>
      <c r="F904" s="5">
        <v>10</v>
      </c>
      <c r="G904" s="5">
        <v>127865</v>
      </c>
      <c r="H904" s="5">
        <v>28</v>
      </c>
      <c r="I904" s="8">
        <v>38.029999609999997</v>
      </c>
      <c r="J904" s="5">
        <v>3</v>
      </c>
      <c r="K904" s="5">
        <v>1</v>
      </c>
      <c r="L904" s="14">
        <f t="shared" si="70"/>
        <v>0.29742306033707427</v>
      </c>
      <c r="M904" s="14">
        <f t="shared" si="74"/>
        <v>1.3582142717857142</v>
      </c>
      <c r="N904" s="20">
        <f t="shared" si="71"/>
        <v>2.1898095647753489E-4</v>
      </c>
      <c r="O904" s="14">
        <f t="shared" si="72"/>
        <v>38.029999609999997</v>
      </c>
      <c r="P904" s="20">
        <f t="shared" si="73"/>
        <v>3.5714285714285712E-2</v>
      </c>
    </row>
    <row r="905" spans="1:16" x14ac:dyDescent="0.25">
      <c r="A905">
        <v>1121891</v>
      </c>
      <c r="B905">
        <v>1178</v>
      </c>
      <c r="C905">
        <v>144672</v>
      </c>
      <c r="D905" t="s">
        <v>13</v>
      </c>
      <c r="E905" t="s">
        <v>16</v>
      </c>
      <c r="F905" s="5">
        <v>10</v>
      </c>
      <c r="G905" s="5">
        <v>1025327</v>
      </c>
      <c r="H905" s="5">
        <v>229</v>
      </c>
      <c r="I905" s="8">
        <v>314.29999830000003</v>
      </c>
      <c r="J905" s="5">
        <v>16</v>
      </c>
      <c r="K905" s="5">
        <v>2</v>
      </c>
      <c r="L905" s="14">
        <f t="shared" si="70"/>
        <v>0.30653635211010732</v>
      </c>
      <c r="M905" s="14">
        <f t="shared" si="74"/>
        <v>1.3724890755458516</v>
      </c>
      <c r="N905" s="20">
        <f t="shared" si="71"/>
        <v>2.2334338216003285E-4</v>
      </c>
      <c r="O905" s="14">
        <f t="shared" si="72"/>
        <v>157.14999915000001</v>
      </c>
      <c r="P905" s="20">
        <f t="shared" si="73"/>
        <v>8.7336244541484712E-3</v>
      </c>
    </row>
    <row r="906" spans="1:16" x14ac:dyDescent="0.25">
      <c r="A906">
        <v>1121894</v>
      </c>
      <c r="B906">
        <v>1178</v>
      </c>
      <c r="C906">
        <v>144672</v>
      </c>
      <c r="D906" t="s">
        <v>13</v>
      </c>
      <c r="E906" t="s">
        <v>16</v>
      </c>
      <c r="F906" s="5">
        <v>10</v>
      </c>
      <c r="G906" s="5">
        <v>561415</v>
      </c>
      <c r="H906" s="5">
        <v>124</v>
      </c>
      <c r="I906" s="8">
        <v>173.76</v>
      </c>
      <c r="J906" s="5">
        <v>3</v>
      </c>
      <c r="K906" s="5">
        <v>0</v>
      </c>
      <c r="L906" s="14">
        <f t="shared" si="70"/>
        <v>0.30950366484686015</v>
      </c>
      <c r="M906" s="14">
        <f t="shared" si="74"/>
        <v>1.401290322580645</v>
      </c>
      <c r="N906" s="20">
        <f t="shared" si="71"/>
        <v>2.2087047905738178E-4</v>
      </c>
      <c r="O906" s="14" t="str">
        <f t="shared" si="72"/>
        <v xml:space="preserve"> </v>
      </c>
      <c r="P906" s="20">
        <f t="shared" si="73"/>
        <v>0</v>
      </c>
    </row>
    <row r="907" spans="1:16" x14ac:dyDescent="0.25">
      <c r="A907">
        <v>1121895</v>
      </c>
      <c r="B907">
        <v>1178</v>
      </c>
      <c r="C907">
        <v>144673</v>
      </c>
      <c r="D907" t="s">
        <v>13</v>
      </c>
      <c r="E907" t="s">
        <v>16</v>
      </c>
      <c r="F907" s="5">
        <v>15</v>
      </c>
      <c r="G907" s="5">
        <v>132803</v>
      </c>
      <c r="H907" s="5">
        <v>25</v>
      </c>
      <c r="I907" s="8">
        <v>37.320001240000003</v>
      </c>
      <c r="J907" s="5">
        <v>2</v>
      </c>
      <c r="K907" s="5">
        <v>1</v>
      </c>
      <c r="L907" s="14">
        <f t="shared" si="70"/>
        <v>0.28101775743017859</v>
      </c>
      <c r="M907" s="14">
        <f t="shared" si="74"/>
        <v>1.4928000496000002</v>
      </c>
      <c r="N907" s="20">
        <f t="shared" si="71"/>
        <v>1.8824875944067529E-4</v>
      </c>
      <c r="O907" s="14">
        <f t="shared" si="72"/>
        <v>37.320001240000003</v>
      </c>
      <c r="P907" s="20">
        <f t="shared" si="73"/>
        <v>0.04</v>
      </c>
    </row>
    <row r="908" spans="1:16" x14ac:dyDescent="0.25">
      <c r="A908">
        <v>1121897</v>
      </c>
      <c r="B908">
        <v>1178</v>
      </c>
      <c r="C908">
        <v>144673</v>
      </c>
      <c r="D908" t="s">
        <v>13</v>
      </c>
      <c r="E908" t="s">
        <v>16</v>
      </c>
      <c r="F908" s="5">
        <v>15</v>
      </c>
      <c r="G908" s="5">
        <v>24664</v>
      </c>
      <c r="H908" s="5">
        <v>2</v>
      </c>
      <c r="I908" s="8">
        <v>2.6299999949999999</v>
      </c>
      <c r="J908" s="5">
        <v>1</v>
      </c>
      <c r="K908" s="5">
        <v>1</v>
      </c>
      <c r="L908" s="14">
        <f t="shared" si="70"/>
        <v>0.10663314932695427</v>
      </c>
      <c r="M908" s="14">
        <f t="shared" si="74"/>
        <v>1.3149999975</v>
      </c>
      <c r="N908" s="20">
        <f t="shared" si="71"/>
        <v>8.1089847551086601E-5</v>
      </c>
      <c r="O908" s="14">
        <f t="shared" si="72"/>
        <v>2.6299999949999999</v>
      </c>
      <c r="P908" s="20">
        <f t="shared" si="73"/>
        <v>0.5</v>
      </c>
    </row>
    <row r="909" spans="1:16" x14ac:dyDescent="0.25">
      <c r="A909">
        <v>1121901</v>
      </c>
      <c r="B909">
        <v>1178</v>
      </c>
      <c r="C909">
        <v>144674</v>
      </c>
      <c r="D909" t="s">
        <v>13</v>
      </c>
      <c r="E909" t="s">
        <v>16</v>
      </c>
      <c r="F909" s="5">
        <v>16</v>
      </c>
      <c r="G909" s="5">
        <v>1020561</v>
      </c>
      <c r="H909" s="5">
        <v>172</v>
      </c>
      <c r="I909" s="8">
        <v>263.81000069999999</v>
      </c>
      <c r="J909" s="5">
        <v>7</v>
      </c>
      <c r="K909" s="5">
        <v>3</v>
      </c>
      <c r="L909" s="14">
        <f t="shared" si="70"/>
        <v>0.25849508329242449</v>
      </c>
      <c r="M909" s="14">
        <f t="shared" si="74"/>
        <v>1.5337790738372092</v>
      </c>
      <c r="N909" s="20">
        <f t="shared" si="71"/>
        <v>1.6853475686411689E-4</v>
      </c>
      <c r="O909" s="14">
        <f t="shared" si="72"/>
        <v>87.936666899999992</v>
      </c>
      <c r="P909" s="20">
        <f t="shared" si="73"/>
        <v>1.7441860465116279E-2</v>
      </c>
    </row>
    <row r="910" spans="1:16" x14ac:dyDescent="0.25">
      <c r="A910">
        <v>1121902</v>
      </c>
      <c r="B910">
        <v>1178</v>
      </c>
      <c r="C910">
        <v>144674</v>
      </c>
      <c r="D910" t="s">
        <v>13</v>
      </c>
      <c r="E910" t="s">
        <v>16</v>
      </c>
      <c r="F910" s="5">
        <v>16</v>
      </c>
      <c r="G910" s="5">
        <v>682143</v>
      </c>
      <c r="H910" s="5">
        <v>114</v>
      </c>
      <c r="I910" s="8">
        <v>177.1099993</v>
      </c>
      <c r="J910" s="5">
        <v>6</v>
      </c>
      <c r="K910" s="5">
        <v>2</v>
      </c>
      <c r="L910" s="14">
        <f t="shared" si="70"/>
        <v>0.25963764093452546</v>
      </c>
      <c r="M910" s="14">
        <f t="shared" si="74"/>
        <v>1.5535964850877193</v>
      </c>
      <c r="N910" s="20">
        <f t="shared" si="71"/>
        <v>1.6712038384913427E-4</v>
      </c>
      <c r="O910" s="14">
        <f t="shared" si="72"/>
        <v>88.554999649999999</v>
      </c>
      <c r="P910" s="20">
        <f t="shared" si="73"/>
        <v>1.7543859649122806E-2</v>
      </c>
    </row>
    <row r="911" spans="1:16" x14ac:dyDescent="0.25">
      <c r="A911">
        <v>1121903</v>
      </c>
      <c r="B911">
        <v>1178</v>
      </c>
      <c r="C911">
        <v>144674</v>
      </c>
      <c r="D911" t="s">
        <v>13</v>
      </c>
      <c r="E911" t="s">
        <v>16</v>
      </c>
      <c r="F911" s="5">
        <v>16</v>
      </c>
      <c r="G911" s="5">
        <v>1247717</v>
      </c>
      <c r="H911" s="5">
        <v>222</v>
      </c>
      <c r="I911" s="8">
        <v>343.41999939999999</v>
      </c>
      <c r="J911" s="5">
        <v>11</v>
      </c>
      <c r="K911" s="5">
        <v>4</v>
      </c>
      <c r="L911" s="14">
        <f t="shared" si="70"/>
        <v>0.27523869547341268</v>
      </c>
      <c r="M911" s="14">
        <f t="shared" si="74"/>
        <v>1.5469369342342343</v>
      </c>
      <c r="N911" s="20">
        <f t="shared" si="71"/>
        <v>1.7792496215087236E-4</v>
      </c>
      <c r="O911" s="14">
        <f t="shared" si="72"/>
        <v>85.854999849999999</v>
      </c>
      <c r="P911" s="20">
        <f t="shared" si="73"/>
        <v>1.8018018018018018E-2</v>
      </c>
    </row>
    <row r="912" spans="1:16" x14ac:dyDescent="0.25">
      <c r="A912">
        <v>1121904</v>
      </c>
      <c r="B912">
        <v>1178</v>
      </c>
      <c r="C912">
        <v>144674</v>
      </c>
      <c r="D912" t="s">
        <v>13</v>
      </c>
      <c r="E912" t="s">
        <v>16</v>
      </c>
      <c r="F912" s="5">
        <v>16</v>
      </c>
      <c r="G912" s="5">
        <v>146406</v>
      </c>
      <c r="H912" s="5">
        <v>23</v>
      </c>
      <c r="I912" s="8">
        <v>33.229999419999999</v>
      </c>
      <c r="J912" s="5">
        <v>1</v>
      </c>
      <c r="K912" s="5">
        <v>1</v>
      </c>
      <c r="L912" s="14">
        <f t="shared" si="70"/>
        <v>0.22697156824173872</v>
      </c>
      <c r="M912" s="14">
        <f t="shared" si="74"/>
        <v>1.4447825834782608</v>
      </c>
      <c r="N912" s="20">
        <f t="shared" si="71"/>
        <v>1.5709738671912352E-4</v>
      </c>
      <c r="O912" s="14">
        <f t="shared" si="72"/>
        <v>33.229999419999999</v>
      </c>
      <c r="P912" s="20">
        <f t="shared" si="73"/>
        <v>4.3478260869565216E-2</v>
      </c>
    </row>
    <row r="913" spans="1:16" x14ac:dyDescent="0.25">
      <c r="A913">
        <v>1121905</v>
      </c>
      <c r="B913">
        <v>1178</v>
      </c>
      <c r="C913">
        <v>144674</v>
      </c>
      <c r="D913" t="s">
        <v>13</v>
      </c>
      <c r="E913" t="s">
        <v>16</v>
      </c>
      <c r="F913" s="5">
        <v>16</v>
      </c>
      <c r="G913" s="5">
        <v>905699</v>
      </c>
      <c r="H913" s="5">
        <v>161</v>
      </c>
      <c r="I913" s="8">
        <v>234.65999819999999</v>
      </c>
      <c r="J913" s="5">
        <v>4</v>
      </c>
      <c r="K913" s="5">
        <v>1</v>
      </c>
      <c r="L913" s="14">
        <f t="shared" si="70"/>
        <v>0.25909269878844959</v>
      </c>
      <c r="M913" s="14">
        <f t="shared" si="74"/>
        <v>1.4575155167701863</v>
      </c>
      <c r="N913" s="20">
        <f t="shared" si="71"/>
        <v>1.7776325247129566E-4</v>
      </c>
      <c r="O913" s="14">
        <f t="shared" si="72"/>
        <v>234.65999819999999</v>
      </c>
      <c r="P913" s="20">
        <f t="shared" si="73"/>
        <v>6.2111801242236021E-3</v>
      </c>
    </row>
    <row r="914" spans="1:16" x14ac:dyDescent="0.25">
      <c r="A914">
        <v>1121906</v>
      </c>
      <c r="B914">
        <v>1178</v>
      </c>
      <c r="C914">
        <v>144674</v>
      </c>
      <c r="D914" t="s">
        <v>13</v>
      </c>
      <c r="E914" t="s">
        <v>16</v>
      </c>
      <c r="F914" s="5">
        <v>16</v>
      </c>
      <c r="G914" s="5">
        <v>1184580</v>
      </c>
      <c r="H914" s="5">
        <v>194</v>
      </c>
      <c r="I914" s="8">
        <v>297.82999810000001</v>
      </c>
      <c r="J914" s="5">
        <v>14</v>
      </c>
      <c r="K914" s="5">
        <v>3</v>
      </c>
      <c r="L914" s="14">
        <f t="shared" si="70"/>
        <v>0.25142244348207804</v>
      </c>
      <c r="M914" s="14">
        <f t="shared" si="74"/>
        <v>1.5352061757731958</v>
      </c>
      <c r="N914" s="20">
        <f t="shared" si="71"/>
        <v>1.6377112563102533E-4</v>
      </c>
      <c r="O914" s="14">
        <f t="shared" si="72"/>
        <v>99.276666033333342</v>
      </c>
      <c r="P914" s="20">
        <f t="shared" si="73"/>
        <v>1.5463917525773196E-2</v>
      </c>
    </row>
    <row r="915" spans="1:16" x14ac:dyDescent="0.25">
      <c r="A915">
        <v>1121907</v>
      </c>
      <c r="B915">
        <v>1178</v>
      </c>
      <c r="C915">
        <v>144675</v>
      </c>
      <c r="D915" t="s">
        <v>13</v>
      </c>
      <c r="E915" t="s">
        <v>16</v>
      </c>
      <c r="F915" s="5">
        <v>18</v>
      </c>
      <c r="G915" s="5">
        <v>98057</v>
      </c>
      <c r="H915" s="5">
        <v>20</v>
      </c>
      <c r="I915" s="8">
        <v>31.009999629999999</v>
      </c>
      <c r="J915" s="5">
        <v>1</v>
      </c>
      <c r="K915" s="5">
        <v>1</v>
      </c>
      <c r="L915" s="14">
        <f t="shared" si="70"/>
        <v>0.31624462945021775</v>
      </c>
      <c r="M915" s="14">
        <f t="shared" si="74"/>
        <v>1.5504999815</v>
      </c>
      <c r="N915" s="20">
        <f t="shared" si="71"/>
        <v>2.0396300111159835E-4</v>
      </c>
      <c r="O915" s="14">
        <f t="shared" si="72"/>
        <v>31.009999629999999</v>
      </c>
      <c r="P915" s="20">
        <f t="shared" si="73"/>
        <v>0.05</v>
      </c>
    </row>
    <row r="916" spans="1:16" x14ac:dyDescent="0.25">
      <c r="A916">
        <v>1121917</v>
      </c>
      <c r="B916">
        <v>1178</v>
      </c>
      <c r="C916">
        <v>144676</v>
      </c>
      <c r="D916" t="s">
        <v>13</v>
      </c>
      <c r="E916" t="s">
        <v>16</v>
      </c>
      <c r="F916" s="5">
        <v>19</v>
      </c>
      <c r="G916" s="5">
        <v>238735</v>
      </c>
      <c r="H916" s="5">
        <v>56</v>
      </c>
      <c r="I916" s="8">
        <v>84.659998889999997</v>
      </c>
      <c r="J916" s="5">
        <v>4</v>
      </c>
      <c r="K916" s="5">
        <v>1</v>
      </c>
      <c r="L916" s="14">
        <f t="shared" si="70"/>
        <v>0.3546191337256791</v>
      </c>
      <c r="M916" s="14">
        <f t="shared" si="74"/>
        <v>1.5117856944642856</v>
      </c>
      <c r="N916" s="20">
        <f t="shared" si="71"/>
        <v>2.3456971118604309E-4</v>
      </c>
      <c r="O916" s="14">
        <f t="shared" si="72"/>
        <v>84.659998889999997</v>
      </c>
      <c r="P916" s="20">
        <f t="shared" si="73"/>
        <v>1.7857142857142856E-2</v>
      </c>
    </row>
    <row r="917" spans="1:16" x14ac:dyDescent="0.25">
      <c r="A917">
        <v>1121918</v>
      </c>
      <c r="B917">
        <v>1178</v>
      </c>
      <c r="C917">
        <v>144676</v>
      </c>
      <c r="D917" t="s">
        <v>13</v>
      </c>
      <c r="E917" t="s">
        <v>16</v>
      </c>
      <c r="F917" s="5">
        <v>19</v>
      </c>
      <c r="G917" s="5">
        <v>320657</v>
      </c>
      <c r="H917" s="5">
        <v>77</v>
      </c>
      <c r="I917" s="8">
        <v>115.8800026</v>
      </c>
      <c r="J917" s="5">
        <v>2</v>
      </c>
      <c r="K917" s="5">
        <v>0</v>
      </c>
      <c r="L917" s="14">
        <f t="shared" si="70"/>
        <v>0.36138304356368334</v>
      </c>
      <c r="M917" s="14">
        <f t="shared" si="74"/>
        <v>1.5049350987012986</v>
      </c>
      <c r="N917" s="20">
        <f t="shared" si="71"/>
        <v>2.401319790305529E-4</v>
      </c>
      <c r="O917" s="14" t="str">
        <f t="shared" si="72"/>
        <v xml:space="preserve"> </v>
      </c>
      <c r="P917" s="20">
        <f t="shared" si="73"/>
        <v>0</v>
      </c>
    </row>
    <row r="918" spans="1:16" x14ac:dyDescent="0.25">
      <c r="A918">
        <v>1121925</v>
      </c>
      <c r="B918">
        <v>1178</v>
      </c>
      <c r="C918">
        <v>144678</v>
      </c>
      <c r="D918" t="s">
        <v>13</v>
      </c>
      <c r="E918" t="s">
        <v>16</v>
      </c>
      <c r="F918" s="5">
        <v>21</v>
      </c>
      <c r="G918" s="5">
        <v>244074</v>
      </c>
      <c r="H918" s="5">
        <v>57</v>
      </c>
      <c r="I918" s="8">
        <v>84.510000230000003</v>
      </c>
      <c r="J918" s="5">
        <v>4</v>
      </c>
      <c r="K918" s="5">
        <v>2</v>
      </c>
      <c r="L918" s="14">
        <f t="shared" si="70"/>
        <v>0.34624745048632793</v>
      </c>
      <c r="M918" s="14">
        <f t="shared" si="74"/>
        <v>1.4826315829824561</v>
      </c>
      <c r="N918" s="20">
        <f t="shared" si="71"/>
        <v>2.3353573096683791E-4</v>
      </c>
      <c r="O918" s="14">
        <f t="shared" si="72"/>
        <v>42.255000115000001</v>
      </c>
      <c r="P918" s="20">
        <f t="shared" si="73"/>
        <v>3.5087719298245612E-2</v>
      </c>
    </row>
    <row r="919" spans="1:16" x14ac:dyDescent="0.25">
      <c r="A919">
        <v>1121928</v>
      </c>
      <c r="B919">
        <v>1178</v>
      </c>
      <c r="C919">
        <v>144678</v>
      </c>
      <c r="D919" t="s">
        <v>13</v>
      </c>
      <c r="E919" t="s">
        <v>16</v>
      </c>
      <c r="F919" s="5">
        <v>21</v>
      </c>
      <c r="G919" s="5">
        <v>39146</v>
      </c>
      <c r="H919" s="5">
        <v>8</v>
      </c>
      <c r="I919" s="8">
        <v>13.05999959</v>
      </c>
      <c r="J919" s="5">
        <v>1</v>
      </c>
      <c r="K919" s="5">
        <v>0</v>
      </c>
      <c r="L919" s="14">
        <f t="shared" si="70"/>
        <v>0.33362283732692993</v>
      </c>
      <c r="M919" s="14">
        <f t="shared" si="74"/>
        <v>1.63249994875</v>
      </c>
      <c r="N919" s="20">
        <f t="shared" si="71"/>
        <v>2.0436315332345579E-4</v>
      </c>
      <c r="O919" s="14" t="str">
        <f t="shared" si="72"/>
        <v xml:space="preserve"> </v>
      </c>
      <c r="P919" s="20">
        <f t="shared" si="73"/>
        <v>0</v>
      </c>
    </row>
    <row r="920" spans="1:16" x14ac:dyDescent="0.25">
      <c r="A920">
        <v>1121931</v>
      </c>
      <c r="B920">
        <v>1178</v>
      </c>
      <c r="C920">
        <v>144679</v>
      </c>
      <c r="D920" t="s">
        <v>13</v>
      </c>
      <c r="E920" t="s">
        <v>16</v>
      </c>
      <c r="F920" s="5">
        <v>22</v>
      </c>
      <c r="G920" s="5">
        <v>78468</v>
      </c>
      <c r="H920" s="5">
        <v>15</v>
      </c>
      <c r="I920" s="8">
        <v>23.649999619999999</v>
      </c>
      <c r="J920" s="5">
        <v>1</v>
      </c>
      <c r="K920" s="5">
        <v>0</v>
      </c>
      <c r="L920" s="14">
        <f t="shared" si="70"/>
        <v>0.30139674287607682</v>
      </c>
      <c r="M920" s="14">
        <f t="shared" si="74"/>
        <v>1.5766666413333332</v>
      </c>
      <c r="N920" s="20">
        <f t="shared" si="71"/>
        <v>1.9116072794005199E-4</v>
      </c>
      <c r="O920" s="14" t="str">
        <f t="shared" si="72"/>
        <v xml:space="preserve"> </v>
      </c>
      <c r="P920" s="20">
        <f t="shared" si="73"/>
        <v>0</v>
      </c>
    </row>
    <row r="921" spans="1:16" x14ac:dyDescent="0.25">
      <c r="A921">
        <v>1121933</v>
      </c>
      <c r="B921">
        <v>1178</v>
      </c>
      <c r="C921">
        <v>144679</v>
      </c>
      <c r="D921" t="s">
        <v>13</v>
      </c>
      <c r="E921" t="s">
        <v>16</v>
      </c>
      <c r="F921" s="5">
        <v>22</v>
      </c>
      <c r="G921" s="5">
        <v>325653</v>
      </c>
      <c r="H921" s="5">
        <v>63</v>
      </c>
      <c r="I921" s="8">
        <v>89.350000260000002</v>
      </c>
      <c r="J921" s="5">
        <v>2</v>
      </c>
      <c r="K921" s="5">
        <v>0</v>
      </c>
      <c r="L921" s="14">
        <f t="shared" si="70"/>
        <v>0.27437180145737949</v>
      </c>
      <c r="M921" s="14">
        <f t="shared" si="74"/>
        <v>1.4182539723809524</v>
      </c>
      <c r="N921" s="20">
        <f t="shared" si="71"/>
        <v>1.934574531786902E-4</v>
      </c>
      <c r="O921" s="14" t="str">
        <f t="shared" si="72"/>
        <v xml:space="preserve"> </v>
      </c>
      <c r="P921" s="20">
        <f t="shared" si="73"/>
        <v>0</v>
      </c>
    </row>
    <row r="922" spans="1:16" x14ac:dyDescent="0.25">
      <c r="A922">
        <v>1121935</v>
      </c>
      <c r="B922">
        <v>1178</v>
      </c>
      <c r="C922">
        <v>144679</v>
      </c>
      <c r="D922" t="s">
        <v>13</v>
      </c>
      <c r="E922" t="s">
        <v>16</v>
      </c>
      <c r="F922" s="5">
        <v>22</v>
      </c>
      <c r="G922" s="5">
        <v>66277</v>
      </c>
      <c r="H922" s="5">
        <v>12</v>
      </c>
      <c r="I922" s="8">
        <v>17.300000189999999</v>
      </c>
      <c r="J922" s="5">
        <v>1</v>
      </c>
      <c r="K922" s="5">
        <v>0</v>
      </c>
      <c r="L922" s="14">
        <f t="shared" si="70"/>
        <v>0.2610256980551322</v>
      </c>
      <c r="M922" s="14">
        <f t="shared" si="74"/>
        <v>1.4416666825</v>
      </c>
      <c r="N922" s="20">
        <f t="shared" si="71"/>
        <v>1.8105828567979842E-4</v>
      </c>
      <c r="O922" s="14" t="str">
        <f t="shared" si="72"/>
        <v xml:space="preserve"> </v>
      </c>
      <c r="P922" s="20">
        <f t="shared" si="73"/>
        <v>0</v>
      </c>
    </row>
    <row r="923" spans="1:16" x14ac:dyDescent="0.25">
      <c r="A923">
        <v>1121936</v>
      </c>
      <c r="B923">
        <v>1178</v>
      </c>
      <c r="C923">
        <v>144679</v>
      </c>
      <c r="D923" t="s">
        <v>13</v>
      </c>
      <c r="E923" t="s">
        <v>16</v>
      </c>
      <c r="F923" s="5">
        <v>22</v>
      </c>
      <c r="G923" s="5">
        <v>93002</v>
      </c>
      <c r="H923" s="5">
        <v>16</v>
      </c>
      <c r="I923" s="8">
        <v>23.339999679999998</v>
      </c>
      <c r="J923" s="5">
        <v>1</v>
      </c>
      <c r="K923" s="5">
        <v>0</v>
      </c>
      <c r="L923" s="14">
        <f t="shared" si="70"/>
        <v>0.25096234145502244</v>
      </c>
      <c r="M923" s="14">
        <f t="shared" si="74"/>
        <v>1.4587499799999999</v>
      </c>
      <c r="N923" s="20">
        <f t="shared" si="71"/>
        <v>1.7203931098255953E-4</v>
      </c>
      <c r="O923" s="14" t="str">
        <f t="shared" si="72"/>
        <v xml:space="preserve"> </v>
      </c>
      <c r="P923" s="20">
        <f t="shared" si="73"/>
        <v>0</v>
      </c>
    </row>
    <row r="924" spans="1:16" x14ac:dyDescent="0.25">
      <c r="A924">
        <v>1121944</v>
      </c>
      <c r="B924">
        <v>1178</v>
      </c>
      <c r="C924">
        <v>144681</v>
      </c>
      <c r="D924" t="s">
        <v>13</v>
      </c>
      <c r="E924" t="s">
        <v>16</v>
      </c>
      <c r="F924" s="5">
        <v>24</v>
      </c>
      <c r="G924" s="5">
        <v>109723</v>
      </c>
      <c r="H924" s="5">
        <v>27</v>
      </c>
      <c r="I924" s="8">
        <v>40.960000399999998</v>
      </c>
      <c r="J924" s="5">
        <v>1</v>
      </c>
      <c r="K924" s="5">
        <v>0</v>
      </c>
      <c r="L924" s="14">
        <f t="shared" si="70"/>
        <v>0.37330368655614593</v>
      </c>
      <c r="M924" s="14">
        <f t="shared" si="74"/>
        <v>1.5170370518518519</v>
      </c>
      <c r="N924" s="20">
        <f t="shared" si="71"/>
        <v>2.4607420504360979E-4</v>
      </c>
      <c r="O924" s="14" t="str">
        <f t="shared" si="72"/>
        <v xml:space="preserve"> </v>
      </c>
      <c r="P924" s="20">
        <f t="shared" si="73"/>
        <v>0</v>
      </c>
    </row>
    <row r="925" spans="1:16" x14ac:dyDescent="0.25">
      <c r="A925">
        <v>1121948</v>
      </c>
      <c r="B925">
        <v>1178</v>
      </c>
      <c r="C925">
        <v>144681</v>
      </c>
      <c r="D925" t="s">
        <v>13</v>
      </c>
      <c r="E925" t="s">
        <v>16</v>
      </c>
      <c r="F925" s="5">
        <v>24</v>
      </c>
      <c r="G925" s="5">
        <v>118941</v>
      </c>
      <c r="H925" s="5">
        <v>35</v>
      </c>
      <c r="I925" s="8">
        <v>50.11000001</v>
      </c>
      <c r="J925" s="5">
        <v>4</v>
      </c>
      <c r="K925" s="5">
        <v>1</v>
      </c>
      <c r="L925" s="14">
        <f t="shared" si="70"/>
        <v>0.42130131754399242</v>
      </c>
      <c r="M925" s="14">
        <f t="shared" si="74"/>
        <v>1.4317142860000001</v>
      </c>
      <c r="N925" s="20">
        <f t="shared" si="71"/>
        <v>2.9426354242859906E-4</v>
      </c>
      <c r="O925" s="14">
        <f t="shared" si="72"/>
        <v>50.11000001</v>
      </c>
      <c r="P925" s="20">
        <f t="shared" si="73"/>
        <v>2.8571428571428571E-2</v>
      </c>
    </row>
    <row r="926" spans="1:16" x14ac:dyDescent="0.25">
      <c r="A926">
        <v>1121949</v>
      </c>
      <c r="B926">
        <v>1178</v>
      </c>
      <c r="C926">
        <v>144682</v>
      </c>
      <c r="D926" t="s">
        <v>13</v>
      </c>
      <c r="E926" t="s">
        <v>16</v>
      </c>
      <c r="F926" s="5">
        <v>25</v>
      </c>
      <c r="G926" s="5">
        <v>221576</v>
      </c>
      <c r="H926" s="5">
        <v>47</v>
      </c>
      <c r="I926" s="8">
        <v>66.790000680000006</v>
      </c>
      <c r="J926" s="5">
        <v>6</v>
      </c>
      <c r="K926" s="5">
        <v>1</v>
      </c>
      <c r="L926" s="14">
        <f t="shared" si="70"/>
        <v>0.30143156605408528</v>
      </c>
      <c r="M926" s="14">
        <f t="shared" si="74"/>
        <v>1.4210638442553192</v>
      </c>
      <c r="N926" s="20">
        <f t="shared" si="71"/>
        <v>2.1211683575838539E-4</v>
      </c>
      <c r="O926" s="14">
        <f t="shared" si="72"/>
        <v>66.790000680000006</v>
      </c>
      <c r="P926" s="20">
        <f t="shared" si="73"/>
        <v>2.1276595744680851E-2</v>
      </c>
    </row>
    <row r="927" spans="1:16" x14ac:dyDescent="0.25">
      <c r="A927">
        <v>1121953</v>
      </c>
      <c r="B927">
        <v>1178</v>
      </c>
      <c r="C927">
        <v>144682</v>
      </c>
      <c r="D927" t="s">
        <v>13</v>
      </c>
      <c r="E927" t="s">
        <v>16</v>
      </c>
      <c r="F927" s="5">
        <v>25</v>
      </c>
      <c r="G927" s="5">
        <v>8341</v>
      </c>
      <c r="H927" s="5">
        <v>1</v>
      </c>
      <c r="I927" s="8">
        <v>1.6399999860000001</v>
      </c>
      <c r="J927" s="5">
        <v>1</v>
      </c>
      <c r="K927" s="5">
        <v>0</v>
      </c>
      <c r="L927" s="14">
        <f t="shared" si="70"/>
        <v>0.19661910873995925</v>
      </c>
      <c r="M927" s="14">
        <f t="shared" si="74"/>
        <v>1.6399999860000001</v>
      </c>
      <c r="N927" s="20">
        <f t="shared" si="71"/>
        <v>1.1988970147464332E-4</v>
      </c>
      <c r="O927" s="14" t="str">
        <f t="shared" si="72"/>
        <v xml:space="preserve"> </v>
      </c>
      <c r="P927" s="20">
        <f t="shared" si="73"/>
        <v>0</v>
      </c>
    </row>
    <row r="928" spans="1:16" x14ac:dyDescent="0.25">
      <c r="A928">
        <v>1121954</v>
      </c>
      <c r="B928">
        <v>1178</v>
      </c>
      <c r="C928">
        <v>144682</v>
      </c>
      <c r="D928" t="s">
        <v>13</v>
      </c>
      <c r="E928" t="s">
        <v>16</v>
      </c>
      <c r="F928" s="5">
        <v>25</v>
      </c>
      <c r="G928" s="5">
        <v>120335</v>
      </c>
      <c r="H928" s="5">
        <v>26</v>
      </c>
      <c r="I928" s="8">
        <v>36.229999300000003</v>
      </c>
      <c r="J928" s="5">
        <v>2</v>
      </c>
      <c r="K928" s="5">
        <v>0</v>
      </c>
      <c r="L928" s="14">
        <f t="shared" si="70"/>
        <v>0.30107615656292852</v>
      </c>
      <c r="M928" s="14">
        <f t="shared" si="74"/>
        <v>1.3934615115384617</v>
      </c>
      <c r="N928" s="20">
        <f t="shared" si="71"/>
        <v>2.1606348942535423E-4</v>
      </c>
      <c r="O928" s="14" t="str">
        <f t="shared" si="72"/>
        <v xml:space="preserve"> </v>
      </c>
      <c r="P928" s="20">
        <f t="shared" si="73"/>
        <v>0</v>
      </c>
    </row>
    <row r="929" spans="1:16" x14ac:dyDescent="0.25">
      <c r="A929">
        <v>1121955</v>
      </c>
      <c r="B929">
        <v>1178</v>
      </c>
      <c r="C929">
        <v>144683</v>
      </c>
      <c r="D929" t="s">
        <v>13</v>
      </c>
      <c r="E929" t="s">
        <v>16</v>
      </c>
      <c r="F929" s="5">
        <v>26</v>
      </c>
      <c r="G929" s="5">
        <v>182098</v>
      </c>
      <c r="H929" s="5">
        <v>40</v>
      </c>
      <c r="I929" s="8">
        <v>62.869999890000003</v>
      </c>
      <c r="J929" s="5">
        <v>1</v>
      </c>
      <c r="K929" s="5">
        <v>1</v>
      </c>
      <c r="L929" s="14">
        <f t="shared" si="70"/>
        <v>0.34525365402146097</v>
      </c>
      <c r="M929" s="14">
        <f t="shared" si="74"/>
        <v>1.57174999725</v>
      </c>
      <c r="N929" s="20">
        <f t="shared" si="71"/>
        <v>2.1966194027391844E-4</v>
      </c>
      <c r="O929" s="14">
        <f t="shared" si="72"/>
        <v>62.869999890000003</v>
      </c>
      <c r="P929" s="20">
        <f t="shared" si="73"/>
        <v>2.5000000000000001E-2</v>
      </c>
    </row>
    <row r="930" spans="1:16" x14ac:dyDescent="0.25">
      <c r="A930">
        <v>1121956</v>
      </c>
      <c r="B930">
        <v>1178</v>
      </c>
      <c r="C930">
        <v>144683</v>
      </c>
      <c r="D930" t="s">
        <v>13</v>
      </c>
      <c r="E930" t="s">
        <v>16</v>
      </c>
      <c r="F930" s="5">
        <v>26</v>
      </c>
      <c r="G930" s="5">
        <v>227473</v>
      </c>
      <c r="H930" s="5">
        <v>52</v>
      </c>
      <c r="I930" s="8">
        <v>71.580000519999999</v>
      </c>
      <c r="J930" s="5">
        <v>1</v>
      </c>
      <c r="K930" s="5">
        <v>1</v>
      </c>
      <c r="L930" s="14">
        <f t="shared" si="70"/>
        <v>0.31467471093272609</v>
      </c>
      <c r="M930" s="14">
        <f t="shared" si="74"/>
        <v>1.3765384715384614</v>
      </c>
      <c r="N930" s="20">
        <f t="shared" si="71"/>
        <v>2.2859855894985338E-4</v>
      </c>
      <c r="O930" s="14">
        <f t="shared" si="72"/>
        <v>71.580000519999999</v>
      </c>
      <c r="P930" s="20">
        <f t="shared" si="73"/>
        <v>1.9230769230769232E-2</v>
      </c>
    </row>
    <row r="931" spans="1:16" x14ac:dyDescent="0.25">
      <c r="A931">
        <v>1121962</v>
      </c>
      <c r="B931">
        <v>1178</v>
      </c>
      <c r="C931">
        <v>144684</v>
      </c>
      <c r="D931" t="s">
        <v>13</v>
      </c>
      <c r="E931" t="s">
        <v>16</v>
      </c>
      <c r="F931" s="5">
        <v>27</v>
      </c>
      <c r="G931" s="5">
        <v>1050947</v>
      </c>
      <c r="H931" s="5">
        <v>230</v>
      </c>
      <c r="I931" s="8">
        <v>350.50999569999999</v>
      </c>
      <c r="J931" s="5">
        <v>6</v>
      </c>
      <c r="K931" s="5">
        <v>1</v>
      </c>
      <c r="L931" s="14">
        <f t="shared" si="70"/>
        <v>0.33351824183331796</v>
      </c>
      <c r="M931" s="14">
        <f t="shared" si="74"/>
        <v>1.5239565030434783</v>
      </c>
      <c r="N931" s="20">
        <f t="shared" si="71"/>
        <v>2.1885023697674574E-4</v>
      </c>
      <c r="O931" s="14">
        <f t="shared" si="72"/>
        <v>350.50999569999999</v>
      </c>
      <c r="P931" s="20">
        <f t="shared" si="73"/>
        <v>4.3478260869565218E-3</v>
      </c>
    </row>
    <row r="932" spans="1:16" x14ac:dyDescent="0.25">
      <c r="A932">
        <v>1121963</v>
      </c>
      <c r="B932">
        <v>1178</v>
      </c>
      <c r="C932">
        <v>144684</v>
      </c>
      <c r="D932" t="s">
        <v>13</v>
      </c>
      <c r="E932" t="s">
        <v>16</v>
      </c>
      <c r="F932" s="5">
        <v>27</v>
      </c>
      <c r="G932" s="5">
        <v>720859</v>
      </c>
      <c r="H932" s="5">
        <v>162</v>
      </c>
      <c r="I932" s="8">
        <v>213.6899986</v>
      </c>
      <c r="J932" s="5">
        <v>13</v>
      </c>
      <c r="K932" s="5">
        <v>5</v>
      </c>
      <c r="L932" s="14">
        <f t="shared" si="70"/>
        <v>0.29643799772216201</v>
      </c>
      <c r="M932" s="14">
        <f t="shared" si="74"/>
        <v>1.3190740654320987</v>
      </c>
      <c r="N932" s="20">
        <f t="shared" si="71"/>
        <v>2.2473188237921702E-4</v>
      </c>
      <c r="O932" s="14">
        <f t="shared" si="72"/>
        <v>42.737999719999998</v>
      </c>
      <c r="P932" s="20">
        <f t="shared" si="73"/>
        <v>3.0864197530864196E-2</v>
      </c>
    </row>
    <row r="933" spans="1:16" x14ac:dyDescent="0.25">
      <c r="A933">
        <v>1121971</v>
      </c>
      <c r="B933">
        <v>1178</v>
      </c>
      <c r="C933">
        <v>144685</v>
      </c>
      <c r="D933" t="s">
        <v>13</v>
      </c>
      <c r="E933" t="s">
        <v>16</v>
      </c>
      <c r="F933" s="5">
        <v>28</v>
      </c>
      <c r="G933" s="5">
        <v>41111</v>
      </c>
      <c r="H933" s="5">
        <v>8</v>
      </c>
      <c r="I933" s="8">
        <v>10.96000016</v>
      </c>
      <c r="J933" s="5">
        <v>1</v>
      </c>
      <c r="K933" s="5">
        <v>0</v>
      </c>
      <c r="L933" s="14">
        <f t="shared" si="70"/>
        <v>0.26659531901437566</v>
      </c>
      <c r="M933" s="14">
        <f t="shared" si="74"/>
        <v>1.37000002</v>
      </c>
      <c r="N933" s="20">
        <f t="shared" si="71"/>
        <v>1.9459512052735276E-4</v>
      </c>
      <c r="O933" s="14" t="str">
        <f t="shared" si="72"/>
        <v xml:space="preserve"> </v>
      </c>
      <c r="P933" s="20">
        <f t="shared" si="73"/>
        <v>0</v>
      </c>
    </row>
    <row r="934" spans="1:16" x14ac:dyDescent="0.25">
      <c r="A934">
        <v>1121973</v>
      </c>
      <c r="B934">
        <v>1178</v>
      </c>
      <c r="C934">
        <v>144686</v>
      </c>
      <c r="D934" t="s">
        <v>13</v>
      </c>
      <c r="E934" t="s">
        <v>16</v>
      </c>
      <c r="F934" s="5">
        <v>29</v>
      </c>
      <c r="G934" s="5">
        <v>148616</v>
      </c>
      <c r="H934" s="5">
        <v>25</v>
      </c>
      <c r="I934" s="8">
        <v>37.399999620000003</v>
      </c>
      <c r="J934" s="5">
        <v>6</v>
      </c>
      <c r="K934" s="5">
        <v>4</v>
      </c>
      <c r="L934" s="14">
        <f t="shared" si="70"/>
        <v>0.2516552700920493</v>
      </c>
      <c r="M934" s="14">
        <f t="shared" si="74"/>
        <v>1.4959999848000001</v>
      </c>
      <c r="N934" s="20">
        <f t="shared" si="71"/>
        <v>1.6821876513968887E-4</v>
      </c>
      <c r="O934" s="14">
        <f t="shared" si="72"/>
        <v>9.3499999050000007</v>
      </c>
      <c r="P934" s="20">
        <f t="shared" si="73"/>
        <v>0.16</v>
      </c>
    </row>
    <row r="935" spans="1:16" x14ac:dyDescent="0.25">
      <c r="A935">
        <v>1121976</v>
      </c>
      <c r="B935">
        <v>1178</v>
      </c>
      <c r="C935">
        <v>144686</v>
      </c>
      <c r="D935" t="s">
        <v>13</v>
      </c>
      <c r="E935" t="s">
        <v>16</v>
      </c>
      <c r="F935" s="5">
        <v>29</v>
      </c>
      <c r="G935" s="5">
        <v>707260</v>
      </c>
      <c r="H935" s="5">
        <v>135</v>
      </c>
      <c r="I935" s="8">
        <v>210.8200028</v>
      </c>
      <c r="J935" s="5">
        <v>13</v>
      </c>
      <c r="K935" s="5">
        <v>6</v>
      </c>
      <c r="L935" s="14">
        <f t="shared" si="70"/>
        <v>0.2980799179933829</v>
      </c>
      <c r="M935" s="14">
        <f t="shared" si="74"/>
        <v>1.5616296503703704</v>
      </c>
      <c r="N935" s="20">
        <f t="shared" si="71"/>
        <v>1.9087747080281651E-4</v>
      </c>
      <c r="O935" s="14">
        <f t="shared" si="72"/>
        <v>35.136667133333333</v>
      </c>
      <c r="P935" s="20">
        <f t="shared" si="73"/>
        <v>4.4444444444444446E-2</v>
      </c>
    </row>
    <row r="936" spans="1:16" x14ac:dyDescent="0.25">
      <c r="A936">
        <v>1121977</v>
      </c>
      <c r="B936">
        <v>1178</v>
      </c>
      <c r="C936">
        <v>144686</v>
      </c>
      <c r="D936" t="s">
        <v>13</v>
      </c>
      <c r="E936" t="s">
        <v>16</v>
      </c>
      <c r="F936" s="5">
        <v>29</v>
      </c>
      <c r="G936" s="5">
        <v>139596</v>
      </c>
      <c r="H936" s="5">
        <v>26</v>
      </c>
      <c r="I936" s="8">
        <v>42.410000320000002</v>
      </c>
      <c r="J936" s="5">
        <v>1</v>
      </c>
      <c r="K936" s="5">
        <v>1</v>
      </c>
      <c r="L936" s="14">
        <f t="shared" si="70"/>
        <v>0.30380526891888021</v>
      </c>
      <c r="M936" s="14">
        <f t="shared" si="74"/>
        <v>1.6311538584615386</v>
      </c>
      <c r="N936" s="20">
        <f t="shared" si="71"/>
        <v>1.8625175506461504E-4</v>
      </c>
      <c r="O936" s="14">
        <f t="shared" si="72"/>
        <v>42.410000320000002</v>
      </c>
      <c r="P936" s="20">
        <f t="shared" si="73"/>
        <v>3.8461538461538464E-2</v>
      </c>
    </row>
    <row r="937" spans="1:16" x14ac:dyDescent="0.25">
      <c r="A937">
        <v>1121983</v>
      </c>
      <c r="B937">
        <v>1178</v>
      </c>
      <c r="C937">
        <v>144687</v>
      </c>
      <c r="D937" t="s">
        <v>13</v>
      </c>
      <c r="E937" t="s">
        <v>16</v>
      </c>
      <c r="F937" s="5">
        <v>30</v>
      </c>
      <c r="G937" s="5">
        <v>105399</v>
      </c>
      <c r="H937" s="5">
        <v>22</v>
      </c>
      <c r="I937" s="8">
        <v>33.199999329999997</v>
      </c>
      <c r="J937" s="5">
        <v>2</v>
      </c>
      <c r="K937" s="5">
        <v>0</v>
      </c>
      <c r="L937" s="14">
        <f t="shared" si="70"/>
        <v>0.31499349453030856</v>
      </c>
      <c r="M937" s="14">
        <f t="shared" si="74"/>
        <v>1.5090908786363635</v>
      </c>
      <c r="N937" s="20">
        <f t="shared" si="71"/>
        <v>2.0873063311796126E-4</v>
      </c>
      <c r="O937" s="14" t="str">
        <f t="shared" si="72"/>
        <v xml:space="preserve"> </v>
      </c>
      <c r="P937" s="20">
        <f t="shared" si="73"/>
        <v>0</v>
      </c>
    </row>
    <row r="938" spans="1:16" x14ac:dyDescent="0.25">
      <c r="A938">
        <v>1121994</v>
      </c>
      <c r="B938">
        <v>1178</v>
      </c>
      <c r="C938">
        <v>144689</v>
      </c>
      <c r="D938" t="s">
        <v>13</v>
      </c>
      <c r="E938" t="s">
        <v>16</v>
      </c>
      <c r="F938" s="5">
        <v>32</v>
      </c>
      <c r="G938" s="5">
        <v>222378</v>
      </c>
      <c r="H938" s="5">
        <v>50</v>
      </c>
      <c r="I938" s="8">
        <v>72.910001039999997</v>
      </c>
      <c r="J938" s="5">
        <v>1</v>
      </c>
      <c r="K938" s="5">
        <v>0</v>
      </c>
      <c r="L938" s="14">
        <f t="shared" si="70"/>
        <v>0.32786517119499231</v>
      </c>
      <c r="M938" s="14">
        <f t="shared" si="74"/>
        <v>1.4582000207999999</v>
      </c>
      <c r="N938" s="20">
        <f t="shared" si="71"/>
        <v>2.2484238548777308E-4</v>
      </c>
      <c r="O938" s="14" t="str">
        <f t="shared" si="72"/>
        <v xml:space="preserve"> </v>
      </c>
      <c r="P938" s="20">
        <f t="shared" si="73"/>
        <v>0</v>
      </c>
    </row>
    <row r="939" spans="1:16" x14ac:dyDescent="0.25">
      <c r="A939">
        <v>1122003</v>
      </c>
      <c r="B939">
        <v>1178</v>
      </c>
      <c r="C939">
        <v>144691</v>
      </c>
      <c r="D939" t="s">
        <v>13</v>
      </c>
      <c r="E939" t="s">
        <v>16</v>
      </c>
      <c r="F939" s="5">
        <v>63</v>
      </c>
      <c r="G939" s="5">
        <v>975792</v>
      </c>
      <c r="H939" s="5">
        <v>210</v>
      </c>
      <c r="I939" s="8">
        <v>293.88000110000002</v>
      </c>
      <c r="J939" s="5">
        <v>10</v>
      </c>
      <c r="K939" s="5">
        <v>4</v>
      </c>
      <c r="L939" s="14">
        <f t="shared" si="70"/>
        <v>0.30117074243281355</v>
      </c>
      <c r="M939" s="14">
        <f t="shared" si="74"/>
        <v>1.3994285766666668</v>
      </c>
      <c r="N939" s="20">
        <f t="shared" si="71"/>
        <v>2.1520979880958237E-4</v>
      </c>
      <c r="O939" s="14">
        <f t="shared" si="72"/>
        <v>73.470000275000004</v>
      </c>
      <c r="P939" s="20">
        <f t="shared" si="73"/>
        <v>1.9047619047619049E-2</v>
      </c>
    </row>
    <row r="940" spans="1:16" x14ac:dyDescent="0.25">
      <c r="A940">
        <v>1122004</v>
      </c>
      <c r="B940">
        <v>1178</v>
      </c>
      <c r="C940">
        <v>144691</v>
      </c>
      <c r="D940" t="s">
        <v>13</v>
      </c>
      <c r="E940" t="s">
        <v>16</v>
      </c>
      <c r="F940" s="5">
        <v>63</v>
      </c>
      <c r="G940" s="5">
        <v>579150</v>
      </c>
      <c r="H940" s="5">
        <v>125</v>
      </c>
      <c r="I940" s="8">
        <v>167.0499997</v>
      </c>
      <c r="J940" s="5">
        <v>5</v>
      </c>
      <c r="K940" s="5">
        <v>1</v>
      </c>
      <c r="L940" s="14">
        <f t="shared" si="70"/>
        <v>0.28843995458862126</v>
      </c>
      <c r="M940" s="14">
        <f t="shared" si="74"/>
        <v>1.3363999976000001</v>
      </c>
      <c r="N940" s="20">
        <f t="shared" si="71"/>
        <v>2.1583354916688251E-4</v>
      </c>
      <c r="O940" s="14">
        <f t="shared" si="72"/>
        <v>167.0499997</v>
      </c>
      <c r="P940" s="20">
        <f t="shared" si="73"/>
        <v>8.0000000000000002E-3</v>
      </c>
    </row>
    <row r="941" spans="1:16" x14ac:dyDescent="0.25">
      <c r="A941">
        <v>1122005</v>
      </c>
      <c r="B941">
        <v>1178</v>
      </c>
      <c r="C941">
        <v>144691</v>
      </c>
      <c r="D941" t="s">
        <v>13</v>
      </c>
      <c r="E941" t="s">
        <v>16</v>
      </c>
      <c r="F941" s="5">
        <v>63</v>
      </c>
      <c r="G941" s="5">
        <v>449588</v>
      </c>
      <c r="H941" s="5">
        <v>81</v>
      </c>
      <c r="I941" s="8">
        <v>123.80000099999999</v>
      </c>
      <c r="J941" s="5">
        <v>5</v>
      </c>
      <c r="K941" s="5">
        <v>2</v>
      </c>
      <c r="L941" s="14">
        <f t="shared" si="70"/>
        <v>0.27536322366255328</v>
      </c>
      <c r="M941" s="14">
        <f t="shared" si="74"/>
        <v>1.5283950740740739</v>
      </c>
      <c r="N941" s="20">
        <f t="shared" si="71"/>
        <v>1.8016495102182443E-4</v>
      </c>
      <c r="O941" s="14">
        <f t="shared" si="72"/>
        <v>61.900000499999997</v>
      </c>
      <c r="P941" s="20">
        <f t="shared" si="73"/>
        <v>2.4691358024691357E-2</v>
      </c>
    </row>
    <row r="942" spans="1:16" x14ac:dyDescent="0.25">
      <c r="A942">
        <v>1122006</v>
      </c>
      <c r="B942">
        <v>1178</v>
      </c>
      <c r="C942">
        <v>144691</v>
      </c>
      <c r="D942" t="s">
        <v>13</v>
      </c>
      <c r="E942" t="s">
        <v>16</v>
      </c>
      <c r="F942" s="5">
        <v>63</v>
      </c>
      <c r="G942" s="5">
        <v>318157</v>
      </c>
      <c r="H942" s="5">
        <v>56</v>
      </c>
      <c r="I942" s="8">
        <v>85.700001959999994</v>
      </c>
      <c r="J942" s="5">
        <v>3</v>
      </c>
      <c r="K942" s="5">
        <v>0</v>
      </c>
      <c r="L942" s="14">
        <f t="shared" si="70"/>
        <v>0.26936387368500453</v>
      </c>
      <c r="M942" s="14">
        <f t="shared" si="74"/>
        <v>1.5303571778571428</v>
      </c>
      <c r="N942" s="20">
        <f t="shared" si="71"/>
        <v>1.7601372907086752E-4</v>
      </c>
      <c r="O942" s="14" t="str">
        <f t="shared" si="72"/>
        <v xml:space="preserve"> </v>
      </c>
      <c r="P942" s="20">
        <f t="shared" si="73"/>
        <v>0</v>
      </c>
    </row>
    <row r="943" spans="1:16" x14ac:dyDescent="0.25">
      <c r="A943">
        <v>1122007</v>
      </c>
      <c r="B943">
        <v>1178</v>
      </c>
      <c r="C943">
        <v>144691</v>
      </c>
      <c r="D943" t="s">
        <v>13</v>
      </c>
      <c r="E943" t="s">
        <v>16</v>
      </c>
      <c r="F943" s="5">
        <v>63</v>
      </c>
      <c r="G943" s="5">
        <v>196967</v>
      </c>
      <c r="H943" s="5">
        <v>43</v>
      </c>
      <c r="I943" s="8">
        <v>65.179999710000004</v>
      </c>
      <c r="J943" s="5">
        <v>2</v>
      </c>
      <c r="K943" s="5">
        <v>1</v>
      </c>
      <c r="L943" s="14">
        <f t="shared" si="70"/>
        <v>0.33091837571775984</v>
      </c>
      <c r="M943" s="14">
        <f t="shared" si="74"/>
        <v>1.5158139467441862</v>
      </c>
      <c r="N943" s="20">
        <f t="shared" si="71"/>
        <v>2.1831068148471571E-4</v>
      </c>
      <c r="O943" s="14">
        <f t="shared" si="72"/>
        <v>65.179999710000004</v>
      </c>
      <c r="P943" s="20">
        <f t="shared" si="73"/>
        <v>2.3255813953488372E-2</v>
      </c>
    </row>
    <row r="944" spans="1:16" x14ac:dyDescent="0.25">
      <c r="A944">
        <v>1122011</v>
      </c>
      <c r="B944">
        <v>1178</v>
      </c>
      <c r="C944">
        <v>144692</v>
      </c>
      <c r="D944" t="s">
        <v>13</v>
      </c>
      <c r="E944" t="s">
        <v>16</v>
      </c>
      <c r="F944" s="5">
        <v>64</v>
      </c>
      <c r="G944" s="5">
        <v>158298</v>
      </c>
      <c r="H944" s="5">
        <v>37</v>
      </c>
      <c r="I944" s="8">
        <v>46.430000069999998</v>
      </c>
      <c r="J944" s="5">
        <v>4</v>
      </c>
      <c r="K944" s="5">
        <v>1</v>
      </c>
      <c r="L944" s="14">
        <f t="shared" si="70"/>
        <v>0.29330755960277455</v>
      </c>
      <c r="M944" s="14">
        <f t="shared" si="74"/>
        <v>1.2548648667567568</v>
      </c>
      <c r="N944" s="20">
        <f t="shared" si="71"/>
        <v>2.3373637064271185E-4</v>
      </c>
      <c r="O944" s="14">
        <f t="shared" si="72"/>
        <v>46.430000069999998</v>
      </c>
      <c r="P944" s="20">
        <f t="shared" si="73"/>
        <v>2.7027027027027029E-2</v>
      </c>
    </row>
    <row r="945" spans="1:16" x14ac:dyDescent="0.25">
      <c r="A945">
        <v>1122012</v>
      </c>
      <c r="B945">
        <v>1178</v>
      </c>
      <c r="C945">
        <v>144692</v>
      </c>
      <c r="D945" t="s">
        <v>13</v>
      </c>
      <c r="E945" t="s">
        <v>16</v>
      </c>
      <c r="F945" s="5">
        <v>64</v>
      </c>
      <c r="G945" s="5">
        <v>222739</v>
      </c>
      <c r="H945" s="5">
        <v>55</v>
      </c>
      <c r="I945" s="8">
        <v>68.559999590000004</v>
      </c>
      <c r="J945" s="5">
        <v>5</v>
      </c>
      <c r="K945" s="5">
        <v>2</v>
      </c>
      <c r="L945" s="14">
        <f t="shared" si="70"/>
        <v>0.3078041994890881</v>
      </c>
      <c r="M945" s="14">
        <f t="shared" si="74"/>
        <v>1.2465454470909092</v>
      </c>
      <c r="N945" s="20">
        <f t="shared" si="71"/>
        <v>2.4692577411230182E-4</v>
      </c>
      <c r="O945" s="14">
        <f t="shared" si="72"/>
        <v>34.279999795000002</v>
      </c>
      <c r="P945" s="20">
        <f t="shared" si="73"/>
        <v>3.6363636363636362E-2</v>
      </c>
    </row>
    <row r="946" spans="1:16" x14ac:dyDescent="0.25">
      <c r="A946">
        <v>1122022</v>
      </c>
      <c r="B946">
        <v>1178</v>
      </c>
      <c r="C946">
        <v>144694</v>
      </c>
      <c r="D946" t="s">
        <v>13</v>
      </c>
      <c r="E946" t="s">
        <v>16</v>
      </c>
      <c r="F946" s="5">
        <v>2</v>
      </c>
      <c r="G946" s="5">
        <v>20780</v>
      </c>
      <c r="H946" s="5">
        <v>5</v>
      </c>
      <c r="I946" s="8">
        <v>8.1899999379999997</v>
      </c>
      <c r="J946" s="5">
        <v>1</v>
      </c>
      <c r="K946" s="5">
        <v>0</v>
      </c>
      <c r="L946" s="14">
        <f t="shared" si="70"/>
        <v>0.39412896717998075</v>
      </c>
      <c r="M946" s="14">
        <f t="shared" si="74"/>
        <v>1.6379999876</v>
      </c>
      <c r="N946" s="20">
        <f t="shared" si="71"/>
        <v>2.4061597690086623E-4</v>
      </c>
      <c r="O946" s="14" t="str">
        <f t="shared" si="72"/>
        <v xml:space="preserve"> </v>
      </c>
      <c r="P946" s="20">
        <f t="shared" si="73"/>
        <v>0</v>
      </c>
    </row>
    <row r="947" spans="1:16" x14ac:dyDescent="0.25">
      <c r="A947">
        <v>1122027</v>
      </c>
      <c r="B947">
        <v>1178</v>
      </c>
      <c r="C947">
        <v>144695</v>
      </c>
      <c r="D947" t="s">
        <v>13</v>
      </c>
      <c r="E947" t="s">
        <v>16</v>
      </c>
      <c r="F947" s="5">
        <v>7</v>
      </c>
      <c r="G947" s="5">
        <v>128616</v>
      </c>
      <c r="H947" s="5">
        <v>33</v>
      </c>
      <c r="I947" s="8">
        <v>48.549999479999997</v>
      </c>
      <c r="J947" s="5">
        <v>2</v>
      </c>
      <c r="K947" s="5">
        <v>0</v>
      </c>
      <c r="L947" s="14">
        <f t="shared" si="70"/>
        <v>0.3774802472476208</v>
      </c>
      <c r="M947" s="14">
        <f t="shared" si="74"/>
        <v>1.4712121054545453</v>
      </c>
      <c r="N947" s="20">
        <f t="shared" si="71"/>
        <v>2.5657771972382906E-4</v>
      </c>
      <c r="O947" s="14" t="str">
        <f t="shared" si="72"/>
        <v xml:space="preserve"> </v>
      </c>
      <c r="P947" s="20">
        <f t="shared" si="73"/>
        <v>0</v>
      </c>
    </row>
    <row r="948" spans="1:16" x14ac:dyDescent="0.25">
      <c r="A948">
        <v>1122039</v>
      </c>
      <c r="B948">
        <v>1178</v>
      </c>
      <c r="C948">
        <v>144697</v>
      </c>
      <c r="D948" t="s">
        <v>14</v>
      </c>
      <c r="E948" t="s">
        <v>16</v>
      </c>
      <c r="F948" s="5">
        <v>10</v>
      </c>
      <c r="G948" s="5">
        <v>258954</v>
      </c>
      <c r="H948" s="5">
        <v>61</v>
      </c>
      <c r="I948" s="8">
        <v>82.279999020000005</v>
      </c>
      <c r="J948" s="5">
        <v>1</v>
      </c>
      <c r="K948" s="5">
        <v>0</v>
      </c>
      <c r="L948" s="14">
        <f t="shared" si="70"/>
        <v>0.31773982645566401</v>
      </c>
      <c r="M948" s="14">
        <f t="shared" si="74"/>
        <v>1.3488524429508197</v>
      </c>
      <c r="N948" s="20">
        <f t="shared" si="71"/>
        <v>2.3556307297821233E-4</v>
      </c>
      <c r="O948" s="14" t="str">
        <f t="shared" si="72"/>
        <v xml:space="preserve"> </v>
      </c>
      <c r="P948" s="20">
        <f t="shared" si="73"/>
        <v>0</v>
      </c>
    </row>
    <row r="949" spans="1:16" x14ac:dyDescent="0.25">
      <c r="A949">
        <v>1122040</v>
      </c>
      <c r="B949">
        <v>1178</v>
      </c>
      <c r="C949">
        <v>144697</v>
      </c>
      <c r="D949" t="s">
        <v>14</v>
      </c>
      <c r="E949" t="s">
        <v>16</v>
      </c>
      <c r="F949" s="5">
        <v>10</v>
      </c>
      <c r="G949" s="5">
        <v>205289</v>
      </c>
      <c r="H949" s="5">
        <v>48</v>
      </c>
      <c r="I949" s="8">
        <v>71.530001040000002</v>
      </c>
      <c r="J949" s="5">
        <v>3</v>
      </c>
      <c r="K949" s="5">
        <v>0</v>
      </c>
      <c r="L949" s="14">
        <f t="shared" si="70"/>
        <v>0.34843562509437914</v>
      </c>
      <c r="M949" s="14">
        <f t="shared" si="74"/>
        <v>1.490208355</v>
      </c>
      <c r="N949" s="20">
        <f t="shared" si="71"/>
        <v>2.3381671692102352E-4</v>
      </c>
      <c r="O949" s="14" t="str">
        <f t="shared" si="72"/>
        <v xml:space="preserve"> </v>
      </c>
      <c r="P949" s="20">
        <f t="shared" si="73"/>
        <v>0</v>
      </c>
    </row>
    <row r="950" spans="1:16" x14ac:dyDescent="0.25">
      <c r="A950">
        <v>1122041</v>
      </c>
      <c r="B950">
        <v>1178</v>
      </c>
      <c r="C950">
        <v>144697</v>
      </c>
      <c r="D950" t="s">
        <v>14</v>
      </c>
      <c r="E950" t="s">
        <v>16</v>
      </c>
      <c r="F950" s="5">
        <v>10</v>
      </c>
      <c r="G950" s="5">
        <v>611601</v>
      </c>
      <c r="H950" s="5">
        <v>138</v>
      </c>
      <c r="I950" s="8">
        <v>191.419996</v>
      </c>
      <c r="J950" s="5">
        <v>8</v>
      </c>
      <c r="K950" s="5">
        <v>3</v>
      </c>
      <c r="L950" s="14">
        <f t="shared" si="70"/>
        <v>0.31298182311670514</v>
      </c>
      <c r="M950" s="14">
        <f t="shared" si="74"/>
        <v>1.3871014202898551</v>
      </c>
      <c r="N950" s="20">
        <f t="shared" si="71"/>
        <v>2.2563730275130354E-4</v>
      </c>
      <c r="O950" s="14">
        <f t="shared" si="72"/>
        <v>63.806665333333335</v>
      </c>
      <c r="P950" s="20">
        <f t="shared" si="73"/>
        <v>2.1739130434782608E-2</v>
      </c>
    </row>
    <row r="951" spans="1:16" x14ac:dyDescent="0.25">
      <c r="A951">
        <v>1122043</v>
      </c>
      <c r="B951">
        <v>1178</v>
      </c>
      <c r="C951">
        <v>144697</v>
      </c>
      <c r="D951" t="s">
        <v>14</v>
      </c>
      <c r="E951" t="s">
        <v>16</v>
      </c>
      <c r="F951" s="5">
        <v>10</v>
      </c>
      <c r="G951" s="5">
        <v>947657</v>
      </c>
      <c r="H951" s="5">
        <v>233</v>
      </c>
      <c r="I951" s="8">
        <v>321.87000039999998</v>
      </c>
      <c r="J951" s="5">
        <v>8</v>
      </c>
      <c r="K951" s="5">
        <v>4</v>
      </c>
      <c r="L951" s="14">
        <f t="shared" si="70"/>
        <v>0.33964820647132876</v>
      </c>
      <c r="M951" s="14">
        <f t="shared" si="74"/>
        <v>1.3814163107296136</v>
      </c>
      <c r="N951" s="20">
        <f t="shared" si="71"/>
        <v>2.4586954984767695E-4</v>
      </c>
      <c r="O951" s="14">
        <f t="shared" si="72"/>
        <v>80.467500099999995</v>
      </c>
      <c r="P951" s="20">
        <f t="shared" si="73"/>
        <v>1.7167381974248927E-2</v>
      </c>
    </row>
    <row r="952" spans="1:16" x14ac:dyDescent="0.25">
      <c r="A952">
        <v>1122044</v>
      </c>
      <c r="B952">
        <v>1178</v>
      </c>
      <c r="C952">
        <v>144697</v>
      </c>
      <c r="D952" t="s">
        <v>14</v>
      </c>
      <c r="E952" t="s">
        <v>16</v>
      </c>
      <c r="F952" s="5">
        <v>10</v>
      </c>
      <c r="G952" s="5">
        <v>233043</v>
      </c>
      <c r="H952" s="5">
        <v>49</v>
      </c>
      <c r="I952" s="8">
        <v>65.030000329999993</v>
      </c>
      <c r="J952" s="5">
        <v>2</v>
      </c>
      <c r="K952" s="5">
        <v>0</v>
      </c>
      <c r="L952" s="14">
        <f t="shared" si="70"/>
        <v>0.27904721587861464</v>
      </c>
      <c r="M952" s="14">
        <f t="shared" si="74"/>
        <v>1.3271428638775509</v>
      </c>
      <c r="N952" s="20">
        <f t="shared" si="71"/>
        <v>2.1026162553691808E-4</v>
      </c>
      <c r="O952" s="14" t="str">
        <f t="shared" si="72"/>
        <v xml:space="preserve"> </v>
      </c>
      <c r="P952" s="20">
        <f t="shared" si="73"/>
        <v>0</v>
      </c>
    </row>
    <row r="953" spans="1:16" x14ac:dyDescent="0.25">
      <c r="A953">
        <v>1122047</v>
      </c>
      <c r="B953">
        <v>1178</v>
      </c>
      <c r="C953">
        <v>144698</v>
      </c>
      <c r="D953" t="s">
        <v>14</v>
      </c>
      <c r="E953" t="s">
        <v>16</v>
      </c>
      <c r="F953" s="5">
        <v>15</v>
      </c>
      <c r="G953" s="5">
        <v>582725</v>
      </c>
      <c r="H953" s="5">
        <v>142</v>
      </c>
      <c r="I953" s="8">
        <v>194.80999879999999</v>
      </c>
      <c r="J953" s="5">
        <v>9</v>
      </c>
      <c r="K953" s="5">
        <v>2</v>
      </c>
      <c r="L953" s="14">
        <f t="shared" si="70"/>
        <v>0.33430863408983652</v>
      </c>
      <c r="M953" s="14">
        <f t="shared" si="74"/>
        <v>1.3719013999999998</v>
      </c>
      <c r="N953" s="20">
        <f t="shared" si="71"/>
        <v>2.4368269767042773E-4</v>
      </c>
      <c r="O953" s="14">
        <f t="shared" si="72"/>
        <v>97.404999399999994</v>
      </c>
      <c r="P953" s="20">
        <f t="shared" si="73"/>
        <v>1.4084507042253521E-2</v>
      </c>
    </row>
    <row r="954" spans="1:16" x14ac:dyDescent="0.25">
      <c r="A954">
        <v>1122052</v>
      </c>
      <c r="B954">
        <v>1178</v>
      </c>
      <c r="C954">
        <v>144699</v>
      </c>
      <c r="D954" t="s">
        <v>14</v>
      </c>
      <c r="E954" t="s">
        <v>16</v>
      </c>
      <c r="F954" s="5">
        <v>16</v>
      </c>
      <c r="G954" s="5">
        <v>265038</v>
      </c>
      <c r="H954" s="5">
        <v>51</v>
      </c>
      <c r="I954" s="8">
        <v>78.459999319999994</v>
      </c>
      <c r="J954" s="5">
        <v>2</v>
      </c>
      <c r="K954" s="5">
        <v>1</v>
      </c>
      <c r="L954" s="14">
        <f t="shared" si="70"/>
        <v>0.29603301911424024</v>
      </c>
      <c r="M954" s="14">
        <f t="shared" si="74"/>
        <v>1.5384313592156862</v>
      </c>
      <c r="N954" s="20">
        <f t="shared" si="71"/>
        <v>1.9242523713580695E-4</v>
      </c>
      <c r="O954" s="14">
        <f t="shared" si="72"/>
        <v>78.459999319999994</v>
      </c>
      <c r="P954" s="20">
        <f t="shared" si="73"/>
        <v>1.9607843137254902E-2</v>
      </c>
    </row>
    <row r="955" spans="1:16" x14ac:dyDescent="0.25">
      <c r="A955">
        <v>1122054</v>
      </c>
      <c r="B955">
        <v>1178</v>
      </c>
      <c r="C955">
        <v>144699</v>
      </c>
      <c r="D955" t="s">
        <v>14</v>
      </c>
      <c r="E955" t="s">
        <v>16</v>
      </c>
      <c r="F955" s="5">
        <v>16</v>
      </c>
      <c r="G955" s="5">
        <v>222273</v>
      </c>
      <c r="H955" s="5">
        <v>39</v>
      </c>
      <c r="I955" s="8">
        <v>53.62999868</v>
      </c>
      <c r="J955" s="5">
        <v>6</v>
      </c>
      <c r="K955" s="5">
        <v>1</v>
      </c>
      <c r="L955" s="14">
        <f t="shared" si="70"/>
        <v>0.24127986161162174</v>
      </c>
      <c r="M955" s="14">
        <f t="shared" si="74"/>
        <v>1.3751281712820513</v>
      </c>
      <c r="N955" s="20">
        <f t="shared" si="71"/>
        <v>1.7545990741115654E-4</v>
      </c>
      <c r="O955" s="14">
        <f t="shared" si="72"/>
        <v>53.62999868</v>
      </c>
      <c r="P955" s="20">
        <f t="shared" si="73"/>
        <v>2.564102564102564E-2</v>
      </c>
    </row>
    <row r="956" spans="1:16" x14ac:dyDescent="0.25">
      <c r="A956">
        <v>1122055</v>
      </c>
      <c r="B956">
        <v>1178</v>
      </c>
      <c r="C956">
        <v>144699</v>
      </c>
      <c r="D956" t="s">
        <v>14</v>
      </c>
      <c r="E956" t="s">
        <v>16</v>
      </c>
      <c r="F956" s="5">
        <v>16</v>
      </c>
      <c r="G956" s="5">
        <v>797234</v>
      </c>
      <c r="H956" s="5">
        <v>170</v>
      </c>
      <c r="I956" s="8">
        <v>243.7699978</v>
      </c>
      <c r="J956" s="5">
        <v>4</v>
      </c>
      <c r="K956" s="5">
        <v>1</v>
      </c>
      <c r="L956" s="14">
        <f t="shared" si="70"/>
        <v>0.30576969597382953</v>
      </c>
      <c r="M956" s="14">
        <f t="shared" si="74"/>
        <v>1.4339411635294117</v>
      </c>
      <c r="N956" s="20">
        <f t="shared" si="71"/>
        <v>2.1323726785360384E-4</v>
      </c>
      <c r="O956" s="14">
        <f t="shared" si="72"/>
        <v>243.7699978</v>
      </c>
      <c r="P956" s="20">
        <f t="shared" si="73"/>
        <v>5.8823529411764705E-3</v>
      </c>
    </row>
    <row r="957" spans="1:16" x14ac:dyDescent="0.25">
      <c r="A957">
        <v>1122056</v>
      </c>
      <c r="B957">
        <v>1178</v>
      </c>
      <c r="C957">
        <v>144699</v>
      </c>
      <c r="D957" t="s">
        <v>14</v>
      </c>
      <c r="E957" t="s">
        <v>16</v>
      </c>
      <c r="F957" s="5">
        <v>16</v>
      </c>
      <c r="G957" s="5">
        <v>925555</v>
      </c>
      <c r="H957" s="5">
        <v>182</v>
      </c>
      <c r="I957" s="8">
        <v>262.88999810000001</v>
      </c>
      <c r="J957" s="5">
        <v>4</v>
      </c>
      <c r="K957" s="5">
        <v>2</v>
      </c>
      <c r="L957" s="14">
        <f t="shared" si="70"/>
        <v>0.2840349823619342</v>
      </c>
      <c r="M957" s="14">
        <f t="shared" si="74"/>
        <v>1.4444505390109892</v>
      </c>
      <c r="N957" s="20">
        <f t="shared" si="71"/>
        <v>1.9663877349266115E-4</v>
      </c>
      <c r="O957" s="14">
        <f t="shared" si="72"/>
        <v>131.44499905000001</v>
      </c>
      <c r="P957" s="20">
        <f t="shared" si="73"/>
        <v>1.098901098901099E-2</v>
      </c>
    </row>
    <row r="958" spans="1:16" x14ac:dyDescent="0.25">
      <c r="A958">
        <v>1122058</v>
      </c>
      <c r="B958">
        <v>1178</v>
      </c>
      <c r="C958">
        <v>144700</v>
      </c>
      <c r="D958" t="s">
        <v>14</v>
      </c>
      <c r="E958" t="s">
        <v>16</v>
      </c>
      <c r="F958" s="5">
        <v>18</v>
      </c>
      <c r="G958" s="5">
        <v>22210</v>
      </c>
      <c r="H958" s="5">
        <v>3</v>
      </c>
      <c r="I958" s="8">
        <v>4.0500001909999996</v>
      </c>
      <c r="J958" s="5">
        <v>1</v>
      </c>
      <c r="K958" s="5">
        <v>1</v>
      </c>
      <c r="L958" s="14">
        <f t="shared" si="70"/>
        <v>0.18235030126069335</v>
      </c>
      <c r="M958" s="14">
        <f t="shared" si="74"/>
        <v>1.3500000636666665</v>
      </c>
      <c r="N958" s="20">
        <f t="shared" si="71"/>
        <v>1.3507429085997299E-4</v>
      </c>
      <c r="O958" s="14">
        <f t="shared" si="72"/>
        <v>4.0500001909999996</v>
      </c>
      <c r="P958" s="20">
        <f t="shared" si="73"/>
        <v>0.33333333333333331</v>
      </c>
    </row>
    <row r="959" spans="1:16" x14ac:dyDescent="0.25">
      <c r="A959">
        <v>1122075</v>
      </c>
      <c r="B959">
        <v>1178</v>
      </c>
      <c r="C959">
        <v>144703</v>
      </c>
      <c r="D959" t="s">
        <v>14</v>
      </c>
      <c r="E959" t="s">
        <v>16</v>
      </c>
      <c r="F959" s="5">
        <v>21</v>
      </c>
      <c r="G959" s="5">
        <v>46391</v>
      </c>
      <c r="H959" s="5">
        <v>11</v>
      </c>
      <c r="I959" s="8">
        <v>16.409999849999998</v>
      </c>
      <c r="J959" s="5">
        <v>3</v>
      </c>
      <c r="K959" s="5">
        <v>1</v>
      </c>
      <c r="L959" s="14">
        <f t="shared" si="70"/>
        <v>0.35373240175896181</v>
      </c>
      <c r="M959" s="14">
        <f t="shared" si="74"/>
        <v>1.4918181681818181</v>
      </c>
      <c r="N959" s="20">
        <f t="shared" si="71"/>
        <v>2.3711495764264619E-4</v>
      </c>
      <c r="O959" s="14">
        <f t="shared" si="72"/>
        <v>16.409999849999998</v>
      </c>
      <c r="P959" s="20">
        <f t="shared" si="73"/>
        <v>9.0909090909090912E-2</v>
      </c>
    </row>
    <row r="960" spans="1:16" x14ac:dyDescent="0.25">
      <c r="A960">
        <v>1122078</v>
      </c>
      <c r="B960">
        <v>1178</v>
      </c>
      <c r="C960">
        <v>144703</v>
      </c>
      <c r="D960" t="s">
        <v>14</v>
      </c>
      <c r="E960" t="s">
        <v>16</v>
      </c>
      <c r="F960" s="5">
        <v>21</v>
      </c>
      <c r="G960" s="5">
        <v>190477</v>
      </c>
      <c r="H960" s="5">
        <v>42</v>
      </c>
      <c r="I960" s="8">
        <v>66.389999869999997</v>
      </c>
      <c r="J960" s="5">
        <v>1</v>
      </c>
      <c r="K960" s="5">
        <v>0</v>
      </c>
      <c r="L960" s="14">
        <f t="shared" si="70"/>
        <v>0.34854601799692347</v>
      </c>
      <c r="M960" s="14">
        <f t="shared" si="74"/>
        <v>1.5807142826190475</v>
      </c>
      <c r="N960" s="20">
        <f t="shared" si="71"/>
        <v>2.2049906287898276E-4</v>
      </c>
      <c r="O960" s="14" t="str">
        <f t="shared" si="72"/>
        <v xml:space="preserve"> </v>
      </c>
      <c r="P960" s="20">
        <f t="shared" si="73"/>
        <v>0</v>
      </c>
    </row>
    <row r="961" spans="1:16" x14ac:dyDescent="0.25">
      <c r="A961">
        <v>1122079</v>
      </c>
      <c r="B961">
        <v>1178</v>
      </c>
      <c r="C961">
        <v>144703</v>
      </c>
      <c r="D961" t="s">
        <v>14</v>
      </c>
      <c r="E961" t="s">
        <v>16</v>
      </c>
      <c r="F961" s="5">
        <v>21</v>
      </c>
      <c r="G961" s="5">
        <v>25382</v>
      </c>
      <c r="H961" s="5">
        <v>7</v>
      </c>
      <c r="I961" s="8">
        <v>9.6099998949999996</v>
      </c>
      <c r="J961" s="5">
        <v>1</v>
      </c>
      <c r="K961" s="5">
        <v>0</v>
      </c>
      <c r="L961" s="14">
        <f t="shared" si="70"/>
        <v>0.37861476223307855</v>
      </c>
      <c r="M961" s="14">
        <f t="shared" si="74"/>
        <v>1.3728571278571429</v>
      </c>
      <c r="N961" s="20">
        <f t="shared" si="71"/>
        <v>2.7578599007170438E-4</v>
      </c>
      <c r="O961" s="14" t="str">
        <f t="shared" si="72"/>
        <v xml:space="preserve"> </v>
      </c>
      <c r="P961" s="20">
        <f t="shared" si="73"/>
        <v>0</v>
      </c>
    </row>
    <row r="962" spans="1:16" x14ac:dyDescent="0.25">
      <c r="A962">
        <v>1122085</v>
      </c>
      <c r="B962">
        <v>1178</v>
      </c>
      <c r="C962">
        <v>144704</v>
      </c>
      <c r="D962" t="s">
        <v>14</v>
      </c>
      <c r="E962" t="s">
        <v>16</v>
      </c>
      <c r="F962" s="5">
        <v>22</v>
      </c>
      <c r="G962" s="5">
        <v>65726</v>
      </c>
      <c r="H962" s="5">
        <v>17</v>
      </c>
      <c r="I962" s="8">
        <v>22.12000012</v>
      </c>
      <c r="J962" s="5">
        <v>2</v>
      </c>
      <c r="K962" s="5">
        <v>0</v>
      </c>
      <c r="L962" s="14">
        <f t="shared" si="70"/>
        <v>0.33654870401363235</v>
      </c>
      <c r="M962" s="14">
        <f t="shared" si="74"/>
        <v>1.3011764776470589</v>
      </c>
      <c r="N962" s="20">
        <f t="shared" si="71"/>
        <v>2.5864954508109426E-4</v>
      </c>
      <c r="O962" s="14" t="str">
        <f t="shared" si="72"/>
        <v xml:space="preserve"> </v>
      </c>
      <c r="P962" s="20">
        <f t="shared" si="73"/>
        <v>0</v>
      </c>
    </row>
    <row r="963" spans="1:16" x14ac:dyDescent="0.25">
      <c r="A963">
        <v>1122089</v>
      </c>
      <c r="B963">
        <v>1178</v>
      </c>
      <c r="C963">
        <v>144705</v>
      </c>
      <c r="D963" t="s">
        <v>14</v>
      </c>
      <c r="E963" t="s">
        <v>16</v>
      </c>
      <c r="F963" s="5">
        <v>23</v>
      </c>
      <c r="G963" s="5">
        <v>195220</v>
      </c>
      <c r="H963" s="5">
        <v>51</v>
      </c>
      <c r="I963" s="8">
        <v>78.060000419999994</v>
      </c>
      <c r="J963" s="5">
        <v>1</v>
      </c>
      <c r="K963" s="5">
        <v>0</v>
      </c>
      <c r="L963" s="14">
        <f t="shared" ref="L963:L1026" si="75">IF(G963=0,0,(I963/G963)*1000)</f>
        <v>0.39985657422395243</v>
      </c>
      <c r="M963" s="14">
        <f t="shared" si="74"/>
        <v>1.5305882435294116</v>
      </c>
      <c r="N963" s="20">
        <f t="shared" ref="N963:N1026" si="76">IF(G963=0,0,(H963/G963))</f>
        <v>2.6124372502817333E-4</v>
      </c>
      <c r="O963" s="14" t="str">
        <f t="shared" ref="O963:O1026" si="77">IF(K963&gt;0, I963/K963, " ")</f>
        <v xml:space="preserve"> </v>
      </c>
      <c r="P963" s="20">
        <f t="shared" ref="P963:P1026" si="78">IF(H963=0,0,(K963/H963))</f>
        <v>0</v>
      </c>
    </row>
    <row r="964" spans="1:16" x14ac:dyDescent="0.25">
      <c r="A964">
        <v>1122092</v>
      </c>
      <c r="B964">
        <v>1178</v>
      </c>
      <c r="C964">
        <v>144705</v>
      </c>
      <c r="D964" t="s">
        <v>14</v>
      </c>
      <c r="E964" t="s">
        <v>16</v>
      </c>
      <c r="F964" s="5">
        <v>23</v>
      </c>
      <c r="G964" s="5">
        <v>107501</v>
      </c>
      <c r="H964" s="5">
        <v>27</v>
      </c>
      <c r="I964" s="8">
        <v>40.87999928</v>
      </c>
      <c r="J964" s="5">
        <v>2</v>
      </c>
      <c r="K964" s="5">
        <v>2</v>
      </c>
      <c r="L964" s="14">
        <f t="shared" si="75"/>
        <v>0.38027552562301747</v>
      </c>
      <c r="M964" s="14">
        <f t="shared" si="74"/>
        <v>1.5140740474074075</v>
      </c>
      <c r="N964" s="20">
        <f t="shared" si="76"/>
        <v>2.5116045432135517E-4</v>
      </c>
      <c r="O964" s="14">
        <f t="shared" si="77"/>
        <v>20.43999964</v>
      </c>
      <c r="P964" s="20">
        <f t="shared" si="78"/>
        <v>7.407407407407407E-2</v>
      </c>
    </row>
    <row r="965" spans="1:16" x14ac:dyDescent="0.25">
      <c r="A965">
        <v>1122101</v>
      </c>
      <c r="B965">
        <v>1178</v>
      </c>
      <c r="C965">
        <v>144707</v>
      </c>
      <c r="D965" t="s">
        <v>14</v>
      </c>
      <c r="E965" t="s">
        <v>16</v>
      </c>
      <c r="F965" s="5">
        <v>25</v>
      </c>
      <c r="G965" s="5">
        <v>197772</v>
      </c>
      <c r="H965" s="5">
        <v>63</v>
      </c>
      <c r="I965" s="8">
        <v>88.210000160000007</v>
      </c>
      <c r="J965" s="5">
        <v>7</v>
      </c>
      <c r="K965" s="5">
        <v>2</v>
      </c>
      <c r="L965" s="14">
        <f t="shared" si="75"/>
        <v>0.44601864854478901</v>
      </c>
      <c r="M965" s="14">
        <f t="shared" ref="M965:M1028" si="79">IF(H965&gt;0, I965/H965, " ")</f>
        <v>1.4001587326984128</v>
      </c>
      <c r="N965" s="20">
        <f t="shared" si="76"/>
        <v>3.1854863175778171E-4</v>
      </c>
      <c r="O965" s="14">
        <f t="shared" si="77"/>
        <v>44.105000080000003</v>
      </c>
      <c r="P965" s="20">
        <f t="shared" si="78"/>
        <v>3.1746031746031744E-2</v>
      </c>
    </row>
    <row r="966" spans="1:16" x14ac:dyDescent="0.25">
      <c r="A966">
        <v>1122102</v>
      </c>
      <c r="B966">
        <v>1178</v>
      </c>
      <c r="C966">
        <v>144707</v>
      </c>
      <c r="D966" t="s">
        <v>14</v>
      </c>
      <c r="E966" t="s">
        <v>16</v>
      </c>
      <c r="F966" s="5">
        <v>25</v>
      </c>
      <c r="G966" s="5">
        <v>138154</v>
      </c>
      <c r="H966" s="5">
        <v>35</v>
      </c>
      <c r="I966" s="8">
        <v>48.939998629999998</v>
      </c>
      <c r="J966" s="5">
        <v>1</v>
      </c>
      <c r="K966" s="5">
        <v>0</v>
      </c>
      <c r="L966" s="14">
        <f t="shared" si="75"/>
        <v>0.35424235729692949</v>
      </c>
      <c r="M966" s="14">
        <f t="shared" si="79"/>
        <v>1.3982856751428572</v>
      </c>
      <c r="N966" s="20">
        <f t="shared" si="76"/>
        <v>2.5334047512196533E-4</v>
      </c>
      <c r="O966" s="14" t="str">
        <f t="shared" si="77"/>
        <v xml:space="preserve"> </v>
      </c>
      <c r="P966" s="20">
        <f t="shared" si="78"/>
        <v>0</v>
      </c>
    </row>
    <row r="967" spans="1:16" x14ac:dyDescent="0.25">
      <c r="A967">
        <v>1122103</v>
      </c>
      <c r="B967">
        <v>1178</v>
      </c>
      <c r="C967">
        <v>144707</v>
      </c>
      <c r="D967" t="s">
        <v>14</v>
      </c>
      <c r="E967" t="s">
        <v>16</v>
      </c>
      <c r="F967" s="5">
        <v>25</v>
      </c>
      <c r="G967" s="5">
        <v>270124</v>
      </c>
      <c r="H967" s="5">
        <v>69</v>
      </c>
      <c r="I967" s="8">
        <v>95.84999895</v>
      </c>
      <c r="J967" s="5">
        <v>2</v>
      </c>
      <c r="K967" s="5">
        <v>0</v>
      </c>
      <c r="L967" s="14">
        <f t="shared" si="75"/>
        <v>0.35483703391775628</v>
      </c>
      <c r="M967" s="14">
        <f t="shared" si="79"/>
        <v>1.3891304195652174</v>
      </c>
      <c r="N967" s="20">
        <f t="shared" si="76"/>
        <v>2.5543824317720751E-4</v>
      </c>
      <c r="O967" s="14" t="str">
        <f t="shared" si="77"/>
        <v xml:space="preserve"> </v>
      </c>
      <c r="P967" s="20">
        <f t="shared" si="78"/>
        <v>0</v>
      </c>
    </row>
    <row r="968" spans="1:16" x14ac:dyDescent="0.25">
      <c r="A968">
        <v>1122105</v>
      </c>
      <c r="B968">
        <v>1178</v>
      </c>
      <c r="C968">
        <v>144708</v>
      </c>
      <c r="D968" t="s">
        <v>14</v>
      </c>
      <c r="E968" t="s">
        <v>16</v>
      </c>
      <c r="F968" s="5">
        <v>26</v>
      </c>
      <c r="G968" s="5">
        <v>303971</v>
      </c>
      <c r="H968" s="5">
        <v>77</v>
      </c>
      <c r="I968" s="8">
        <v>106.9299998</v>
      </c>
      <c r="J968" s="5">
        <v>11</v>
      </c>
      <c r="K968" s="5">
        <v>6</v>
      </c>
      <c r="L968" s="14">
        <f t="shared" si="75"/>
        <v>0.35177697806698666</v>
      </c>
      <c r="M968" s="14">
        <f t="shared" si="79"/>
        <v>1.3887012961038963</v>
      </c>
      <c r="N968" s="20">
        <f t="shared" si="76"/>
        <v>2.5331363847209108E-4</v>
      </c>
      <c r="O968" s="14">
        <f t="shared" si="77"/>
        <v>17.821666633333333</v>
      </c>
      <c r="P968" s="20">
        <f t="shared" si="78"/>
        <v>7.792207792207792E-2</v>
      </c>
    </row>
    <row r="969" spans="1:16" x14ac:dyDescent="0.25">
      <c r="A969">
        <v>1122107</v>
      </c>
      <c r="B969">
        <v>1178</v>
      </c>
      <c r="C969">
        <v>144708</v>
      </c>
      <c r="D969" t="s">
        <v>14</v>
      </c>
      <c r="E969" t="s">
        <v>16</v>
      </c>
      <c r="F969" s="5">
        <v>26</v>
      </c>
      <c r="G969" s="5">
        <v>682046</v>
      </c>
      <c r="H969" s="5">
        <v>183</v>
      </c>
      <c r="I969" s="8">
        <v>254.419997</v>
      </c>
      <c r="J969" s="5">
        <v>4</v>
      </c>
      <c r="K969" s="5">
        <v>2</v>
      </c>
      <c r="L969" s="14">
        <f t="shared" si="75"/>
        <v>0.37302468895059865</v>
      </c>
      <c r="M969" s="14">
        <f t="shared" si="79"/>
        <v>1.3902732076502733</v>
      </c>
      <c r="N969" s="20">
        <f t="shared" si="76"/>
        <v>2.6831034856886486E-4</v>
      </c>
      <c r="O969" s="14">
        <f t="shared" si="77"/>
        <v>127.2099985</v>
      </c>
      <c r="P969" s="20">
        <f t="shared" si="78"/>
        <v>1.092896174863388E-2</v>
      </c>
    </row>
    <row r="970" spans="1:16" x14ac:dyDescent="0.25">
      <c r="A970">
        <v>1122109</v>
      </c>
      <c r="B970">
        <v>1178</v>
      </c>
      <c r="C970">
        <v>144708</v>
      </c>
      <c r="D970" t="s">
        <v>14</v>
      </c>
      <c r="E970" t="s">
        <v>16</v>
      </c>
      <c r="F970" s="5">
        <v>26</v>
      </c>
      <c r="G970" s="5">
        <v>328365</v>
      </c>
      <c r="H970" s="5">
        <v>83</v>
      </c>
      <c r="I970" s="8">
        <v>117.3400005</v>
      </c>
      <c r="J970" s="5">
        <v>2</v>
      </c>
      <c r="K970" s="5">
        <v>1</v>
      </c>
      <c r="L970" s="14">
        <f t="shared" si="75"/>
        <v>0.3573462473162487</v>
      </c>
      <c r="M970" s="14">
        <f t="shared" si="79"/>
        <v>1.4137349457831325</v>
      </c>
      <c r="N970" s="20">
        <f t="shared" si="76"/>
        <v>2.5276749958125867E-4</v>
      </c>
      <c r="O970" s="14">
        <f t="shared" si="77"/>
        <v>117.3400005</v>
      </c>
      <c r="P970" s="20">
        <f t="shared" si="78"/>
        <v>1.2048192771084338E-2</v>
      </c>
    </row>
    <row r="971" spans="1:16" x14ac:dyDescent="0.25">
      <c r="A971">
        <v>1122112</v>
      </c>
      <c r="B971">
        <v>1178</v>
      </c>
      <c r="C971">
        <v>144709</v>
      </c>
      <c r="D971" t="s">
        <v>14</v>
      </c>
      <c r="E971" t="s">
        <v>16</v>
      </c>
      <c r="F971" s="5">
        <v>27</v>
      </c>
      <c r="G971" s="5">
        <v>1083259</v>
      </c>
      <c r="H971" s="5">
        <v>276</v>
      </c>
      <c r="I971" s="8">
        <v>390.25999919999998</v>
      </c>
      <c r="J971" s="5">
        <v>11</v>
      </c>
      <c r="K971" s="5">
        <v>0</v>
      </c>
      <c r="L971" s="14">
        <f t="shared" si="75"/>
        <v>0.36026471896379353</v>
      </c>
      <c r="M971" s="14">
        <f t="shared" si="79"/>
        <v>1.413985504347826</v>
      </c>
      <c r="N971" s="20">
        <f t="shared" si="76"/>
        <v>2.5478671305754211E-4</v>
      </c>
      <c r="O971" s="14" t="str">
        <f t="shared" si="77"/>
        <v xml:space="preserve"> </v>
      </c>
      <c r="P971" s="20">
        <f t="shared" si="78"/>
        <v>0</v>
      </c>
    </row>
    <row r="972" spans="1:16" x14ac:dyDescent="0.25">
      <c r="A972">
        <v>1122113</v>
      </c>
      <c r="B972">
        <v>1178</v>
      </c>
      <c r="C972">
        <v>144709</v>
      </c>
      <c r="D972" t="s">
        <v>14</v>
      </c>
      <c r="E972" t="s">
        <v>16</v>
      </c>
      <c r="F972" s="5">
        <v>27</v>
      </c>
      <c r="G972" s="5">
        <v>913929</v>
      </c>
      <c r="H972" s="5">
        <v>245</v>
      </c>
      <c r="I972" s="8">
        <v>340.40999929999998</v>
      </c>
      <c r="J972" s="5">
        <v>7</v>
      </c>
      <c r="K972" s="5">
        <v>2</v>
      </c>
      <c r="L972" s="14">
        <f t="shared" si="75"/>
        <v>0.37246875774814014</v>
      </c>
      <c r="M972" s="14">
        <f t="shared" si="79"/>
        <v>1.3894285685714285</v>
      </c>
      <c r="N972" s="20">
        <f t="shared" si="76"/>
        <v>2.6807334048925026E-4</v>
      </c>
      <c r="O972" s="14">
        <f t="shared" si="77"/>
        <v>170.20499964999999</v>
      </c>
      <c r="P972" s="20">
        <f t="shared" si="78"/>
        <v>8.1632653061224497E-3</v>
      </c>
    </row>
    <row r="973" spans="1:16" x14ac:dyDescent="0.25">
      <c r="A973">
        <v>1122118</v>
      </c>
      <c r="B973">
        <v>1178</v>
      </c>
      <c r="C973">
        <v>144710</v>
      </c>
      <c r="D973" t="s">
        <v>14</v>
      </c>
      <c r="E973" t="s">
        <v>16</v>
      </c>
      <c r="F973" s="5">
        <v>28</v>
      </c>
      <c r="G973" s="5">
        <v>101586</v>
      </c>
      <c r="H973" s="5">
        <v>24</v>
      </c>
      <c r="I973" s="8">
        <v>33.470000390000003</v>
      </c>
      <c r="J973" s="5">
        <v>2</v>
      </c>
      <c r="K973" s="5">
        <v>1</v>
      </c>
      <c r="L973" s="14">
        <f t="shared" si="75"/>
        <v>0.3294745377315772</v>
      </c>
      <c r="M973" s="14">
        <f t="shared" si="79"/>
        <v>1.3945833495833335</v>
      </c>
      <c r="N973" s="20">
        <f t="shared" si="76"/>
        <v>2.3625302699190835E-4</v>
      </c>
      <c r="O973" s="14">
        <f t="shared" si="77"/>
        <v>33.470000390000003</v>
      </c>
      <c r="P973" s="20">
        <f t="shared" si="78"/>
        <v>4.1666666666666664E-2</v>
      </c>
    </row>
    <row r="974" spans="1:16" x14ac:dyDescent="0.25">
      <c r="A974">
        <v>1122120</v>
      </c>
      <c r="B974">
        <v>1178</v>
      </c>
      <c r="C974">
        <v>144710</v>
      </c>
      <c r="D974" t="s">
        <v>14</v>
      </c>
      <c r="E974" t="s">
        <v>16</v>
      </c>
      <c r="F974" s="5">
        <v>28</v>
      </c>
      <c r="G974" s="5">
        <v>181053</v>
      </c>
      <c r="H974" s="5">
        <v>46</v>
      </c>
      <c r="I974" s="8">
        <v>66.279999849999996</v>
      </c>
      <c r="J974" s="5">
        <v>3</v>
      </c>
      <c r="K974" s="5">
        <v>1</v>
      </c>
      <c r="L974" s="14">
        <f t="shared" si="75"/>
        <v>0.36608064958879438</v>
      </c>
      <c r="M974" s="14">
        <f t="shared" si="79"/>
        <v>1.4408695619565217</v>
      </c>
      <c r="N974" s="20">
        <f t="shared" si="76"/>
        <v>2.5406925044047874E-4</v>
      </c>
      <c r="O974" s="14">
        <f t="shared" si="77"/>
        <v>66.279999849999996</v>
      </c>
      <c r="P974" s="20">
        <f t="shared" si="78"/>
        <v>2.1739130434782608E-2</v>
      </c>
    </row>
    <row r="975" spans="1:16" x14ac:dyDescent="0.25">
      <c r="A975">
        <v>1122121</v>
      </c>
      <c r="B975">
        <v>1178</v>
      </c>
      <c r="C975">
        <v>144710</v>
      </c>
      <c r="D975" t="s">
        <v>14</v>
      </c>
      <c r="E975" t="s">
        <v>16</v>
      </c>
      <c r="F975" s="5">
        <v>28</v>
      </c>
      <c r="G975" s="5">
        <v>133419</v>
      </c>
      <c r="H975" s="5">
        <v>35</v>
      </c>
      <c r="I975" s="8">
        <v>48.180000069999998</v>
      </c>
      <c r="J975" s="5">
        <v>2</v>
      </c>
      <c r="K975" s="5">
        <v>1</v>
      </c>
      <c r="L975" s="14">
        <f t="shared" si="75"/>
        <v>0.36111798222142272</v>
      </c>
      <c r="M975" s="14">
        <f t="shared" si="79"/>
        <v>1.3765714305714285</v>
      </c>
      <c r="N975" s="20">
        <f t="shared" si="76"/>
        <v>2.6233145204206299E-4</v>
      </c>
      <c r="O975" s="14">
        <f t="shared" si="77"/>
        <v>48.180000069999998</v>
      </c>
      <c r="P975" s="20">
        <f t="shared" si="78"/>
        <v>2.8571428571428571E-2</v>
      </c>
    </row>
    <row r="976" spans="1:16" x14ac:dyDescent="0.25">
      <c r="A976">
        <v>1122125</v>
      </c>
      <c r="B976">
        <v>1178</v>
      </c>
      <c r="C976">
        <v>144711</v>
      </c>
      <c r="D976" t="s">
        <v>14</v>
      </c>
      <c r="E976" t="s">
        <v>16</v>
      </c>
      <c r="F976" s="5">
        <v>29</v>
      </c>
      <c r="G976" s="5">
        <v>489573</v>
      </c>
      <c r="H976" s="5">
        <v>113</v>
      </c>
      <c r="I976" s="8">
        <v>156.11999929999999</v>
      </c>
      <c r="J976" s="5">
        <v>3</v>
      </c>
      <c r="K976" s="5">
        <v>2</v>
      </c>
      <c r="L976" s="14">
        <f t="shared" si="75"/>
        <v>0.31889013344281647</v>
      </c>
      <c r="M976" s="14">
        <f t="shared" si="79"/>
        <v>1.381592914159292</v>
      </c>
      <c r="N976" s="20">
        <f t="shared" si="76"/>
        <v>2.3081338227394076E-4</v>
      </c>
      <c r="O976" s="14">
        <f t="shared" si="77"/>
        <v>78.059999649999995</v>
      </c>
      <c r="P976" s="20">
        <f t="shared" si="78"/>
        <v>1.7699115044247787E-2</v>
      </c>
    </row>
    <row r="977" spans="1:16" x14ac:dyDescent="0.25">
      <c r="A977">
        <v>1122127</v>
      </c>
      <c r="B977">
        <v>1178</v>
      </c>
      <c r="C977">
        <v>144711</v>
      </c>
      <c r="D977" t="s">
        <v>14</v>
      </c>
      <c r="E977" t="s">
        <v>16</v>
      </c>
      <c r="F977" s="5">
        <v>29</v>
      </c>
      <c r="G977" s="5">
        <v>822023</v>
      </c>
      <c r="H977" s="5">
        <v>194</v>
      </c>
      <c r="I977" s="8">
        <v>288.33000349999998</v>
      </c>
      <c r="J977" s="5">
        <v>6</v>
      </c>
      <c r="K977" s="5">
        <v>0</v>
      </c>
      <c r="L977" s="14">
        <f t="shared" si="75"/>
        <v>0.35075661325777985</v>
      </c>
      <c r="M977" s="14">
        <f t="shared" si="79"/>
        <v>1.4862371314432989</v>
      </c>
      <c r="N977" s="20">
        <f t="shared" si="76"/>
        <v>2.3600312886622394E-4</v>
      </c>
      <c r="O977" s="14" t="str">
        <f t="shared" si="77"/>
        <v xml:space="preserve"> </v>
      </c>
      <c r="P977" s="20">
        <f t="shared" si="78"/>
        <v>0</v>
      </c>
    </row>
    <row r="978" spans="1:16" x14ac:dyDescent="0.25">
      <c r="A978">
        <v>1122131</v>
      </c>
      <c r="B978">
        <v>1178</v>
      </c>
      <c r="C978">
        <v>144712</v>
      </c>
      <c r="D978" t="s">
        <v>14</v>
      </c>
      <c r="E978" t="s">
        <v>16</v>
      </c>
      <c r="F978" s="5">
        <v>30</v>
      </c>
      <c r="G978" s="5">
        <v>93176</v>
      </c>
      <c r="H978" s="5">
        <v>29</v>
      </c>
      <c r="I978" s="8">
        <v>40.370000240000003</v>
      </c>
      <c r="J978" s="5">
        <v>1</v>
      </c>
      <c r="K978" s="5">
        <v>1</v>
      </c>
      <c r="L978" s="14">
        <f t="shared" si="75"/>
        <v>0.43326607967717012</v>
      </c>
      <c r="M978" s="14">
        <f t="shared" si="79"/>
        <v>1.3920689737931036</v>
      </c>
      <c r="N978" s="20">
        <f t="shared" si="76"/>
        <v>3.1123894565124067E-4</v>
      </c>
      <c r="O978" s="14">
        <f t="shared" si="77"/>
        <v>40.370000240000003</v>
      </c>
      <c r="P978" s="20">
        <f t="shared" si="78"/>
        <v>3.4482758620689655E-2</v>
      </c>
    </row>
    <row r="979" spans="1:16" x14ac:dyDescent="0.25">
      <c r="A979">
        <v>1122138</v>
      </c>
      <c r="B979">
        <v>1178</v>
      </c>
      <c r="C979">
        <v>144713</v>
      </c>
      <c r="D979" t="s">
        <v>14</v>
      </c>
      <c r="E979" t="s">
        <v>16</v>
      </c>
      <c r="F979" s="5">
        <v>31</v>
      </c>
      <c r="G979" s="5">
        <v>47229</v>
      </c>
      <c r="H979" s="5">
        <v>13</v>
      </c>
      <c r="I979" s="8">
        <v>19.279999849999999</v>
      </c>
      <c r="J979" s="5">
        <v>1</v>
      </c>
      <c r="K979" s="5">
        <v>0</v>
      </c>
      <c r="L979" s="14">
        <f t="shared" si="75"/>
        <v>0.40822375764890217</v>
      </c>
      <c r="M979" s="14">
        <f t="shared" si="79"/>
        <v>1.4830769115384614</v>
      </c>
      <c r="N979" s="20">
        <f t="shared" si="76"/>
        <v>2.7525461051472613E-4</v>
      </c>
      <c r="O979" s="14" t="str">
        <f t="shared" si="77"/>
        <v xml:space="preserve"> </v>
      </c>
      <c r="P979" s="20">
        <f t="shared" si="78"/>
        <v>0</v>
      </c>
    </row>
    <row r="980" spans="1:16" x14ac:dyDescent="0.25">
      <c r="A980">
        <v>1122139</v>
      </c>
      <c r="B980">
        <v>1178</v>
      </c>
      <c r="C980">
        <v>144713</v>
      </c>
      <c r="D980" t="s">
        <v>14</v>
      </c>
      <c r="E980" t="s">
        <v>16</v>
      </c>
      <c r="F980" s="5">
        <v>31</v>
      </c>
      <c r="G980" s="5">
        <v>92263</v>
      </c>
      <c r="H980" s="5">
        <v>24</v>
      </c>
      <c r="I980" s="8">
        <v>34.030000149999999</v>
      </c>
      <c r="J980" s="5">
        <v>1</v>
      </c>
      <c r="K980" s="5">
        <v>0</v>
      </c>
      <c r="L980" s="14">
        <f t="shared" si="75"/>
        <v>0.36883691349728492</v>
      </c>
      <c r="M980" s="14">
        <f t="shared" si="79"/>
        <v>1.4179166729166666</v>
      </c>
      <c r="N980" s="20">
        <f t="shared" si="76"/>
        <v>2.6012594431137074E-4</v>
      </c>
      <c r="O980" s="14" t="str">
        <f t="shared" si="77"/>
        <v xml:space="preserve"> </v>
      </c>
      <c r="P980" s="20">
        <f t="shared" si="78"/>
        <v>0</v>
      </c>
    </row>
    <row r="981" spans="1:16" x14ac:dyDescent="0.25">
      <c r="A981">
        <v>1122140</v>
      </c>
      <c r="B981">
        <v>1178</v>
      </c>
      <c r="C981">
        <v>144713</v>
      </c>
      <c r="D981" t="s">
        <v>14</v>
      </c>
      <c r="E981" t="s">
        <v>16</v>
      </c>
      <c r="F981" s="5">
        <v>31</v>
      </c>
      <c r="G981" s="5">
        <v>81551</v>
      </c>
      <c r="H981" s="5">
        <v>21</v>
      </c>
      <c r="I981" s="8">
        <v>29.670000080000001</v>
      </c>
      <c r="J981" s="5">
        <v>1</v>
      </c>
      <c r="K981" s="5">
        <v>0</v>
      </c>
      <c r="L981" s="14">
        <f t="shared" si="75"/>
        <v>0.36382141334870205</v>
      </c>
      <c r="M981" s="14">
        <f t="shared" si="79"/>
        <v>1.4128571466666666</v>
      </c>
      <c r="N981" s="20">
        <f t="shared" si="76"/>
        <v>2.5750757194884183E-4</v>
      </c>
      <c r="O981" s="14" t="str">
        <f t="shared" si="77"/>
        <v xml:space="preserve"> </v>
      </c>
      <c r="P981" s="20">
        <f t="shared" si="78"/>
        <v>0</v>
      </c>
    </row>
    <row r="982" spans="1:16" x14ac:dyDescent="0.25">
      <c r="A982">
        <v>1122145</v>
      </c>
      <c r="B982">
        <v>1178</v>
      </c>
      <c r="C982">
        <v>144714</v>
      </c>
      <c r="D982" t="s">
        <v>14</v>
      </c>
      <c r="E982" t="s">
        <v>16</v>
      </c>
      <c r="F982" s="5">
        <v>32</v>
      </c>
      <c r="G982" s="5">
        <v>141037</v>
      </c>
      <c r="H982" s="5">
        <v>32</v>
      </c>
      <c r="I982" s="8">
        <v>47.789999129999998</v>
      </c>
      <c r="J982" s="5">
        <v>3</v>
      </c>
      <c r="K982" s="5">
        <v>0</v>
      </c>
      <c r="L982" s="14">
        <f t="shared" si="75"/>
        <v>0.33884724667994925</v>
      </c>
      <c r="M982" s="14">
        <f t="shared" si="79"/>
        <v>1.4934374728124999</v>
      </c>
      <c r="N982" s="20">
        <f t="shared" si="76"/>
        <v>2.2689081588519325E-4</v>
      </c>
      <c r="O982" s="14" t="str">
        <f t="shared" si="77"/>
        <v xml:space="preserve"> </v>
      </c>
      <c r="P982" s="20">
        <f t="shared" si="78"/>
        <v>0</v>
      </c>
    </row>
    <row r="983" spans="1:16" x14ac:dyDescent="0.25">
      <c r="A983">
        <v>1122146</v>
      </c>
      <c r="B983">
        <v>1178</v>
      </c>
      <c r="C983">
        <v>144714</v>
      </c>
      <c r="D983" t="s">
        <v>14</v>
      </c>
      <c r="E983" t="s">
        <v>16</v>
      </c>
      <c r="F983" s="5">
        <v>32</v>
      </c>
      <c r="G983" s="5">
        <v>319501</v>
      </c>
      <c r="H983" s="5">
        <v>79</v>
      </c>
      <c r="I983" s="8">
        <v>111.6500003</v>
      </c>
      <c r="J983" s="5">
        <v>0</v>
      </c>
      <c r="K983" s="5">
        <v>0</v>
      </c>
      <c r="L983" s="14">
        <f t="shared" si="75"/>
        <v>0.34945117636564521</v>
      </c>
      <c r="M983" s="14">
        <f t="shared" si="79"/>
        <v>1.4132911430379747</v>
      </c>
      <c r="N983" s="20">
        <f t="shared" si="76"/>
        <v>2.4726057195439136E-4</v>
      </c>
      <c r="O983" s="14" t="str">
        <f t="shared" si="77"/>
        <v xml:space="preserve"> </v>
      </c>
      <c r="P983" s="20">
        <f t="shared" si="78"/>
        <v>0</v>
      </c>
    </row>
    <row r="984" spans="1:16" x14ac:dyDescent="0.25">
      <c r="A984">
        <v>1122149</v>
      </c>
      <c r="B984">
        <v>1178</v>
      </c>
      <c r="C984">
        <v>144715</v>
      </c>
      <c r="D984" t="s">
        <v>14</v>
      </c>
      <c r="E984" t="s">
        <v>16</v>
      </c>
      <c r="F984" s="5">
        <v>36</v>
      </c>
      <c r="G984" s="5">
        <v>72741</v>
      </c>
      <c r="H984" s="5">
        <v>19</v>
      </c>
      <c r="I984" s="8">
        <v>24.330000160000001</v>
      </c>
      <c r="J984" s="5">
        <v>2</v>
      </c>
      <c r="K984" s="5">
        <v>0</v>
      </c>
      <c r="L984" s="14">
        <f t="shared" si="75"/>
        <v>0.33447437016263182</v>
      </c>
      <c r="M984" s="14">
        <f t="shared" si="79"/>
        <v>1.2805263242105263</v>
      </c>
      <c r="N984" s="20">
        <f t="shared" si="76"/>
        <v>2.6120069836818301E-4</v>
      </c>
      <c r="O984" s="14" t="str">
        <f t="shared" si="77"/>
        <v xml:space="preserve"> </v>
      </c>
      <c r="P984" s="20">
        <f t="shared" si="78"/>
        <v>0</v>
      </c>
    </row>
    <row r="985" spans="1:16" x14ac:dyDescent="0.25">
      <c r="A985">
        <v>1122154</v>
      </c>
      <c r="B985">
        <v>1178</v>
      </c>
      <c r="C985">
        <v>144716</v>
      </c>
      <c r="D985" t="s">
        <v>14</v>
      </c>
      <c r="E985" t="s">
        <v>16</v>
      </c>
      <c r="F985" s="5">
        <v>63</v>
      </c>
      <c r="G985" s="5">
        <v>597419</v>
      </c>
      <c r="H985" s="5">
        <v>135</v>
      </c>
      <c r="I985" s="8">
        <v>188.51000020000001</v>
      </c>
      <c r="J985" s="5">
        <v>2</v>
      </c>
      <c r="K985" s="5">
        <v>1</v>
      </c>
      <c r="L985" s="14">
        <f t="shared" si="75"/>
        <v>0.3155406845112057</v>
      </c>
      <c r="M985" s="14">
        <f t="shared" si="79"/>
        <v>1.3963703718518519</v>
      </c>
      <c r="N985" s="20">
        <f t="shared" si="76"/>
        <v>2.2597205646288451E-4</v>
      </c>
      <c r="O985" s="14">
        <f t="shared" si="77"/>
        <v>188.51000020000001</v>
      </c>
      <c r="P985" s="20">
        <f t="shared" si="78"/>
        <v>7.4074074074074077E-3</v>
      </c>
    </row>
    <row r="986" spans="1:16" x14ac:dyDescent="0.25">
      <c r="A986">
        <v>1122157</v>
      </c>
      <c r="B986">
        <v>1178</v>
      </c>
      <c r="C986">
        <v>144716</v>
      </c>
      <c r="D986" t="s">
        <v>14</v>
      </c>
      <c r="E986" t="s">
        <v>16</v>
      </c>
      <c r="F986" s="5">
        <v>63</v>
      </c>
      <c r="G986" s="5">
        <v>98768</v>
      </c>
      <c r="H986" s="5">
        <v>21</v>
      </c>
      <c r="I986" s="8">
        <v>33.14000034</v>
      </c>
      <c r="J986" s="5">
        <v>1</v>
      </c>
      <c r="K986" s="5">
        <v>1</v>
      </c>
      <c r="L986" s="14">
        <f t="shared" si="75"/>
        <v>0.3355337795642313</v>
      </c>
      <c r="M986" s="14">
        <f t="shared" si="79"/>
        <v>1.5780952542857143</v>
      </c>
      <c r="N986" s="20">
        <f t="shared" si="76"/>
        <v>2.1261947189373076E-4</v>
      </c>
      <c r="O986" s="14">
        <f t="shared" si="77"/>
        <v>33.14000034</v>
      </c>
      <c r="P986" s="20">
        <f t="shared" si="78"/>
        <v>4.7619047619047616E-2</v>
      </c>
    </row>
    <row r="987" spans="1:16" x14ac:dyDescent="0.25">
      <c r="A987">
        <v>1122160</v>
      </c>
      <c r="B987">
        <v>1178</v>
      </c>
      <c r="C987">
        <v>144717</v>
      </c>
      <c r="D987" t="s">
        <v>14</v>
      </c>
      <c r="E987" t="s">
        <v>16</v>
      </c>
      <c r="F987" s="5">
        <v>64</v>
      </c>
      <c r="G987" s="5">
        <v>173165</v>
      </c>
      <c r="H987" s="5">
        <v>41</v>
      </c>
      <c r="I987" s="8">
        <v>59.850000260000002</v>
      </c>
      <c r="J987" s="5">
        <v>1</v>
      </c>
      <c r="K987" s="5">
        <v>0</v>
      </c>
      <c r="L987" s="14">
        <f t="shared" si="75"/>
        <v>0.34562411722923225</v>
      </c>
      <c r="M987" s="14">
        <f t="shared" si="79"/>
        <v>1.4597561039024392</v>
      </c>
      <c r="N987" s="20">
        <f t="shared" si="76"/>
        <v>2.3676840008084776E-4</v>
      </c>
      <c r="O987" s="14" t="str">
        <f t="shared" si="77"/>
        <v xml:space="preserve"> </v>
      </c>
      <c r="P987" s="20">
        <f t="shared" si="78"/>
        <v>0</v>
      </c>
    </row>
    <row r="988" spans="1:16" x14ac:dyDescent="0.25">
      <c r="A988">
        <v>1122165</v>
      </c>
      <c r="B988">
        <v>1178</v>
      </c>
      <c r="C988">
        <v>144718</v>
      </c>
      <c r="D988" t="s">
        <v>14</v>
      </c>
      <c r="E988" t="s">
        <v>16</v>
      </c>
      <c r="F988" s="5">
        <v>65</v>
      </c>
      <c r="G988" s="5">
        <v>55823</v>
      </c>
      <c r="H988" s="5">
        <v>13</v>
      </c>
      <c r="I988" s="8">
        <v>21.10999966</v>
      </c>
      <c r="J988" s="5">
        <v>1</v>
      </c>
      <c r="K988" s="5">
        <v>1</v>
      </c>
      <c r="L988" s="14">
        <f t="shared" si="75"/>
        <v>0.37815953388388301</v>
      </c>
      <c r="M988" s="14">
        <f t="shared" si="79"/>
        <v>1.6238461276923077</v>
      </c>
      <c r="N988" s="20">
        <f t="shared" si="76"/>
        <v>2.328789208749082E-4</v>
      </c>
      <c r="O988" s="14">
        <f t="shared" si="77"/>
        <v>21.10999966</v>
      </c>
      <c r="P988" s="20">
        <f t="shared" si="78"/>
        <v>7.6923076923076927E-2</v>
      </c>
    </row>
    <row r="989" spans="1:16" x14ac:dyDescent="0.25">
      <c r="A989">
        <v>1122166</v>
      </c>
      <c r="B989">
        <v>1178</v>
      </c>
      <c r="C989">
        <v>144718</v>
      </c>
      <c r="D989" t="s">
        <v>14</v>
      </c>
      <c r="E989" t="s">
        <v>16</v>
      </c>
      <c r="F989" s="5">
        <v>65</v>
      </c>
      <c r="G989" s="5">
        <v>118451</v>
      </c>
      <c r="H989" s="5">
        <v>28</v>
      </c>
      <c r="I989" s="8">
        <v>38.350000620000003</v>
      </c>
      <c r="J989" s="5">
        <v>4</v>
      </c>
      <c r="K989" s="5">
        <v>1</v>
      </c>
      <c r="L989" s="14">
        <f t="shared" si="75"/>
        <v>0.32376257372246753</v>
      </c>
      <c r="M989" s="14">
        <f t="shared" si="79"/>
        <v>1.3696428792857145</v>
      </c>
      <c r="N989" s="20">
        <f t="shared" si="76"/>
        <v>2.3638466538906383E-4</v>
      </c>
      <c r="O989" s="14">
        <f t="shared" si="77"/>
        <v>38.350000620000003</v>
      </c>
      <c r="P989" s="20">
        <f t="shared" si="78"/>
        <v>3.5714285714285712E-2</v>
      </c>
    </row>
    <row r="990" spans="1:16" x14ac:dyDescent="0.25">
      <c r="A990">
        <v>1122176</v>
      </c>
      <c r="B990">
        <v>1178</v>
      </c>
      <c r="C990">
        <v>144719</v>
      </c>
      <c r="D990" t="s">
        <v>14</v>
      </c>
      <c r="E990" t="s">
        <v>16</v>
      </c>
      <c r="F990" s="5">
        <v>2</v>
      </c>
      <c r="G990" s="5">
        <v>74424</v>
      </c>
      <c r="H990" s="5">
        <v>22</v>
      </c>
      <c r="I990" s="8">
        <v>30.840000270000001</v>
      </c>
      <c r="J990" s="5">
        <v>1</v>
      </c>
      <c r="K990" s="5">
        <v>1</v>
      </c>
      <c r="L990" s="14">
        <f t="shared" si="75"/>
        <v>0.41438246089970976</v>
      </c>
      <c r="M990" s="14">
        <f t="shared" si="79"/>
        <v>1.4018181940909091</v>
      </c>
      <c r="N990" s="20">
        <f t="shared" si="76"/>
        <v>2.9560356874126624E-4</v>
      </c>
      <c r="O990" s="14">
        <f t="shared" si="77"/>
        <v>30.840000270000001</v>
      </c>
      <c r="P990" s="20">
        <f t="shared" si="78"/>
        <v>4.5454545454545456E-2</v>
      </c>
    </row>
    <row r="991" spans="1:16" x14ac:dyDescent="0.25">
      <c r="A991">
        <v>1122177</v>
      </c>
      <c r="B991">
        <v>1178</v>
      </c>
      <c r="C991">
        <v>144720</v>
      </c>
      <c r="D991" t="s">
        <v>14</v>
      </c>
      <c r="E991" t="s">
        <v>16</v>
      </c>
      <c r="F991" s="5">
        <v>7</v>
      </c>
      <c r="G991" s="5">
        <v>47929</v>
      </c>
      <c r="H991" s="5">
        <v>12</v>
      </c>
      <c r="I991" s="8">
        <v>14.58999991</v>
      </c>
      <c r="J991" s="5">
        <v>1</v>
      </c>
      <c r="K991" s="5">
        <v>1</v>
      </c>
      <c r="L991" s="14">
        <f t="shared" si="75"/>
        <v>0.30440860251622193</v>
      </c>
      <c r="M991" s="14">
        <f t="shared" si="79"/>
        <v>1.2158333258333334</v>
      </c>
      <c r="N991" s="20">
        <f t="shared" si="76"/>
        <v>2.5037033946045191E-4</v>
      </c>
      <c r="O991" s="14">
        <f t="shared" si="77"/>
        <v>14.58999991</v>
      </c>
      <c r="P991" s="20">
        <f t="shared" si="78"/>
        <v>8.3333333333333329E-2</v>
      </c>
    </row>
    <row r="992" spans="1:16" x14ac:dyDescent="0.25">
      <c r="A992">
        <v>1122182</v>
      </c>
      <c r="B992">
        <v>1178</v>
      </c>
      <c r="C992">
        <v>144720</v>
      </c>
      <c r="D992" t="s">
        <v>14</v>
      </c>
      <c r="E992" t="s">
        <v>16</v>
      </c>
      <c r="F992" s="5">
        <v>7</v>
      </c>
      <c r="G992" s="5">
        <v>40801</v>
      </c>
      <c r="H992" s="5">
        <v>12</v>
      </c>
      <c r="I992" s="8">
        <v>15.91999972</v>
      </c>
      <c r="J992" s="5">
        <v>0</v>
      </c>
      <c r="K992" s="5">
        <v>0</v>
      </c>
      <c r="L992" s="14">
        <f t="shared" si="75"/>
        <v>0.39018650817381928</v>
      </c>
      <c r="M992" s="14">
        <f t="shared" si="79"/>
        <v>1.3266666433333334</v>
      </c>
      <c r="N992" s="20">
        <f t="shared" si="76"/>
        <v>2.9411043846964535E-4</v>
      </c>
      <c r="O992" s="14" t="str">
        <f t="shared" si="77"/>
        <v xml:space="preserve"> </v>
      </c>
      <c r="P992" s="20">
        <f t="shared" si="78"/>
        <v>0</v>
      </c>
    </row>
    <row r="993" spans="1:16" x14ac:dyDescent="0.25">
      <c r="A993">
        <v>1122183</v>
      </c>
      <c r="B993">
        <v>1178</v>
      </c>
      <c r="C993">
        <v>144721</v>
      </c>
      <c r="D993" t="s">
        <v>14</v>
      </c>
      <c r="E993" t="s">
        <v>16</v>
      </c>
      <c r="F993" s="5">
        <v>66</v>
      </c>
      <c r="G993" s="5">
        <v>66017</v>
      </c>
      <c r="H993" s="5">
        <v>17</v>
      </c>
      <c r="I993" s="8">
        <v>24.220000150000001</v>
      </c>
      <c r="J993" s="5">
        <v>1</v>
      </c>
      <c r="K993" s="5">
        <v>0</v>
      </c>
      <c r="L993" s="14">
        <f t="shared" si="75"/>
        <v>0.36687520108456917</v>
      </c>
      <c r="M993" s="14">
        <f t="shared" si="79"/>
        <v>1.4247058911764707</v>
      </c>
      <c r="N993" s="20">
        <f t="shared" si="76"/>
        <v>2.5750942938939969E-4</v>
      </c>
      <c r="O993" s="14" t="str">
        <f t="shared" si="77"/>
        <v xml:space="preserve"> </v>
      </c>
      <c r="P993" s="20">
        <f t="shared" si="78"/>
        <v>0</v>
      </c>
    </row>
    <row r="994" spans="1:16" x14ac:dyDescent="0.25">
      <c r="A994">
        <v>1122189</v>
      </c>
      <c r="B994">
        <v>1178</v>
      </c>
      <c r="C994">
        <v>144722</v>
      </c>
      <c r="D994" t="s">
        <v>15</v>
      </c>
      <c r="E994" t="s">
        <v>16</v>
      </c>
      <c r="F994" s="5">
        <v>10</v>
      </c>
      <c r="G994" s="5">
        <v>725043</v>
      </c>
      <c r="H994" s="5">
        <v>179</v>
      </c>
      <c r="I994" s="8">
        <v>238.40000069999999</v>
      </c>
      <c r="J994" s="5">
        <v>5</v>
      </c>
      <c r="K994" s="5">
        <v>3</v>
      </c>
      <c r="L994" s="14">
        <f t="shared" si="75"/>
        <v>0.32880808545148354</v>
      </c>
      <c r="M994" s="14">
        <f t="shared" si="79"/>
        <v>1.3318435793296088</v>
      </c>
      <c r="N994" s="20">
        <f t="shared" si="76"/>
        <v>2.4688190907297912E-4</v>
      </c>
      <c r="O994" s="14">
        <f t="shared" si="77"/>
        <v>79.466666899999993</v>
      </c>
      <c r="P994" s="20">
        <f t="shared" si="78"/>
        <v>1.6759776536312849E-2</v>
      </c>
    </row>
    <row r="995" spans="1:16" x14ac:dyDescent="0.25">
      <c r="A995">
        <v>1122191</v>
      </c>
      <c r="B995">
        <v>1178</v>
      </c>
      <c r="C995">
        <v>144722</v>
      </c>
      <c r="D995" t="s">
        <v>15</v>
      </c>
      <c r="E995" t="s">
        <v>16</v>
      </c>
      <c r="F995" s="5">
        <v>10</v>
      </c>
      <c r="G995" s="5">
        <v>382776</v>
      </c>
      <c r="H995" s="5">
        <v>97</v>
      </c>
      <c r="I995" s="8">
        <v>132.73000070000001</v>
      </c>
      <c r="J995" s="5">
        <v>5</v>
      </c>
      <c r="K995" s="5">
        <v>1</v>
      </c>
      <c r="L995" s="14">
        <f t="shared" si="75"/>
        <v>0.34675632928919264</v>
      </c>
      <c r="M995" s="14">
        <f t="shared" si="79"/>
        <v>1.3683505226804125</v>
      </c>
      <c r="N995" s="20">
        <f t="shared" si="76"/>
        <v>2.5341191715259057E-4</v>
      </c>
      <c r="O995" s="14">
        <f t="shared" si="77"/>
        <v>132.73000070000001</v>
      </c>
      <c r="P995" s="20">
        <f t="shared" si="78"/>
        <v>1.0309278350515464E-2</v>
      </c>
    </row>
    <row r="996" spans="1:16" x14ac:dyDescent="0.25">
      <c r="A996">
        <v>1122192</v>
      </c>
      <c r="B996">
        <v>1178</v>
      </c>
      <c r="C996">
        <v>144722</v>
      </c>
      <c r="D996" t="s">
        <v>15</v>
      </c>
      <c r="E996" t="s">
        <v>16</v>
      </c>
      <c r="F996" s="5">
        <v>10</v>
      </c>
      <c r="G996" s="5">
        <v>548250</v>
      </c>
      <c r="H996" s="5">
        <v>137</v>
      </c>
      <c r="I996" s="8">
        <v>201.6000042</v>
      </c>
      <c r="J996" s="5">
        <v>5</v>
      </c>
      <c r="K996" s="5">
        <v>1</v>
      </c>
      <c r="L996" s="14">
        <f t="shared" si="75"/>
        <v>0.36771546593707249</v>
      </c>
      <c r="M996" s="14">
        <f t="shared" si="79"/>
        <v>1.4715328773722627</v>
      </c>
      <c r="N996" s="20">
        <f t="shared" si="76"/>
        <v>2.498860009119927E-4</v>
      </c>
      <c r="O996" s="14">
        <f t="shared" si="77"/>
        <v>201.6000042</v>
      </c>
      <c r="P996" s="20">
        <f t="shared" si="78"/>
        <v>7.2992700729927005E-3</v>
      </c>
    </row>
    <row r="997" spans="1:16" x14ac:dyDescent="0.25">
      <c r="A997">
        <v>1122193</v>
      </c>
      <c r="B997">
        <v>1178</v>
      </c>
      <c r="C997">
        <v>144722</v>
      </c>
      <c r="D997" t="s">
        <v>15</v>
      </c>
      <c r="E997" t="s">
        <v>16</v>
      </c>
      <c r="F997" s="5">
        <v>10</v>
      </c>
      <c r="G997" s="5">
        <v>1358324</v>
      </c>
      <c r="H997" s="5">
        <v>346</v>
      </c>
      <c r="I997" s="8">
        <v>465.07999810000001</v>
      </c>
      <c r="J997" s="5">
        <v>8</v>
      </c>
      <c r="K997" s="5">
        <v>2</v>
      </c>
      <c r="L997" s="14">
        <f t="shared" si="75"/>
        <v>0.34239253528613206</v>
      </c>
      <c r="M997" s="14">
        <f t="shared" si="79"/>
        <v>1.3441618442196532</v>
      </c>
      <c r="N997" s="20">
        <f t="shared" si="76"/>
        <v>2.5472567664268613E-4</v>
      </c>
      <c r="O997" s="14">
        <f t="shared" si="77"/>
        <v>232.53999905000001</v>
      </c>
      <c r="P997" s="20">
        <f t="shared" si="78"/>
        <v>5.7803468208092483E-3</v>
      </c>
    </row>
    <row r="998" spans="1:16" x14ac:dyDescent="0.25">
      <c r="A998">
        <v>1122197</v>
      </c>
      <c r="B998">
        <v>1178</v>
      </c>
      <c r="C998">
        <v>144723</v>
      </c>
      <c r="D998" t="s">
        <v>15</v>
      </c>
      <c r="E998" t="s">
        <v>16</v>
      </c>
      <c r="F998" s="5">
        <v>15</v>
      </c>
      <c r="G998" s="5">
        <v>662249</v>
      </c>
      <c r="H998" s="5">
        <v>163</v>
      </c>
      <c r="I998" s="8">
        <v>234.93999919999999</v>
      </c>
      <c r="J998" s="5">
        <v>2</v>
      </c>
      <c r="K998" s="5">
        <v>0</v>
      </c>
      <c r="L998" s="14">
        <f t="shared" si="75"/>
        <v>0.35476082138289372</v>
      </c>
      <c r="M998" s="14">
        <f t="shared" si="79"/>
        <v>1.4413496883435581</v>
      </c>
      <c r="N998" s="20">
        <f t="shared" si="76"/>
        <v>2.4613098698525779E-4</v>
      </c>
      <c r="O998" s="14" t="str">
        <f t="shared" si="77"/>
        <v xml:space="preserve"> </v>
      </c>
      <c r="P998" s="20">
        <f t="shared" si="78"/>
        <v>0</v>
      </c>
    </row>
    <row r="999" spans="1:16" x14ac:dyDescent="0.25">
      <c r="A999">
        <v>1122200</v>
      </c>
      <c r="B999">
        <v>1178</v>
      </c>
      <c r="C999">
        <v>144723</v>
      </c>
      <c r="D999" t="s">
        <v>15</v>
      </c>
      <c r="E999" t="s">
        <v>16</v>
      </c>
      <c r="F999" s="5">
        <v>15</v>
      </c>
      <c r="G999" s="5">
        <v>559554</v>
      </c>
      <c r="H999" s="5">
        <v>139</v>
      </c>
      <c r="I999" s="8">
        <v>195.07999939999999</v>
      </c>
      <c r="J999" s="5">
        <v>2</v>
      </c>
      <c r="K999" s="5">
        <v>0</v>
      </c>
      <c r="L999" s="14">
        <f t="shared" si="75"/>
        <v>0.34863480450501649</v>
      </c>
      <c r="M999" s="14">
        <f t="shared" si="79"/>
        <v>1.4034532330935252</v>
      </c>
      <c r="N999" s="20">
        <f t="shared" si="76"/>
        <v>2.4841212823069803E-4</v>
      </c>
      <c r="O999" s="14" t="str">
        <f t="shared" si="77"/>
        <v xml:space="preserve"> </v>
      </c>
      <c r="P999" s="20">
        <f t="shared" si="78"/>
        <v>0</v>
      </c>
    </row>
    <row r="1000" spans="1:16" x14ac:dyDescent="0.25">
      <c r="A1000">
        <v>1122201</v>
      </c>
      <c r="B1000">
        <v>1178</v>
      </c>
      <c r="C1000">
        <v>144724</v>
      </c>
      <c r="D1000" t="s">
        <v>15</v>
      </c>
      <c r="E1000" t="s">
        <v>16</v>
      </c>
      <c r="F1000" s="5">
        <v>16</v>
      </c>
      <c r="G1000" s="5">
        <v>320757</v>
      </c>
      <c r="H1000" s="5">
        <v>68</v>
      </c>
      <c r="I1000" s="8">
        <v>104.68999890000001</v>
      </c>
      <c r="J1000" s="5">
        <v>2</v>
      </c>
      <c r="K1000" s="5">
        <v>0</v>
      </c>
      <c r="L1000" s="14">
        <f t="shared" si="75"/>
        <v>0.32638414407168048</v>
      </c>
      <c r="M1000" s="14">
        <f t="shared" si="79"/>
        <v>1.5395588073529414</v>
      </c>
      <c r="N1000" s="20">
        <f t="shared" si="76"/>
        <v>2.1199849106956357E-4</v>
      </c>
      <c r="O1000" s="14" t="str">
        <f t="shared" si="77"/>
        <v xml:space="preserve"> </v>
      </c>
      <c r="P1000" s="20">
        <f t="shared" si="78"/>
        <v>0</v>
      </c>
    </row>
    <row r="1001" spans="1:16" x14ac:dyDescent="0.25">
      <c r="A1001">
        <v>1122202</v>
      </c>
      <c r="B1001">
        <v>1178</v>
      </c>
      <c r="C1001">
        <v>144724</v>
      </c>
      <c r="D1001" t="s">
        <v>15</v>
      </c>
      <c r="E1001" t="s">
        <v>16</v>
      </c>
      <c r="F1001" s="5">
        <v>16</v>
      </c>
      <c r="G1001" s="5">
        <v>906151</v>
      </c>
      <c r="H1001" s="5">
        <v>202</v>
      </c>
      <c r="I1001" s="8">
        <v>295.54999570000001</v>
      </c>
      <c r="J1001" s="5">
        <v>1</v>
      </c>
      <c r="K1001" s="5">
        <v>0</v>
      </c>
      <c r="L1001" s="14">
        <f t="shared" si="75"/>
        <v>0.32615976332862845</v>
      </c>
      <c r="M1001" s="14">
        <f t="shared" si="79"/>
        <v>1.4631187905940595</v>
      </c>
      <c r="N1001" s="20">
        <f t="shared" si="76"/>
        <v>2.2292090391115829E-4</v>
      </c>
      <c r="O1001" s="14" t="str">
        <f t="shared" si="77"/>
        <v xml:space="preserve"> </v>
      </c>
      <c r="P1001" s="20">
        <f t="shared" si="78"/>
        <v>0</v>
      </c>
    </row>
    <row r="1002" spans="1:16" x14ac:dyDescent="0.25">
      <c r="A1002">
        <v>1122203</v>
      </c>
      <c r="B1002">
        <v>1178</v>
      </c>
      <c r="C1002">
        <v>144724</v>
      </c>
      <c r="D1002" t="s">
        <v>15</v>
      </c>
      <c r="E1002" t="s">
        <v>16</v>
      </c>
      <c r="F1002" s="5">
        <v>16</v>
      </c>
      <c r="G1002" s="5">
        <v>699314</v>
      </c>
      <c r="H1002" s="5">
        <v>164</v>
      </c>
      <c r="I1002" s="8">
        <v>226.0300014</v>
      </c>
      <c r="J1002" s="5">
        <v>3</v>
      </c>
      <c r="K1002" s="5">
        <v>0</v>
      </c>
      <c r="L1002" s="14">
        <f t="shared" si="75"/>
        <v>0.32321675441933095</v>
      </c>
      <c r="M1002" s="14">
        <f t="shared" si="79"/>
        <v>1.3782317158536586</v>
      </c>
      <c r="N1002" s="20">
        <f t="shared" si="76"/>
        <v>2.3451553951443844E-4</v>
      </c>
      <c r="O1002" s="14" t="str">
        <f t="shared" si="77"/>
        <v xml:space="preserve"> </v>
      </c>
      <c r="P1002" s="20">
        <f t="shared" si="78"/>
        <v>0</v>
      </c>
    </row>
    <row r="1003" spans="1:16" x14ac:dyDescent="0.25">
      <c r="A1003">
        <v>1122204</v>
      </c>
      <c r="B1003">
        <v>1178</v>
      </c>
      <c r="C1003">
        <v>144724</v>
      </c>
      <c r="D1003" t="s">
        <v>15</v>
      </c>
      <c r="E1003" t="s">
        <v>16</v>
      </c>
      <c r="F1003" s="5">
        <v>16</v>
      </c>
      <c r="G1003" s="5">
        <v>850337</v>
      </c>
      <c r="H1003" s="5">
        <v>198</v>
      </c>
      <c r="I1003" s="8">
        <v>287.69000299999999</v>
      </c>
      <c r="J1003" s="5">
        <v>3</v>
      </c>
      <c r="K1003" s="5">
        <v>1</v>
      </c>
      <c r="L1003" s="14">
        <f t="shared" si="75"/>
        <v>0.33832469126946141</v>
      </c>
      <c r="M1003" s="14">
        <f t="shared" si="79"/>
        <v>1.4529798131313132</v>
      </c>
      <c r="N1003" s="20">
        <f t="shared" si="76"/>
        <v>2.3284885874659105E-4</v>
      </c>
      <c r="O1003" s="14">
        <f t="shared" si="77"/>
        <v>287.69000299999999</v>
      </c>
      <c r="P1003" s="20">
        <f t="shared" si="78"/>
        <v>5.0505050505050509E-3</v>
      </c>
    </row>
    <row r="1004" spans="1:16" x14ac:dyDescent="0.25">
      <c r="A1004">
        <v>1122205</v>
      </c>
      <c r="B1004">
        <v>1178</v>
      </c>
      <c r="C1004">
        <v>144724</v>
      </c>
      <c r="D1004" t="s">
        <v>15</v>
      </c>
      <c r="E1004" t="s">
        <v>16</v>
      </c>
      <c r="F1004" s="5">
        <v>16</v>
      </c>
      <c r="G1004" s="5">
        <v>1015460</v>
      </c>
      <c r="H1004" s="5">
        <v>247</v>
      </c>
      <c r="I1004" s="8">
        <v>315.90000509999999</v>
      </c>
      <c r="J1004" s="5">
        <v>9</v>
      </c>
      <c r="K1004" s="5">
        <v>2</v>
      </c>
      <c r="L1004" s="14">
        <f t="shared" si="75"/>
        <v>0.31109054527012392</v>
      </c>
      <c r="M1004" s="14">
        <f t="shared" si="79"/>
        <v>1.2789473890688259</v>
      </c>
      <c r="N1004" s="20">
        <f t="shared" si="76"/>
        <v>2.4323951706615722E-4</v>
      </c>
      <c r="O1004" s="14">
        <f t="shared" si="77"/>
        <v>157.95000254999999</v>
      </c>
      <c r="P1004" s="20">
        <f t="shared" si="78"/>
        <v>8.0971659919028341E-3</v>
      </c>
    </row>
    <row r="1005" spans="1:16" x14ac:dyDescent="0.25">
      <c r="A1005">
        <v>1122209</v>
      </c>
      <c r="B1005">
        <v>1178</v>
      </c>
      <c r="C1005">
        <v>144725</v>
      </c>
      <c r="D1005" t="s">
        <v>15</v>
      </c>
      <c r="E1005" t="s">
        <v>16</v>
      </c>
      <c r="F1005" s="5">
        <v>18</v>
      </c>
      <c r="G1005" s="5">
        <v>890295</v>
      </c>
      <c r="H1005" s="5">
        <v>227</v>
      </c>
      <c r="I1005" s="8">
        <v>332.98999889999999</v>
      </c>
      <c r="J1005" s="5">
        <v>1</v>
      </c>
      <c r="K1005" s="5">
        <v>0</v>
      </c>
      <c r="L1005" s="14">
        <f t="shared" si="75"/>
        <v>0.37402209256482405</v>
      </c>
      <c r="M1005" s="14">
        <f t="shared" si="79"/>
        <v>1.4669162947136563</v>
      </c>
      <c r="N1005" s="20">
        <f t="shared" si="76"/>
        <v>2.5497166669474726E-4</v>
      </c>
      <c r="O1005" s="14" t="str">
        <f t="shared" si="77"/>
        <v xml:space="preserve"> </v>
      </c>
      <c r="P1005" s="20">
        <f t="shared" si="78"/>
        <v>0</v>
      </c>
    </row>
    <row r="1006" spans="1:16" x14ac:dyDescent="0.25">
      <c r="A1006">
        <v>1122210</v>
      </c>
      <c r="B1006">
        <v>1178</v>
      </c>
      <c r="C1006">
        <v>144725</v>
      </c>
      <c r="D1006" t="s">
        <v>15</v>
      </c>
      <c r="E1006" t="s">
        <v>16</v>
      </c>
      <c r="F1006" s="5">
        <v>18</v>
      </c>
      <c r="G1006" s="5">
        <v>791817</v>
      </c>
      <c r="H1006" s="5">
        <v>194</v>
      </c>
      <c r="I1006" s="8">
        <v>282.49000100000001</v>
      </c>
      <c r="J1006" s="5">
        <v>4</v>
      </c>
      <c r="K1006" s="5">
        <v>2</v>
      </c>
      <c r="L1006" s="14">
        <f t="shared" si="75"/>
        <v>0.35676172777295767</v>
      </c>
      <c r="M1006" s="14">
        <f t="shared" si="79"/>
        <v>1.4561340257731958</v>
      </c>
      <c r="N1006" s="20">
        <f t="shared" si="76"/>
        <v>2.4500610620888411E-4</v>
      </c>
      <c r="O1006" s="14">
        <f t="shared" si="77"/>
        <v>141.2450005</v>
      </c>
      <c r="P1006" s="20">
        <f t="shared" si="78"/>
        <v>1.0309278350515464E-2</v>
      </c>
    </row>
    <row r="1007" spans="1:16" x14ac:dyDescent="0.25">
      <c r="A1007">
        <v>1122211</v>
      </c>
      <c r="B1007">
        <v>1178</v>
      </c>
      <c r="C1007">
        <v>144725</v>
      </c>
      <c r="D1007" t="s">
        <v>15</v>
      </c>
      <c r="E1007" t="s">
        <v>16</v>
      </c>
      <c r="F1007" s="5">
        <v>18</v>
      </c>
      <c r="G1007" s="5">
        <v>317601</v>
      </c>
      <c r="H1007" s="5">
        <v>76</v>
      </c>
      <c r="I1007" s="8">
        <v>115.66000080000001</v>
      </c>
      <c r="J1007" s="5">
        <v>1</v>
      </c>
      <c r="K1007" s="5">
        <v>0</v>
      </c>
      <c r="L1007" s="14">
        <f t="shared" si="75"/>
        <v>0.36416762163847094</v>
      </c>
      <c r="M1007" s="14">
        <f t="shared" si="79"/>
        <v>1.5218421157894737</v>
      </c>
      <c r="N1007" s="20">
        <f t="shared" si="76"/>
        <v>2.3929395688300731E-4</v>
      </c>
      <c r="O1007" s="14" t="str">
        <f t="shared" si="77"/>
        <v xml:space="preserve"> </v>
      </c>
      <c r="P1007" s="20">
        <f t="shared" si="78"/>
        <v>0</v>
      </c>
    </row>
    <row r="1008" spans="1:16" x14ac:dyDescent="0.25">
      <c r="A1008">
        <v>1122212</v>
      </c>
      <c r="B1008">
        <v>1178</v>
      </c>
      <c r="C1008">
        <v>144725</v>
      </c>
      <c r="D1008" t="s">
        <v>15</v>
      </c>
      <c r="E1008" t="s">
        <v>16</v>
      </c>
      <c r="F1008" s="5">
        <v>18</v>
      </c>
      <c r="G1008" s="5">
        <v>685211</v>
      </c>
      <c r="H1008" s="5">
        <v>164</v>
      </c>
      <c r="I1008" s="8">
        <v>247.32000260000001</v>
      </c>
      <c r="J1008" s="5">
        <v>4</v>
      </c>
      <c r="K1008" s="5">
        <v>3</v>
      </c>
      <c r="L1008" s="14">
        <f t="shared" si="75"/>
        <v>0.36093991865279457</v>
      </c>
      <c r="M1008" s="14">
        <f t="shared" si="79"/>
        <v>1.5080487963414635</v>
      </c>
      <c r="N1008" s="20">
        <f t="shared" si="76"/>
        <v>2.3934233396720133E-4</v>
      </c>
      <c r="O1008" s="14">
        <f t="shared" si="77"/>
        <v>82.440000866666665</v>
      </c>
      <c r="P1008" s="20">
        <f t="shared" si="78"/>
        <v>1.8292682926829267E-2</v>
      </c>
    </row>
    <row r="1009" spans="1:16" x14ac:dyDescent="0.25">
      <c r="A1009">
        <v>1122213</v>
      </c>
      <c r="B1009">
        <v>1178</v>
      </c>
      <c r="C1009">
        <v>144726</v>
      </c>
      <c r="D1009" t="s">
        <v>15</v>
      </c>
      <c r="E1009" t="s">
        <v>16</v>
      </c>
      <c r="F1009" s="5">
        <v>19</v>
      </c>
      <c r="G1009" s="5">
        <v>32781</v>
      </c>
      <c r="H1009" s="5">
        <v>7</v>
      </c>
      <c r="I1009" s="8">
        <v>11.200000169999999</v>
      </c>
      <c r="J1009" s="5">
        <v>2</v>
      </c>
      <c r="K1009" s="5">
        <v>2</v>
      </c>
      <c r="L1009" s="14">
        <f t="shared" si="75"/>
        <v>0.34166133339434424</v>
      </c>
      <c r="M1009" s="14">
        <f t="shared" si="79"/>
        <v>1.6000000242857142</v>
      </c>
      <c r="N1009" s="20">
        <f t="shared" si="76"/>
        <v>2.1353833013025838E-4</v>
      </c>
      <c r="O1009" s="14">
        <f t="shared" si="77"/>
        <v>5.6000000849999996</v>
      </c>
      <c r="P1009" s="20">
        <f t="shared" si="78"/>
        <v>0.2857142857142857</v>
      </c>
    </row>
    <row r="1010" spans="1:16" x14ac:dyDescent="0.25">
      <c r="A1010">
        <v>1122216</v>
      </c>
      <c r="B1010">
        <v>1178</v>
      </c>
      <c r="C1010">
        <v>144726</v>
      </c>
      <c r="D1010" t="s">
        <v>15</v>
      </c>
      <c r="E1010" t="s">
        <v>16</v>
      </c>
      <c r="F1010" s="5">
        <v>19</v>
      </c>
      <c r="G1010" s="5">
        <v>76785</v>
      </c>
      <c r="H1010" s="5">
        <v>19</v>
      </c>
      <c r="I1010" s="8">
        <v>25.459999979999999</v>
      </c>
      <c r="J1010" s="5">
        <v>3</v>
      </c>
      <c r="K1010" s="5">
        <v>0</v>
      </c>
      <c r="L1010" s="14">
        <f t="shared" si="75"/>
        <v>0.33157517718304352</v>
      </c>
      <c r="M1010" s="14">
        <f t="shared" si="79"/>
        <v>1.3399999989473683</v>
      </c>
      <c r="N1010" s="20">
        <f t="shared" si="76"/>
        <v>2.4744416227127697E-4</v>
      </c>
      <c r="O1010" s="14" t="str">
        <f t="shared" si="77"/>
        <v xml:space="preserve"> </v>
      </c>
      <c r="P1010" s="20">
        <f t="shared" si="78"/>
        <v>0</v>
      </c>
    </row>
    <row r="1011" spans="1:16" x14ac:dyDescent="0.25">
      <c r="A1011">
        <v>1122217</v>
      </c>
      <c r="B1011">
        <v>1178</v>
      </c>
      <c r="C1011">
        <v>144726</v>
      </c>
      <c r="D1011" t="s">
        <v>15</v>
      </c>
      <c r="E1011" t="s">
        <v>16</v>
      </c>
      <c r="F1011" s="5">
        <v>19</v>
      </c>
      <c r="G1011" s="5">
        <v>719083</v>
      </c>
      <c r="H1011" s="5">
        <v>206</v>
      </c>
      <c r="I1011" s="8">
        <v>299.52999829999999</v>
      </c>
      <c r="J1011" s="5">
        <v>12</v>
      </c>
      <c r="K1011" s="5">
        <v>5</v>
      </c>
      <c r="L1011" s="14">
        <f t="shared" si="75"/>
        <v>0.41654440210657179</v>
      </c>
      <c r="M1011" s="14">
        <f t="shared" si="79"/>
        <v>1.4540291179611651</v>
      </c>
      <c r="N1011" s="20">
        <f t="shared" si="76"/>
        <v>2.8647597008968367E-4</v>
      </c>
      <c r="O1011" s="14">
        <f t="shared" si="77"/>
        <v>59.905999659999999</v>
      </c>
      <c r="P1011" s="20">
        <f t="shared" si="78"/>
        <v>2.4271844660194174E-2</v>
      </c>
    </row>
    <row r="1012" spans="1:16" x14ac:dyDescent="0.25">
      <c r="A1012">
        <v>1122223</v>
      </c>
      <c r="B1012">
        <v>1178</v>
      </c>
      <c r="C1012">
        <v>144727</v>
      </c>
      <c r="D1012" t="s">
        <v>15</v>
      </c>
      <c r="E1012" t="s">
        <v>16</v>
      </c>
      <c r="F1012" s="5">
        <v>20</v>
      </c>
      <c r="G1012" s="5">
        <v>368480</v>
      </c>
      <c r="H1012" s="5">
        <v>107</v>
      </c>
      <c r="I1012" s="8">
        <v>140.42000110000001</v>
      </c>
      <c r="J1012" s="5">
        <v>5</v>
      </c>
      <c r="K1012" s="5">
        <v>4</v>
      </c>
      <c r="L1012" s="14">
        <f t="shared" si="75"/>
        <v>0.38107903034085977</v>
      </c>
      <c r="M1012" s="14">
        <f t="shared" si="79"/>
        <v>1.3123364588785047</v>
      </c>
      <c r="N1012" s="20">
        <f t="shared" si="76"/>
        <v>2.9038211029092488E-4</v>
      </c>
      <c r="O1012" s="14">
        <f t="shared" si="77"/>
        <v>35.105000275000002</v>
      </c>
      <c r="P1012" s="20">
        <f t="shared" si="78"/>
        <v>3.7383177570093455E-2</v>
      </c>
    </row>
    <row r="1013" spans="1:16" x14ac:dyDescent="0.25">
      <c r="A1013">
        <v>1122224</v>
      </c>
      <c r="B1013">
        <v>1178</v>
      </c>
      <c r="C1013">
        <v>144727</v>
      </c>
      <c r="D1013" t="s">
        <v>15</v>
      </c>
      <c r="E1013" t="s">
        <v>16</v>
      </c>
      <c r="F1013" s="5">
        <v>20</v>
      </c>
      <c r="G1013" s="5">
        <v>260945</v>
      </c>
      <c r="H1013" s="5">
        <v>73</v>
      </c>
      <c r="I1013" s="8">
        <v>100.8800011</v>
      </c>
      <c r="J1013" s="5">
        <v>2</v>
      </c>
      <c r="K1013" s="5">
        <v>2</v>
      </c>
      <c r="L1013" s="14">
        <f t="shared" si="75"/>
        <v>0.38659488053037999</v>
      </c>
      <c r="M1013" s="14">
        <f t="shared" si="79"/>
        <v>1.3819178232876712</v>
      </c>
      <c r="N1013" s="20">
        <f t="shared" si="76"/>
        <v>2.7975243825327175E-4</v>
      </c>
      <c r="O1013" s="14">
        <f t="shared" si="77"/>
        <v>50.440000550000001</v>
      </c>
      <c r="P1013" s="20">
        <f t="shared" si="78"/>
        <v>2.7397260273972601E-2</v>
      </c>
    </row>
    <row r="1014" spans="1:16" x14ac:dyDescent="0.25">
      <c r="A1014">
        <v>1122225</v>
      </c>
      <c r="B1014">
        <v>1178</v>
      </c>
      <c r="C1014">
        <v>144728</v>
      </c>
      <c r="D1014" t="s">
        <v>15</v>
      </c>
      <c r="E1014" t="s">
        <v>16</v>
      </c>
      <c r="F1014" s="5">
        <v>21</v>
      </c>
      <c r="G1014" s="5">
        <v>40998</v>
      </c>
      <c r="H1014" s="5">
        <v>10</v>
      </c>
      <c r="I1014" s="8">
        <v>13.350000380000001</v>
      </c>
      <c r="J1014" s="5">
        <v>1</v>
      </c>
      <c r="K1014" s="5">
        <v>0</v>
      </c>
      <c r="L1014" s="14">
        <f t="shared" si="75"/>
        <v>0.32562564954388024</v>
      </c>
      <c r="M1014" s="14">
        <f t="shared" si="79"/>
        <v>1.335000038</v>
      </c>
      <c r="N1014" s="20">
        <f t="shared" si="76"/>
        <v>2.4391433728474559E-4</v>
      </c>
      <c r="O1014" s="14" t="str">
        <f t="shared" si="77"/>
        <v xml:space="preserve"> </v>
      </c>
      <c r="P1014" s="20">
        <f t="shared" si="78"/>
        <v>0</v>
      </c>
    </row>
    <row r="1015" spans="1:16" x14ac:dyDescent="0.25">
      <c r="A1015">
        <v>1122227</v>
      </c>
      <c r="B1015">
        <v>1178</v>
      </c>
      <c r="C1015">
        <v>144728</v>
      </c>
      <c r="D1015" t="s">
        <v>15</v>
      </c>
      <c r="E1015" t="s">
        <v>16</v>
      </c>
      <c r="F1015" s="5">
        <v>21</v>
      </c>
      <c r="G1015" s="5">
        <v>183293</v>
      </c>
      <c r="H1015" s="5">
        <v>53</v>
      </c>
      <c r="I1015" s="8">
        <v>73.749999639999999</v>
      </c>
      <c r="J1015" s="5">
        <v>2</v>
      </c>
      <c r="K1015" s="5">
        <v>1</v>
      </c>
      <c r="L1015" s="14">
        <f t="shared" si="75"/>
        <v>0.40236124478294316</v>
      </c>
      <c r="M1015" s="14">
        <f t="shared" si="79"/>
        <v>1.3915094271698112</v>
      </c>
      <c r="N1015" s="20">
        <f t="shared" si="76"/>
        <v>2.8915452308598801E-4</v>
      </c>
      <c r="O1015" s="14">
        <f t="shared" si="77"/>
        <v>73.749999639999999</v>
      </c>
      <c r="P1015" s="20">
        <f t="shared" si="78"/>
        <v>1.8867924528301886E-2</v>
      </c>
    </row>
    <row r="1016" spans="1:16" x14ac:dyDescent="0.25">
      <c r="A1016">
        <v>1122232</v>
      </c>
      <c r="B1016">
        <v>1178</v>
      </c>
      <c r="C1016">
        <v>144729</v>
      </c>
      <c r="D1016" t="s">
        <v>15</v>
      </c>
      <c r="E1016" t="s">
        <v>16</v>
      </c>
      <c r="F1016" s="5">
        <v>22</v>
      </c>
      <c r="G1016" s="5">
        <v>221561</v>
      </c>
      <c r="H1016" s="5">
        <v>55</v>
      </c>
      <c r="I1016" s="8">
        <v>76.759999160000007</v>
      </c>
      <c r="J1016" s="5">
        <v>1</v>
      </c>
      <c r="K1016" s="5">
        <v>0</v>
      </c>
      <c r="L1016" s="14">
        <f t="shared" si="75"/>
        <v>0.34645086075618003</v>
      </c>
      <c r="M1016" s="14">
        <f t="shared" si="79"/>
        <v>1.3956363483636365</v>
      </c>
      <c r="N1016" s="20">
        <f t="shared" si="76"/>
        <v>2.4823863405563256E-4</v>
      </c>
      <c r="O1016" s="14" t="str">
        <f t="shared" si="77"/>
        <v xml:space="preserve"> </v>
      </c>
      <c r="P1016" s="20">
        <f t="shared" si="78"/>
        <v>0</v>
      </c>
    </row>
    <row r="1017" spans="1:16" x14ac:dyDescent="0.25">
      <c r="A1017">
        <v>1122233</v>
      </c>
      <c r="B1017">
        <v>1178</v>
      </c>
      <c r="C1017">
        <v>144729</v>
      </c>
      <c r="D1017" t="s">
        <v>15</v>
      </c>
      <c r="E1017" t="s">
        <v>16</v>
      </c>
      <c r="F1017" s="5">
        <v>22</v>
      </c>
      <c r="G1017" s="5">
        <v>436943</v>
      </c>
      <c r="H1017" s="5">
        <v>109</v>
      </c>
      <c r="I1017" s="8">
        <v>145.81999740000001</v>
      </c>
      <c r="J1017" s="5">
        <v>1</v>
      </c>
      <c r="K1017" s="5">
        <v>1</v>
      </c>
      <c r="L1017" s="14">
        <f t="shared" si="75"/>
        <v>0.33372773428113051</v>
      </c>
      <c r="M1017" s="14">
        <f t="shared" si="79"/>
        <v>1.3377981412844038</v>
      </c>
      <c r="N1017" s="20">
        <f t="shared" si="76"/>
        <v>2.4946045594047734E-4</v>
      </c>
      <c r="O1017" s="14">
        <f t="shared" si="77"/>
        <v>145.81999740000001</v>
      </c>
      <c r="P1017" s="20">
        <f t="shared" si="78"/>
        <v>9.1743119266055051E-3</v>
      </c>
    </row>
    <row r="1018" spans="1:16" x14ac:dyDescent="0.25">
      <c r="A1018">
        <v>1122240</v>
      </c>
      <c r="B1018">
        <v>1178</v>
      </c>
      <c r="C1018">
        <v>144730</v>
      </c>
      <c r="D1018" t="s">
        <v>15</v>
      </c>
      <c r="E1018" t="s">
        <v>16</v>
      </c>
      <c r="F1018" s="5">
        <v>23</v>
      </c>
      <c r="G1018" s="5">
        <v>284488</v>
      </c>
      <c r="H1018" s="5">
        <v>90</v>
      </c>
      <c r="I1018" s="8">
        <v>125.2700011</v>
      </c>
      <c r="J1018" s="5">
        <v>1</v>
      </c>
      <c r="K1018" s="5">
        <v>1</v>
      </c>
      <c r="L1018" s="14">
        <f t="shared" si="75"/>
        <v>0.44033492133235852</v>
      </c>
      <c r="M1018" s="14">
        <f t="shared" si="79"/>
        <v>1.3918889011111111</v>
      </c>
      <c r="N1018" s="20">
        <f t="shared" si="76"/>
        <v>3.163578077106943E-4</v>
      </c>
      <c r="O1018" s="14">
        <f t="shared" si="77"/>
        <v>125.2700011</v>
      </c>
      <c r="P1018" s="20">
        <f t="shared" si="78"/>
        <v>1.1111111111111112E-2</v>
      </c>
    </row>
    <row r="1019" spans="1:16" x14ac:dyDescent="0.25">
      <c r="A1019">
        <v>1122244</v>
      </c>
      <c r="B1019">
        <v>1178</v>
      </c>
      <c r="C1019">
        <v>144731</v>
      </c>
      <c r="D1019" t="s">
        <v>15</v>
      </c>
      <c r="E1019" t="s">
        <v>16</v>
      </c>
      <c r="F1019" s="5">
        <v>24</v>
      </c>
      <c r="G1019" s="5">
        <v>85083</v>
      </c>
      <c r="H1019" s="5">
        <v>32</v>
      </c>
      <c r="I1019" s="8">
        <v>38.629999759999997</v>
      </c>
      <c r="J1019" s="5">
        <v>1</v>
      </c>
      <c r="K1019" s="5">
        <v>1</v>
      </c>
      <c r="L1019" s="14">
        <f t="shared" si="75"/>
        <v>0.45402724116450993</v>
      </c>
      <c r="M1019" s="14">
        <f t="shared" si="79"/>
        <v>1.2071874924999999</v>
      </c>
      <c r="N1019" s="20">
        <f t="shared" si="76"/>
        <v>3.7610333439112398E-4</v>
      </c>
      <c r="O1019" s="14">
        <f t="shared" si="77"/>
        <v>38.629999759999997</v>
      </c>
      <c r="P1019" s="20">
        <f t="shared" si="78"/>
        <v>3.125E-2</v>
      </c>
    </row>
    <row r="1020" spans="1:16" x14ac:dyDescent="0.25">
      <c r="A1020">
        <v>1122246</v>
      </c>
      <c r="B1020">
        <v>1178</v>
      </c>
      <c r="C1020">
        <v>144731</v>
      </c>
      <c r="D1020" t="s">
        <v>15</v>
      </c>
      <c r="E1020" t="s">
        <v>16</v>
      </c>
      <c r="F1020" s="5">
        <v>24</v>
      </c>
      <c r="G1020" s="5">
        <v>14167</v>
      </c>
      <c r="H1020" s="5">
        <v>5</v>
      </c>
      <c r="I1020" s="8">
        <v>7.1399999860000003</v>
      </c>
      <c r="J1020" s="5">
        <v>1</v>
      </c>
      <c r="K1020" s="5">
        <v>0</v>
      </c>
      <c r="L1020" s="14">
        <f t="shared" si="75"/>
        <v>0.50398814046728313</v>
      </c>
      <c r="M1020" s="14">
        <f t="shared" si="79"/>
        <v>1.4279999972000001</v>
      </c>
      <c r="N1020" s="20">
        <f t="shared" si="76"/>
        <v>3.5293287216771368E-4</v>
      </c>
      <c r="O1020" s="14" t="str">
        <f t="shared" si="77"/>
        <v xml:space="preserve"> </v>
      </c>
      <c r="P1020" s="20">
        <f t="shared" si="78"/>
        <v>0</v>
      </c>
    </row>
    <row r="1021" spans="1:16" x14ac:dyDescent="0.25">
      <c r="A1021">
        <v>1122249</v>
      </c>
      <c r="B1021">
        <v>1178</v>
      </c>
      <c r="C1021">
        <v>144732</v>
      </c>
      <c r="D1021" t="s">
        <v>15</v>
      </c>
      <c r="E1021" t="s">
        <v>16</v>
      </c>
      <c r="F1021" s="5">
        <v>25</v>
      </c>
      <c r="G1021" s="5">
        <v>300637</v>
      </c>
      <c r="H1021" s="5">
        <v>84</v>
      </c>
      <c r="I1021" s="8">
        <v>116.98999809999999</v>
      </c>
      <c r="J1021" s="5">
        <v>2</v>
      </c>
      <c r="K1021" s="5">
        <v>0</v>
      </c>
      <c r="L1021" s="14">
        <f t="shared" si="75"/>
        <v>0.38914038558128239</v>
      </c>
      <c r="M1021" s="14">
        <f t="shared" si="79"/>
        <v>1.3927380726190475</v>
      </c>
      <c r="N1021" s="20">
        <f t="shared" si="76"/>
        <v>2.7940672638431067E-4</v>
      </c>
      <c r="O1021" s="14" t="str">
        <f t="shared" si="77"/>
        <v xml:space="preserve"> </v>
      </c>
      <c r="P1021" s="20">
        <f t="shared" si="78"/>
        <v>0</v>
      </c>
    </row>
    <row r="1022" spans="1:16" x14ac:dyDescent="0.25">
      <c r="A1022">
        <v>1122253</v>
      </c>
      <c r="B1022">
        <v>1178</v>
      </c>
      <c r="C1022">
        <v>144732</v>
      </c>
      <c r="D1022" t="s">
        <v>15</v>
      </c>
      <c r="E1022" t="s">
        <v>16</v>
      </c>
      <c r="F1022" s="5">
        <v>25</v>
      </c>
      <c r="G1022" s="5">
        <v>449921</v>
      </c>
      <c r="H1022" s="5">
        <v>129</v>
      </c>
      <c r="I1022" s="8">
        <v>175.9700005</v>
      </c>
      <c r="J1022" s="5">
        <v>5</v>
      </c>
      <c r="K1022" s="5">
        <v>1</v>
      </c>
      <c r="L1022" s="14">
        <f t="shared" si="75"/>
        <v>0.3911131076344514</v>
      </c>
      <c r="M1022" s="14">
        <f t="shared" si="79"/>
        <v>1.3641085310077519</v>
      </c>
      <c r="N1022" s="20">
        <f t="shared" si="76"/>
        <v>2.8671700142913976E-4</v>
      </c>
      <c r="O1022" s="14">
        <f t="shared" si="77"/>
        <v>175.9700005</v>
      </c>
      <c r="P1022" s="20">
        <f t="shared" si="78"/>
        <v>7.7519379844961239E-3</v>
      </c>
    </row>
    <row r="1023" spans="1:16" x14ac:dyDescent="0.25">
      <c r="A1023">
        <v>1122254</v>
      </c>
      <c r="B1023">
        <v>1178</v>
      </c>
      <c r="C1023">
        <v>144732</v>
      </c>
      <c r="D1023" t="s">
        <v>15</v>
      </c>
      <c r="E1023" t="s">
        <v>16</v>
      </c>
      <c r="F1023" s="5">
        <v>25</v>
      </c>
      <c r="G1023" s="5">
        <v>282899</v>
      </c>
      <c r="H1023" s="5">
        <v>71</v>
      </c>
      <c r="I1023" s="8">
        <v>105.6600007</v>
      </c>
      <c r="J1023" s="5">
        <v>1</v>
      </c>
      <c r="K1023" s="5">
        <v>0</v>
      </c>
      <c r="L1023" s="14">
        <f t="shared" si="75"/>
        <v>0.37349018801763173</v>
      </c>
      <c r="M1023" s="14">
        <f t="shared" si="79"/>
        <v>1.488169023943662</v>
      </c>
      <c r="N1023" s="20">
        <f t="shared" si="76"/>
        <v>2.5097296208187372E-4</v>
      </c>
      <c r="O1023" s="14" t="str">
        <f t="shared" si="77"/>
        <v xml:space="preserve"> </v>
      </c>
      <c r="P1023" s="20">
        <f t="shared" si="78"/>
        <v>0</v>
      </c>
    </row>
    <row r="1024" spans="1:16" x14ac:dyDescent="0.25">
      <c r="A1024">
        <v>1122257</v>
      </c>
      <c r="B1024">
        <v>1178</v>
      </c>
      <c r="C1024">
        <v>144733</v>
      </c>
      <c r="D1024" t="s">
        <v>15</v>
      </c>
      <c r="E1024" t="s">
        <v>16</v>
      </c>
      <c r="F1024" s="5">
        <v>26</v>
      </c>
      <c r="G1024" s="5">
        <v>669671</v>
      </c>
      <c r="H1024" s="5">
        <v>186</v>
      </c>
      <c r="I1024" s="8">
        <v>259.17999880000002</v>
      </c>
      <c r="J1024" s="5">
        <v>4</v>
      </c>
      <c r="K1024" s="5">
        <v>1</v>
      </c>
      <c r="L1024" s="14">
        <f t="shared" si="75"/>
        <v>0.38702586613426598</v>
      </c>
      <c r="M1024" s="14">
        <f t="shared" si="79"/>
        <v>1.3934408537634411</v>
      </c>
      <c r="N1024" s="20">
        <f t="shared" si="76"/>
        <v>2.7774832716363708E-4</v>
      </c>
      <c r="O1024" s="14">
        <f t="shared" si="77"/>
        <v>259.17999880000002</v>
      </c>
      <c r="P1024" s="20">
        <f t="shared" si="78"/>
        <v>5.3763440860215058E-3</v>
      </c>
    </row>
    <row r="1025" spans="1:16" x14ac:dyDescent="0.25">
      <c r="A1025">
        <v>1122258</v>
      </c>
      <c r="B1025">
        <v>1178</v>
      </c>
      <c r="C1025">
        <v>144733</v>
      </c>
      <c r="D1025" t="s">
        <v>15</v>
      </c>
      <c r="E1025" t="s">
        <v>16</v>
      </c>
      <c r="F1025" s="5">
        <v>26</v>
      </c>
      <c r="G1025" s="5">
        <v>108655</v>
      </c>
      <c r="H1025" s="5">
        <v>28</v>
      </c>
      <c r="I1025" s="8">
        <v>46.920001859999999</v>
      </c>
      <c r="J1025" s="5">
        <v>1</v>
      </c>
      <c r="K1025" s="5">
        <v>0</v>
      </c>
      <c r="L1025" s="14">
        <f t="shared" si="75"/>
        <v>0.43182551985642631</v>
      </c>
      <c r="M1025" s="14">
        <f t="shared" si="79"/>
        <v>1.675714352142857</v>
      </c>
      <c r="N1025" s="20">
        <f t="shared" si="76"/>
        <v>2.5769637844553865E-4</v>
      </c>
      <c r="O1025" s="14" t="str">
        <f t="shared" si="77"/>
        <v xml:space="preserve"> </v>
      </c>
      <c r="P1025" s="20">
        <f t="shared" si="78"/>
        <v>0</v>
      </c>
    </row>
    <row r="1026" spans="1:16" x14ac:dyDescent="0.25">
      <c r="A1026">
        <v>1122260</v>
      </c>
      <c r="B1026">
        <v>1178</v>
      </c>
      <c r="C1026">
        <v>144733</v>
      </c>
      <c r="D1026" t="s">
        <v>15</v>
      </c>
      <c r="E1026" t="s">
        <v>16</v>
      </c>
      <c r="F1026" s="5">
        <v>26</v>
      </c>
      <c r="G1026" s="5">
        <v>536248</v>
      </c>
      <c r="H1026" s="5">
        <v>146</v>
      </c>
      <c r="I1026" s="8">
        <v>187.7399978</v>
      </c>
      <c r="J1026" s="5">
        <v>3</v>
      </c>
      <c r="K1026" s="5">
        <v>0</v>
      </c>
      <c r="L1026" s="14">
        <f t="shared" si="75"/>
        <v>0.35009920372663395</v>
      </c>
      <c r="M1026" s="14">
        <f t="shared" si="79"/>
        <v>1.2858903958904109</v>
      </c>
      <c r="N1026" s="20">
        <f t="shared" si="76"/>
        <v>2.7226208769076996E-4</v>
      </c>
      <c r="O1026" s="14" t="str">
        <f t="shared" si="77"/>
        <v xml:space="preserve"> </v>
      </c>
      <c r="P1026" s="20">
        <f t="shared" si="78"/>
        <v>0</v>
      </c>
    </row>
    <row r="1027" spans="1:16" x14ac:dyDescent="0.25">
      <c r="A1027">
        <v>1122262</v>
      </c>
      <c r="B1027">
        <v>1178</v>
      </c>
      <c r="C1027">
        <v>144734</v>
      </c>
      <c r="D1027" t="s">
        <v>15</v>
      </c>
      <c r="E1027" t="s">
        <v>16</v>
      </c>
      <c r="F1027" s="5">
        <v>27</v>
      </c>
      <c r="G1027" s="5">
        <v>1055017</v>
      </c>
      <c r="H1027" s="5">
        <v>265</v>
      </c>
      <c r="I1027" s="8">
        <v>380.65999520000003</v>
      </c>
      <c r="J1027" s="5">
        <v>16</v>
      </c>
      <c r="K1027" s="5">
        <v>2</v>
      </c>
      <c r="L1027" s="14">
        <f t="shared" ref="L1027:L1090" si="80">IF(G1027=0,0,(I1027/G1027)*1000)</f>
        <v>0.36080934733753112</v>
      </c>
      <c r="M1027" s="14">
        <f t="shared" si="79"/>
        <v>1.4364528120754718</v>
      </c>
      <c r="N1027" s="20">
        <f t="shared" ref="N1027:N1090" si="81">IF(G1027=0,0,(H1027/G1027))</f>
        <v>2.5118078666030975E-4</v>
      </c>
      <c r="O1027" s="14">
        <f t="shared" ref="O1027:O1090" si="82">IF(K1027&gt;0, I1027/K1027, " ")</f>
        <v>190.32999760000001</v>
      </c>
      <c r="P1027" s="20">
        <f t="shared" ref="P1027:P1090" si="83">IF(H1027=0,0,(K1027/H1027))</f>
        <v>7.5471698113207548E-3</v>
      </c>
    </row>
    <row r="1028" spans="1:16" x14ac:dyDescent="0.25">
      <c r="A1028">
        <v>1122265</v>
      </c>
      <c r="B1028">
        <v>1178</v>
      </c>
      <c r="C1028">
        <v>144734</v>
      </c>
      <c r="D1028" t="s">
        <v>15</v>
      </c>
      <c r="E1028" t="s">
        <v>16</v>
      </c>
      <c r="F1028" s="5">
        <v>27</v>
      </c>
      <c r="G1028" s="5">
        <v>1428421</v>
      </c>
      <c r="H1028" s="5">
        <v>367</v>
      </c>
      <c r="I1028" s="8">
        <v>541.70000230000005</v>
      </c>
      <c r="J1028" s="5">
        <v>10</v>
      </c>
      <c r="K1028" s="5">
        <v>0</v>
      </c>
      <c r="L1028" s="14">
        <f t="shared" si="80"/>
        <v>0.37922993452210524</v>
      </c>
      <c r="M1028" s="14">
        <f t="shared" si="79"/>
        <v>1.4760218046321527</v>
      </c>
      <c r="N1028" s="20">
        <f t="shared" si="81"/>
        <v>2.5692705441883028E-4</v>
      </c>
      <c r="O1028" s="14" t="str">
        <f t="shared" si="82"/>
        <v xml:space="preserve"> </v>
      </c>
      <c r="P1028" s="20">
        <f t="shared" si="83"/>
        <v>0</v>
      </c>
    </row>
    <row r="1029" spans="1:16" x14ac:dyDescent="0.25">
      <c r="A1029">
        <v>1122266</v>
      </c>
      <c r="B1029">
        <v>1178</v>
      </c>
      <c r="C1029">
        <v>144734</v>
      </c>
      <c r="D1029" t="s">
        <v>15</v>
      </c>
      <c r="E1029" t="s">
        <v>16</v>
      </c>
      <c r="F1029" s="5">
        <v>27</v>
      </c>
      <c r="G1029" s="5">
        <v>1088027</v>
      </c>
      <c r="H1029" s="5">
        <v>272</v>
      </c>
      <c r="I1029" s="8">
        <v>409.56000260000002</v>
      </c>
      <c r="J1029" s="5">
        <v>9</v>
      </c>
      <c r="K1029" s="5">
        <v>4</v>
      </c>
      <c r="L1029" s="14">
        <f t="shared" si="80"/>
        <v>0.3764244845026824</v>
      </c>
      <c r="M1029" s="14">
        <f t="shared" ref="M1029:M1092" si="84">IF(H1029&gt;0, I1029/H1029, " ")</f>
        <v>1.5057353036764707</v>
      </c>
      <c r="N1029" s="20">
        <f t="shared" si="81"/>
        <v>2.4999379610983919E-4</v>
      </c>
      <c r="O1029" s="14">
        <f t="shared" si="82"/>
        <v>102.39000065</v>
      </c>
      <c r="P1029" s="20">
        <f t="shared" si="83"/>
        <v>1.4705882352941176E-2</v>
      </c>
    </row>
    <row r="1030" spans="1:16" x14ac:dyDescent="0.25">
      <c r="A1030">
        <v>1122267</v>
      </c>
      <c r="B1030">
        <v>1178</v>
      </c>
      <c r="C1030">
        <v>144735</v>
      </c>
      <c r="D1030" t="s">
        <v>15</v>
      </c>
      <c r="E1030" t="s">
        <v>16</v>
      </c>
      <c r="F1030" s="5">
        <v>28</v>
      </c>
      <c r="G1030" s="5">
        <v>288517</v>
      </c>
      <c r="H1030" s="5">
        <v>78</v>
      </c>
      <c r="I1030" s="8">
        <v>102.3900002</v>
      </c>
      <c r="J1030" s="5">
        <v>3</v>
      </c>
      <c r="K1030" s="5">
        <v>0</v>
      </c>
      <c r="L1030" s="14">
        <f t="shared" si="80"/>
        <v>0.35488376837413399</v>
      </c>
      <c r="M1030" s="14">
        <f t="shared" si="84"/>
        <v>1.3126923102564103</v>
      </c>
      <c r="N1030" s="20">
        <f t="shared" si="81"/>
        <v>2.7034802108714565E-4</v>
      </c>
      <c r="O1030" s="14" t="str">
        <f t="shared" si="82"/>
        <v xml:space="preserve"> </v>
      </c>
      <c r="P1030" s="20">
        <f t="shared" si="83"/>
        <v>0</v>
      </c>
    </row>
    <row r="1031" spans="1:16" x14ac:dyDescent="0.25">
      <c r="A1031">
        <v>1122268</v>
      </c>
      <c r="B1031">
        <v>1178</v>
      </c>
      <c r="C1031">
        <v>144735</v>
      </c>
      <c r="D1031" t="s">
        <v>15</v>
      </c>
      <c r="E1031" t="s">
        <v>16</v>
      </c>
      <c r="F1031" s="5">
        <v>28</v>
      </c>
      <c r="G1031" s="5">
        <v>202231</v>
      </c>
      <c r="H1031" s="5">
        <v>53</v>
      </c>
      <c r="I1031" s="8">
        <v>67.130001070000006</v>
      </c>
      <c r="J1031" s="5">
        <v>3</v>
      </c>
      <c r="K1031" s="5">
        <v>1</v>
      </c>
      <c r="L1031" s="14">
        <f t="shared" si="80"/>
        <v>0.33194713505842327</v>
      </c>
      <c r="M1031" s="14">
        <f t="shared" si="84"/>
        <v>1.266603793773585</v>
      </c>
      <c r="N1031" s="20">
        <f t="shared" si="81"/>
        <v>2.6207653623826221E-4</v>
      </c>
      <c r="O1031" s="14">
        <f t="shared" si="82"/>
        <v>67.130001070000006</v>
      </c>
      <c r="P1031" s="20">
        <f t="shared" si="83"/>
        <v>1.8867924528301886E-2</v>
      </c>
    </row>
    <row r="1032" spans="1:16" x14ac:dyDescent="0.25">
      <c r="A1032">
        <v>1122270</v>
      </c>
      <c r="B1032">
        <v>1178</v>
      </c>
      <c r="C1032">
        <v>144735</v>
      </c>
      <c r="D1032" t="s">
        <v>15</v>
      </c>
      <c r="E1032" t="s">
        <v>16</v>
      </c>
      <c r="F1032" s="5">
        <v>28</v>
      </c>
      <c r="G1032" s="5">
        <v>73222</v>
      </c>
      <c r="H1032" s="5">
        <v>16</v>
      </c>
      <c r="I1032" s="8">
        <v>22.860000249999999</v>
      </c>
      <c r="J1032" s="5">
        <v>1</v>
      </c>
      <c r="K1032" s="5">
        <v>0</v>
      </c>
      <c r="L1032" s="14">
        <f t="shared" si="80"/>
        <v>0.31220125440441393</v>
      </c>
      <c r="M1032" s="14">
        <f t="shared" si="84"/>
        <v>1.4287500156249999</v>
      </c>
      <c r="N1032" s="20">
        <f t="shared" si="81"/>
        <v>2.1851356149791046E-4</v>
      </c>
      <c r="O1032" s="14" t="str">
        <f t="shared" si="82"/>
        <v xml:space="preserve"> </v>
      </c>
      <c r="P1032" s="20">
        <f t="shared" si="83"/>
        <v>0</v>
      </c>
    </row>
    <row r="1033" spans="1:16" x14ac:dyDescent="0.25">
      <c r="A1033">
        <v>1122271</v>
      </c>
      <c r="B1033">
        <v>1178</v>
      </c>
      <c r="C1033">
        <v>144735</v>
      </c>
      <c r="D1033" t="s">
        <v>15</v>
      </c>
      <c r="E1033" t="s">
        <v>16</v>
      </c>
      <c r="F1033" s="5">
        <v>28</v>
      </c>
      <c r="G1033" s="5">
        <v>348542</v>
      </c>
      <c r="H1033" s="5">
        <v>96</v>
      </c>
      <c r="I1033" s="8">
        <v>134.88999899999999</v>
      </c>
      <c r="J1033" s="5">
        <v>2</v>
      </c>
      <c r="K1033" s="5">
        <v>0</v>
      </c>
      <c r="L1033" s="14">
        <f t="shared" si="80"/>
        <v>0.38701217930694148</v>
      </c>
      <c r="M1033" s="14">
        <f t="shared" si="84"/>
        <v>1.40510415625</v>
      </c>
      <c r="N1033" s="20">
        <f t="shared" si="81"/>
        <v>2.7543308984283099E-4</v>
      </c>
      <c r="O1033" s="14" t="str">
        <f t="shared" si="82"/>
        <v xml:space="preserve"> </v>
      </c>
      <c r="P1033" s="20">
        <f t="shared" si="83"/>
        <v>0</v>
      </c>
    </row>
    <row r="1034" spans="1:16" x14ac:dyDescent="0.25">
      <c r="A1034">
        <v>1122273</v>
      </c>
      <c r="B1034">
        <v>1178</v>
      </c>
      <c r="C1034">
        <v>144736</v>
      </c>
      <c r="D1034" t="s">
        <v>15</v>
      </c>
      <c r="E1034" t="s">
        <v>16</v>
      </c>
      <c r="F1034" s="5">
        <v>29</v>
      </c>
      <c r="G1034" s="5">
        <v>1097966</v>
      </c>
      <c r="H1034" s="5">
        <v>266</v>
      </c>
      <c r="I1034" s="8">
        <v>369.069997</v>
      </c>
      <c r="J1034" s="5">
        <v>16</v>
      </c>
      <c r="K1034" s="5">
        <v>8</v>
      </c>
      <c r="L1034" s="14">
        <f t="shared" si="80"/>
        <v>0.33613973201355962</v>
      </c>
      <c r="M1034" s="14">
        <f t="shared" si="84"/>
        <v>1.3874811917293233</v>
      </c>
      <c r="N1034" s="20">
        <f t="shared" si="81"/>
        <v>2.422661539610516E-4</v>
      </c>
      <c r="O1034" s="14">
        <f t="shared" si="82"/>
        <v>46.133749625</v>
      </c>
      <c r="P1034" s="20">
        <f t="shared" si="83"/>
        <v>3.007518796992481E-2</v>
      </c>
    </row>
    <row r="1035" spans="1:16" x14ac:dyDescent="0.25">
      <c r="A1035">
        <v>1122274</v>
      </c>
      <c r="B1035">
        <v>1178</v>
      </c>
      <c r="C1035">
        <v>144736</v>
      </c>
      <c r="D1035" t="s">
        <v>15</v>
      </c>
      <c r="E1035" t="s">
        <v>16</v>
      </c>
      <c r="F1035" s="5">
        <v>29</v>
      </c>
      <c r="G1035" s="5">
        <v>526923</v>
      </c>
      <c r="H1035" s="5">
        <v>138</v>
      </c>
      <c r="I1035" s="8">
        <v>198.0899972</v>
      </c>
      <c r="J1035" s="5">
        <v>2</v>
      </c>
      <c r="K1035" s="5">
        <v>1</v>
      </c>
      <c r="L1035" s="14">
        <f t="shared" si="80"/>
        <v>0.37593727584485775</v>
      </c>
      <c r="M1035" s="14">
        <f t="shared" si="84"/>
        <v>1.4354347623188406</v>
      </c>
      <c r="N1035" s="20">
        <f t="shared" si="81"/>
        <v>2.6189784845224062E-4</v>
      </c>
      <c r="O1035" s="14">
        <f t="shared" si="82"/>
        <v>198.0899972</v>
      </c>
      <c r="P1035" s="20">
        <f t="shared" si="83"/>
        <v>7.246376811594203E-3</v>
      </c>
    </row>
    <row r="1036" spans="1:16" x14ac:dyDescent="0.25">
      <c r="A1036">
        <v>1122276</v>
      </c>
      <c r="B1036">
        <v>1178</v>
      </c>
      <c r="C1036">
        <v>144736</v>
      </c>
      <c r="D1036" t="s">
        <v>15</v>
      </c>
      <c r="E1036" t="s">
        <v>16</v>
      </c>
      <c r="F1036" s="5">
        <v>29</v>
      </c>
      <c r="G1036" s="5">
        <v>264386</v>
      </c>
      <c r="H1036" s="5">
        <v>66</v>
      </c>
      <c r="I1036" s="8">
        <v>91.000000540000002</v>
      </c>
      <c r="J1036" s="5">
        <v>4</v>
      </c>
      <c r="K1036" s="5">
        <v>1</v>
      </c>
      <c r="L1036" s="14">
        <f t="shared" si="80"/>
        <v>0.34419371880508048</v>
      </c>
      <c r="M1036" s="14">
        <f t="shared" si="84"/>
        <v>1.378787886969697</v>
      </c>
      <c r="N1036" s="20">
        <f t="shared" si="81"/>
        <v>2.4963500336629022E-4</v>
      </c>
      <c r="O1036" s="14">
        <f t="shared" si="82"/>
        <v>91.000000540000002</v>
      </c>
      <c r="P1036" s="20">
        <f t="shared" si="83"/>
        <v>1.5151515151515152E-2</v>
      </c>
    </row>
    <row r="1037" spans="1:16" x14ac:dyDescent="0.25">
      <c r="A1037">
        <v>1122277</v>
      </c>
      <c r="B1037">
        <v>1178</v>
      </c>
      <c r="C1037">
        <v>144736</v>
      </c>
      <c r="D1037" t="s">
        <v>15</v>
      </c>
      <c r="E1037" t="s">
        <v>16</v>
      </c>
      <c r="F1037" s="5">
        <v>29</v>
      </c>
      <c r="G1037" s="5">
        <v>854940</v>
      </c>
      <c r="H1037" s="5">
        <v>227</v>
      </c>
      <c r="I1037" s="8">
        <v>297.91000070000001</v>
      </c>
      <c r="J1037" s="5">
        <v>8</v>
      </c>
      <c r="K1037" s="5">
        <v>3</v>
      </c>
      <c r="L1037" s="14">
        <f t="shared" si="80"/>
        <v>0.34845720249374224</v>
      </c>
      <c r="M1037" s="14">
        <f t="shared" si="84"/>
        <v>1.3123788577092512</v>
      </c>
      <c r="N1037" s="20">
        <f t="shared" si="81"/>
        <v>2.6551570870470443E-4</v>
      </c>
      <c r="O1037" s="14">
        <f t="shared" si="82"/>
        <v>99.303333566666666</v>
      </c>
      <c r="P1037" s="20">
        <f t="shared" si="83"/>
        <v>1.3215859030837005E-2</v>
      </c>
    </row>
    <row r="1038" spans="1:16" x14ac:dyDescent="0.25">
      <c r="A1038">
        <v>1122279</v>
      </c>
      <c r="B1038">
        <v>1178</v>
      </c>
      <c r="C1038">
        <v>144737</v>
      </c>
      <c r="D1038" t="s">
        <v>15</v>
      </c>
      <c r="E1038" t="s">
        <v>16</v>
      </c>
      <c r="F1038" s="5">
        <v>30</v>
      </c>
      <c r="G1038" s="5">
        <v>113567</v>
      </c>
      <c r="H1038" s="5">
        <v>34</v>
      </c>
      <c r="I1038" s="8">
        <v>50.29000044</v>
      </c>
      <c r="J1038" s="5">
        <v>3</v>
      </c>
      <c r="K1038" s="5">
        <v>0</v>
      </c>
      <c r="L1038" s="14">
        <f t="shared" si="80"/>
        <v>0.44282230260551042</v>
      </c>
      <c r="M1038" s="14">
        <f t="shared" si="84"/>
        <v>1.47911766</v>
      </c>
      <c r="N1038" s="20">
        <f t="shared" si="81"/>
        <v>2.9938274322646545E-4</v>
      </c>
      <c r="O1038" s="14" t="str">
        <f t="shared" si="82"/>
        <v xml:space="preserve"> </v>
      </c>
      <c r="P1038" s="20">
        <f t="shared" si="83"/>
        <v>0</v>
      </c>
    </row>
    <row r="1039" spans="1:16" x14ac:dyDescent="0.25">
      <c r="A1039">
        <v>1122282</v>
      </c>
      <c r="B1039">
        <v>1178</v>
      </c>
      <c r="C1039">
        <v>144737</v>
      </c>
      <c r="D1039" t="s">
        <v>15</v>
      </c>
      <c r="E1039" t="s">
        <v>16</v>
      </c>
      <c r="F1039" s="5">
        <v>30</v>
      </c>
      <c r="G1039" s="5">
        <v>22859</v>
      </c>
      <c r="H1039" s="5">
        <v>6</v>
      </c>
      <c r="I1039" s="8">
        <v>9.4199998380000007</v>
      </c>
      <c r="J1039" s="5">
        <v>1</v>
      </c>
      <c r="K1039" s="5">
        <v>0</v>
      </c>
      <c r="L1039" s="14">
        <f t="shared" si="80"/>
        <v>0.41209151047727371</v>
      </c>
      <c r="M1039" s="14">
        <f t="shared" si="84"/>
        <v>1.569999973</v>
      </c>
      <c r="N1039" s="20">
        <f t="shared" si="81"/>
        <v>2.6247867360776935E-4</v>
      </c>
      <c r="O1039" s="14" t="str">
        <f t="shared" si="82"/>
        <v xml:space="preserve"> </v>
      </c>
      <c r="P1039" s="20">
        <f t="shared" si="83"/>
        <v>0</v>
      </c>
    </row>
    <row r="1040" spans="1:16" x14ac:dyDescent="0.25">
      <c r="A1040">
        <v>1122288</v>
      </c>
      <c r="B1040">
        <v>1178</v>
      </c>
      <c r="C1040">
        <v>144738</v>
      </c>
      <c r="D1040" t="s">
        <v>15</v>
      </c>
      <c r="E1040" t="s">
        <v>16</v>
      </c>
      <c r="F1040" s="5">
        <v>31</v>
      </c>
      <c r="G1040" s="5">
        <v>51754</v>
      </c>
      <c r="H1040" s="5">
        <v>13</v>
      </c>
      <c r="I1040" s="8">
        <v>20.519999980000001</v>
      </c>
      <c r="J1040" s="5">
        <v>1</v>
      </c>
      <c r="K1040" s="5">
        <v>0</v>
      </c>
      <c r="L1040" s="14">
        <f t="shared" si="80"/>
        <v>0.39649109208950034</v>
      </c>
      <c r="M1040" s="14">
        <f t="shared" si="84"/>
        <v>1.578461536923077</v>
      </c>
      <c r="N1040" s="20">
        <f t="shared" si="81"/>
        <v>2.5118831394674806E-4</v>
      </c>
      <c r="O1040" s="14" t="str">
        <f t="shared" si="82"/>
        <v xml:space="preserve"> </v>
      </c>
      <c r="P1040" s="20">
        <f t="shared" si="83"/>
        <v>0</v>
      </c>
    </row>
    <row r="1041" spans="1:16" x14ac:dyDescent="0.25">
      <c r="A1041">
        <v>1122290</v>
      </c>
      <c r="B1041">
        <v>1178</v>
      </c>
      <c r="C1041">
        <v>144738</v>
      </c>
      <c r="D1041" t="s">
        <v>15</v>
      </c>
      <c r="E1041" t="s">
        <v>16</v>
      </c>
      <c r="F1041" s="5">
        <v>31</v>
      </c>
      <c r="G1041" s="5">
        <v>104347</v>
      </c>
      <c r="H1041" s="5">
        <v>28</v>
      </c>
      <c r="I1041" s="8">
        <v>38.139999930000002</v>
      </c>
      <c r="J1041" s="5">
        <v>4</v>
      </c>
      <c r="K1041" s="5">
        <v>3</v>
      </c>
      <c r="L1041" s="14">
        <f t="shared" si="80"/>
        <v>0.3655112262930415</v>
      </c>
      <c r="M1041" s="14">
        <f t="shared" si="84"/>
        <v>1.3621428546428571</v>
      </c>
      <c r="N1041" s="20">
        <f t="shared" si="81"/>
        <v>2.6833545765570643E-4</v>
      </c>
      <c r="O1041" s="14">
        <f t="shared" si="82"/>
        <v>12.713333310000001</v>
      </c>
      <c r="P1041" s="20">
        <f t="shared" si="83"/>
        <v>0.10714285714285714</v>
      </c>
    </row>
    <row r="1042" spans="1:16" x14ac:dyDescent="0.25">
      <c r="A1042">
        <v>1122303</v>
      </c>
      <c r="B1042">
        <v>1178</v>
      </c>
      <c r="C1042">
        <v>144741</v>
      </c>
      <c r="D1042" t="s">
        <v>15</v>
      </c>
      <c r="E1042" t="s">
        <v>16</v>
      </c>
      <c r="F1042" s="5">
        <v>63</v>
      </c>
      <c r="G1042" s="5">
        <v>391998</v>
      </c>
      <c r="H1042" s="5">
        <v>97</v>
      </c>
      <c r="I1042" s="8">
        <v>142.05000250000001</v>
      </c>
      <c r="J1042" s="5">
        <v>3</v>
      </c>
      <c r="K1042" s="5">
        <v>1</v>
      </c>
      <c r="L1042" s="14">
        <f t="shared" si="80"/>
        <v>0.36237430420563371</v>
      </c>
      <c r="M1042" s="14">
        <f t="shared" si="84"/>
        <v>1.4644330154639176</v>
      </c>
      <c r="N1042" s="20">
        <f t="shared" si="81"/>
        <v>2.4745024209307191E-4</v>
      </c>
      <c r="O1042" s="14">
        <f t="shared" si="82"/>
        <v>142.05000250000001</v>
      </c>
      <c r="P1042" s="20">
        <f t="shared" si="83"/>
        <v>1.0309278350515464E-2</v>
      </c>
    </row>
    <row r="1043" spans="1:16" x14ac:dyDescent="0.25">
      <c r="A1043">
        <v>1122304</v>
      </c>
      <c r="B1043">
        <v>1178</v>
      </c>
      <c r="C1043">
        <v>144741</v>
      </c>
      <c r="D1043" t="s">
        <v>15</v>
      </c>
      <c r="E1043" t="s">
        <v>16</v>
      </c>
      <c r="F1043" s="5">
        <v>63</v>
      </c>
      <c r="G1043" s="5">
        <v>1111156</v>
      </c>
      <c r="H1043" s="5">
        <v>282</v>
      </c>
      <c r="I1043" s="8">
        <v>402.30000260000003</v>
      </c>
      <c r="J1043" s="5">
        <v>5</v>
      </c>
      <c r="K1043" s="5">
        <v>0</v>
      </c>
      <c r="L1043" s="14">
        <f t="shared" si="80"/>
        <v>0.36205537530283782</v>
      </c>
      <c r="M1043" s="14">
        <f t="shared" si="84"/>
        <v>1.4265957539007093</v>
      </c>
      <c r="N1043" s="20">
        <f t="shared" si="81"/>
        <v>2.5378974689422548E-4</v>
      </c>
      <c r="O1043" s="14" t="str">
        <f t="shared" si="82"/>
        <v xml:space="preserve"> </v>
      </c>
      <c r="P1043" s="20">
        <f t="shared" si="83"/>
        <v>0</v>
      </c>
    </row>
    <row r="1044" spans="1:16" x14ac:dyDescent="0.25">
      <c r="A1044">
        <v>1122308</v>
      </c>
      <c r="B1044">
        <v>1178</v>
      </c>
      <c r="C1044">
        <v>144741</v>
      </c>
      <c r="D1044" t="s">
        <v>15</v>
      </c>
      <c r="E1044" t="s">
        <v>16</v>
      </c>
      <c r="F1044" s="5">
        <v>63</v>
      </c>
      <c r="G1044" s="5">
        <v>427772</v>
      </c>
      <c r="H1044" s="5">
        <v>117</v>
      </c>
      <c r="I1044" s="8">
        <v>159.29999900000001</v>
      </c>
      <c r="J1044" s="5">
        <v>3</v>
      </c>
      <c r="K1044" s="5">
        <v>1</v>
      </c>
      <c r="L1044" s="14">
        <f t="shared" si="80"/>
        <v>0.37239463779770532</v>
      </c>
      <c r="M1044" s="14">
        <f t="shared" si="84"/>
        <v>1.3615384529914532</v>
      </c>
      <c r="N1044" s="20">
        <f t="shared" si="81"/>
        <v>2.7351018767006723E-4</v>
      </c>
      <c r="O1044" s="14">
        <f t="shared" si="82"/>
        <v>159.29999900000001</v>
      </c>
      <c r="P1044" s="20">
        <f t="shared" si="83"/>
        <v>8.5470085470085479E-3</v>
      </c>
    </row>
    <row r="1045" spans="1:16" x14ac:dyDescent="0.25">
      <c r="A1045">
        <v>1122310</v>
      </c>
      <c r="B1045">
        <v>1178</v>
      </c>
      <c r="C1045">
        <v>144742</v>
      </c>
      <c r="D1045" t="s">
        <v>15</v>
      </c>
      <c r="E1045" t="s">
        <v>16</v>
      </c>
      <c r="F1045" s="5">
        <v>64</v>
      </c>
      <c r="G1045" s="5">
        <v>536457</v>
      </c>
      <c r="H1045" s="5">
        <v>136</v>
      </c>
      <c r="I1045" s="8">
        <v>193.65999909999999</v>
      </c>
      <c r="J1045" s="5">
        <v>2</v>
      </c>
      <c r="K1045" s="5">
        <v>1</v>
      </c>
      <c r="L1045" s="14">
        <f t="shared" si="80"/>
        <v>0.36099817711391596</v>
      </c>
      <c r="M1045" s="14">
        <f t="shared" si="84"/>
        <v>1.4239705816176471</v>
      </c>
      <c r="N1045" s="20">
        <f t="shared" si="81"/>
        <v>2.5351519320281031E-4</v>
      </c>
      <c r="O1045" s="14">
        <f t="shared" si="82"/>
        <v>193.65999909999999</v>
      </c>
      <c r="P1045" s="20">
        <f t="shared" si="83"/>
        <v>7.3529411764705881E-3</v>
      </c>
    </row>
    <row r="1046" spans="1:16" x14ac:dyDescent="0.25">
      <c r="A1046">
        <v>1122311</v>
      </c>
      <c r="B1046">
        <v>1178</v>
      </c>
      <c r="C1046">
        <v>144742</v>
      </c>
      <c r="D1046" t="s">
        <v>15</v>
      </c>
      <c r="E1046" t="s">
        <v>16</v>
      </c>
      <c r="F1046" s="5">
        <v>64</v>
      </c>
      <c r="G1046" s="5">
        <v>179894</v>
      </c>
      <c r="H1046" s="5">
        <v>43</v>
      </c>
      <c r="I1046" s="8">
        <v>66.839998719999997</v>
      </c>
      <c r="J1046" s="5">
        <v>2</v>
      </c>
      <c r="K1046" s="5">
        <v>0</v>
      </c>
      <c r="L1046" s="14">
        <f t="shared" si="80"/>
        <v>0.37155212914271735</v>
      </c>
      <c r="M1046" s="14">
        <f t="shared" si="84"/>
        <v>1.5544185748837209</v>
      </c>
      <c r="N1046" s="20">
        <f t="shared" si="81"/>
        <v>2.3902965079435667E-4</v>
      </c>
      <c r="O1046" s="14" t="str">
        <f t="shared" si="82"/>
        <v xml:space="preserve"> </v>
      </c>
      <c r="P1046" s="20">
        <f t="shared" si="83"/>
        <v>0</v>
      </c>
    </row>
    <row r="1047" spans="1:16" x14ac:dyDescent="0.25">
      <c r="A1047">
        <v>1122312</v>
      </c>
      <c r="B1047">
        <v>1178</v>
      </c>
      <c r="C1047">
        <v>144742</v>
      </c>
      <c r="D1047" t="s">
        <v>15</v>
      </c>
      <c r="E1047" t="s">
        <v>16</v>
      </c>
      <c r="F1047" s="5">
        <v>64</v>
      </c>
      <c r="G1047" s="5">
        <v>479882</v>
      </c>
      <c r="H1047" s="5">
        <v>131</v>
      </c>
      <c r="I1047" s="8">
        <v>178.6700007</v>
      </c>
      <c r="J1047" s="5">
        <v>6</v>
      </c>
      <c r="K1047" s="5">
        <v>0</v>
      </c>
      <c r="L1047" s="14">
        <f t="shared" si="80"/>
        <v>0.37232069696300341</v>
      </c>
      <c r="M1047" s="14">
        <f t="shared" si="84"/>
        <v>1.3638931351145038</v>
      </c>
      <c r="N1047" s="20">
        <f t="shared" si="81"/>
        <v>2.7298377517806461E-4</v>
      </c>
      <c r="O1047" s="14" t="str">
        <f t="shared" si="82"/>
        <v xml:space="preserve"> </v>
      </c>
      <c r="P1047" s="20">
        <f t="shared" si="83"/>
        <v>0</v>
      </c>
    </row>
    <row r="1048" spans="1:16" x14ac:dyDescent="0.25">
      <c r="A1048">
        <v>1122313</v>
      </c>
      <c r="B1048">
        <v>1178</v>
      </c>
      <c r="C1048">
        <v>144742</v>
      </c>
      <c r="D1048" t="s">
        <v>15</v>
      </c>
      <c r="E1048" t="s">
        <v>16</v>
      </c>
      <c r="F1048" s="5">
        <v>64</v>
      </c>
      <c r="G1048" s="5">
        <v>358261</v>
      </c>
      <c r="H1048" s="5">
        <v>91</v>
      </c>
      <c r="I1048" s="8">
        <v>130.36000110000001</v>
      </c>
      <c r="J1048" s="5">
        <v>1</v>
      </c>
      <c r="K1048" s="5">
        <v>0</v>
      </c>
      <c r="L1048" s="14">
        <f t="shared" si="80"/>
        <v>0.36386880263271748</v>
      </c>
      <c r="M1048" s="14">
        <f t="shared" si="84"/>
        <v>1.4325274846153846</v>
      </c>
      <c r="N1048" s="20">
        <f t="shared" si="81"/>
        <v>2.5400476189147016E-4</v>
      </c>
      <c r="O1048" s="14" t="str">
        <f t="shared" si="82"/>
        <v xml:space="preserve"> </v>
      </c>
      <c r="P1048" s="20">
        <f t="shared" si="83"/>
        <v>0</v>
      </c>
    </row>
    <row r="1049" spans="1:16" x14ac:dyDescent="0.25">
      <c r="A1049">
        <v>1122316</v>
      </c>
      <c r="B1049">
        <v>1178</v>
      </c>
      <c r="C1049">
        <v>144743</v>
      </c>
      <c r="D1049" t="s">
        <v>15</v>
      </c>
      <c r="E1049" t="s">
        <v>16</v>
      </c>
      <c r="F1049" s="5">
        <v>65</v>
      </c>
      <c r="G1049" s="5">
        <v>346688</v>
      </c>
      <c r="H1049" s="5">
        <v>88</v>
      </c>
      <c r="I1049" s="8">
        <v>114.8599998</v>
      </c>
      <c r="J1049" s="5">
        <v>2</v>
      </c>
      <c r="K1049" s="5">
        <v>0</v>
      </c>
      <c r="L1049" s="14">
        <f t="shared" si="80"/>
        <v>0.33130653440557506</v>
      </c>
      <c r="M1049" s="14">
        <f t="shared" si="84"/>
        <v>1.3052272704545453</v>
      </c>
      <c r="N1049" s="20">
        <f t="shared" si="81"/>
        <v>2.5383053350563043E-4</v>
      </c>
      <c r="O1049" s="14" t="str">
        <f t="shared" si="82"/>
        <v xml:space="preserve"> </v>
      </c>
      <c r="P1049" s="20">
        <f t="shared" si="83"/>
        <v>0</v>
      </c>
    </row>
    <row r="1050" spans="1:16" x14ac:dyDescent="0.25">
      <c r="A1050">
        <v>1314296</v>
      </c>
      <c r="B1050">
        <v>1178</v>
      </c>
      <c r="C1050">
        <v>179863</v>
      </c>
      <c r="D1050" t="s">
        <v>11</v>
      </c>
      <c r="E1050" t="s">
        <v>12</v>
      </c>
      <c r="F1050" s="5">
        <v>100</v>
      </c>
      <c r="G1050" s="5">
        <v>33445</v>
      </c>
      <c r="H1050" s="5">
        <v>2</v>
      </c>
      <c r="I1050" s="8">
        <v>3.199999928</v>
      </c>
      <c r="J1050" s="5">
        <v>1</v>
      </c>
      <c r="K1050" s="5">
        <v>0</v>
      </c>
      <c r="L1050" s="14">
        <f t="shared" si="80"/>
        <v>9.5679471610106134E-2</v>
      </c>
      <c r="M1050" s="14">
        <f t="shared" si="84"/>
        <v>1.599999964</v>
      </c>
      <c r="N1050" s="20">
        <f t="shared" si="81"/>
        <v>5.9799671101808939E-5</v>
      </c>
      <c r="O1050" s="14" t="str">
        <f t="shared" si="82"/>
        <v xml:space="preserve"> </v>
      </c>
      <c r="P1050" s="20">
        <f t="shared" si="83"/>
        <v>0</v>
      </c>
    </row>
    <row r="1051" spans="1:16" x14ac:dyDescent="0.25">
      <c r="A1051">
        <v>1314297</v>
      </c>
      <c r="B1051">
        <v>1178</v>
      </c>
      <c r="C1051">
        <v>179864</v>
      </c>
      <c r="D1051" t="s">
        <v>11</v>
      </c>
      <c r="E1051" t="s">
        <v>12</v>
      </c>
      <c r="F1051" s="5">
        <v>101</v>
      </c>
      <c r="G1051" s="5">
        <v>72228</v>
      </c>
      <c r="H1051" s="5">
        <v>5</v>
      </c>
      <c r="I1051" s="8">
        <v>7.5299998520000004</v>
      </c>
      <c r="J1051" s="5">
        <v>4</v>
      </c>
      <c r="K1051" s="5">
        <v>4</v>
      </c>
      <c r="L1051" s="14">
        <f t="shared" si="80"/>
        <v>0.10425319615661517</v>
      </c>
      <c r="M1051" s="14">
        <f t="shared" si="84"/>
        <v>1.5059999704</v>
      </c>
      <c r="N1051" s="20">
        <f t="shared" si="81"/>
        <v>6.9225231212272244E-5</v>
      </c>
      <c r="O1051" s="14">
        <f t="shared" si="82"/>
        <v>1.8824999630000001</v>
      </c>
      <c r="P1051" s="20">
        <f t="shared" si="83"/>
        <v>0.8</v>
      </c>
    </row>
    <row r="1052" spans="1:16" x14ac:dyDescent="0.25">
      <c r="A1052">
        <v>1314298</v>
      </c>
      <c r="B1052">
        <v>1178</v>
      </c>
      <c r="C1052">
        <v>179865</v>
      </c>
      <c r="D1052" t="s">
        <v>11</v>
      </c>
      <c r="E1052" t="s">
        <v>12</v>
      </c>
      <c r="F1052" s="5">
        <v>102</v>
      </c>
      <c r="G1052" s="5">
        <v>49699</v>
      </c>
      <c r="H1052" s="5">
        <v>2</v>
      </c>
      <c r="I1052" s="8">
        <v>2.6900000569999998</v>
      </c>
      <c r="J1052" s="5">
        <v>2</v>
      </c>
      <c r="K1052" s="5">
        <v>1</v>
      </c>
      <c r="L1052" s="14">
        <f t="shared" si="80"/>
        <v>5.4125838688907218E-2</v>
      </c>
      <c r="M1052" s="14">
        <f t="shared" si="84"/>
        <v>1.3450000284999999</v>
      </c>
      <c r="N1052" s="20">
        <f t="shared" si="81"/>
        <v>4.0242258395541155E-5</v>
      </c>
      <c r="O1052" s="14">
        <f t="shared" si="82"/>
        <v>2.6900000569999998</v>
      </c>
      <c r="P1052" s="20">
        <f t="shared" si="83"/>
        <v>0.5</v>
      </c>
    </row>
    <row r="1053" spans="1:16" x14ac:dyDescent="0.25">
      <c r="A1053">
        <v>1314299</v>
      </c>
      <c r="B1053">
        <v>1178</v>
      </c>
      <c r="C1053">
        <v>179866</v>
      </c>
      <c r="D1053" t="s">
        <v>11</v>
      </c>
      <c r="E1053" t="s">
        <v>12</v>
      </c>
      <c r="F1053" s="5">
        <v>103</v>
      </c>
      <c r="G1053" s="5">
        <v>189761</v>
      </c>
      <c r="H1053" s="5">
        <v>18</v>
      </c>
      <c r="I1053" s="8">
        <v>27.329999690000001</v>
      </c>
      <c r="J1053" s="5">
        <v>4</v>
      </c>
      <c r="K1053" s="5">
        <v>1</v>
      </c>
      <c r="L1053" s="14">
        <f t="shared" si="80"/>
        <v>0.14402326974457344</v>
      </c>
      <c r="M1053" s="14">
        <f t="shared" si="84"/>
        <v>1.5183333161111112</v>
      </c>
      <c r="N1053" s="20">
        <f t="shared" si="81"/>
        <v>9.4856161171157408E-5</v>
      </c>
      <c r="O1053" s="14">
        <f t="shared" si="82"/>
        <v>27.329999690000001</v>
      </c>
      <c r="P1053" s="20">
        <f t="shared" si="83"/>
        <v>5.5555555555555552E-2</v>
      </c>
    </row>
    <row r="1054" spans="1:16" x14ac:dyDescent="0.25">
      <c r="A1054">
        <v>1314301</v>
      </c>
      <c r="B1054">
        <v>1178</v>
      </c>
      <c r="C1054">
        <v>179868</v>
      </c>
      <c r="D1054" t="s">
        <v>11</v>
      </c>
      <c r="E1054" t="s">
        <v>12</v>
      </c>
      <c r="F1054" s="5">
        <v>105</v>
      </c>
      <c r="G1054" s="5">
        <v>312524</v>
      </c>
      <c r="H1054" s="5">
        <v>37</v>
      </c>
      <c r="I1054" s="8">
        <v>53.789999719999997</v>
      </c>
      <c r="J1054" s="5">
        <v>2</v>
      </c>
      <c r="K1054" s="5">
        <v>0</v>
      </c>
      <c r="L1054" s="14">
        <f t="shared" si="80"/>
        <v>0.17211478068884309</v>
      </c>
      <c r="M1054" s="14">
        <f t="shared" si="84"/>
        <v>1.4537837762162162</v>
      </c>
      <c r="N1054" s="20">
        <f t="shared" si="81"/>
        <v>1.1839090757829799E-4</v>
      </c>
      <c r="O1054" s="14" t="str">
        <f t="shared" si="82"/>
        <v xml:space="preserve"> </v>
      </c>
      <c r="P1054" s="20">
        <f t="shared" si="83"/>
        <v>0</v>
      </c>
    </row>
    <row r="1055" spans="1:16" x14ac:dyDescent="0.25">
      <c r="A1055">
        <v>1314303</v>
      </c>
      <c r="B1055">
        <v>1178</v>
      </c>
      <c r="C1055">
        <v>179870</v>
      </c>
      <c r="D1055" t="s">
        <v>11</v>
      </c>
      <c r="E1055" t="s">
        <v>12</v>
      </c>
      <c r="F1055" s="5">
        <v>107</v>
      </c>
      <c r="G1055" s="5">
        <v>496760</v>
      </c>
      <c r="H1055" s="5">
        <v>42</v>
      </c>
      <c r="I1055" s="8">
        <v>61.009999039999997</v>
      </c>
      <c r="J1055" s="5">
        <v>10</v>
      </c>
      <c r="K1055" s="5">
        <v>3</v>
      </c>
      <c r="L1055" s="14">
        <f t="shared" si="80"/>
        <v>0.12281584475400595</v>
      </c>
      <c r="M1055" s="14">
        <f t="shared" si="84"/>
        <v>1.4526190247619046</v>
      </c>
      <c r="N1055" s="20">
        <f t="shared" si="81"/>
        <v>8.4547870198888793E-5</v>
      </c>
      <c r="O1055" s="14">
        <f t="shared" si="82"/>
        <v>20.336666346666664</v>
      </c>
      <c r="P1055" s="20">
        <f t="shared" si="83"/>
        <v>7.1428571428571425E-2</v>
      </c>
    </row>
    <row r="1056" spans="1:16" x14ac:dyDescent="0.25">
      <c r="A1056">
        <v>1314306</v>
      </c>
      <c r="B1056">
        <v>1178</v>
      </c>
      <c r="C1056">
        <v>179873</v>
      </c>
      <c r="D1056" t="s">
        <v>11</v>
      </c>
      <c r="E1056" t="s">
        <v>12</v>
      </c>
      <c r="F1056" s="5">
        <v>110</v>
      </c>
      <c r="G1056" s="5">
        <v>310988</v>
      </c>
      <c r="H1056" s="5">
        <v>34</v>
      </c>
      <c r="I1056" s="8">
        <v>46.669999359999998</v>
      </c>
      <c r="J1056" s="5">
        <v>11</v>
      </c>
      <c r="K1056" s="5">
        <v>3</v>
      </c>
      <c r="L1056" s="14">
        <f t="shared" si="80"/>
        <v>0.15007009710985633</v>
      </c>
      <c r="M1056" s="14">
        <f t="shared" si="84"/>
        <v>1.3726470399999999</v>
      </c>
      <c r="N1056" s="20">
        <f t="shared" si="81"/>
        <v>1.0932897732388388E-4</v>
      </c>
      <c r="O1056" s="14">
        <f t="shared" si="82"/>
        <v>15.556666453333333</v>
      </c>
      <c r="P1056" s="20">
        <f t="shared" si="83"/>
        <v>8.8235294117647065E-2</v>
      </c>
    </row>
    <row r="1057" spans="1:16" x14ac:dyDescent="0.25">
      <c r="A1057">
        <v>1314307</v>
      </c>
      <c r="B1057">
        <v>1178</v>
      </c>
      <c r="C1057">
        <v>179874</v>
      </c>
      <c r="D1057" t="s">
        <v>11</v>
      </c>
      <c r="E1057" t="s">
        <v>12</v>
      </c>
      <c r="F1057" s="5">
        <v>111</v>
      </c>
      <c r="G1057" s="5">
        <v>98606</v>
      </c>
      <c r="H1057" s="5">
        <v>9</v>
      </c>
      <c r="I1057" s="8">
        <v>12.10999984</v>
      </c>
      <c r="J1057" s="5">
        <v>1</v>
      </c>
      <c r="K1057" s="5">
        <v>0</v>
      </c>
      <c r="L1057" s="14">
        <f t="shared" si="80"/>
        <v>0.12281199764720201</v>
      </c>
      <c r="M1057" s="14">
        <f t="shared" si="84"/>
        <v>1.3455555377777779</v>
      </c>
      <c r="N1057" s="20">
        <f t="shared" si="81"/>
        <v>9.1272336368983627E-5</v>
      </c>
      <c r="O1057" s="14" t="str">
        <f t="shared" si="82"/>
        <v xml:space="preserve"> </v>
      </c>
      <c r="P1057" s="20">
        <f t="shared" si="83"/>
        <v>0</v>
      </c>
    </row>
    <row r="1058" spans="1:16" x14ac:dyDescent="0.25">
      <c r="A1058">
        <v>1314308</v>
      </c>
      <c r="B1058">
        <v>1178</v>
      </c>
      <c r="C1058">
        <v>179875</v>
      </c>
      <c r="D1058" t="s">
        <v>11</v>
      </c>
      <c r="E1058" t="s">
        <v>12</v>
      </c>
      <c r="F1058" s="5">
        <v>112</v>
      </c>
      <c r="G1058" s="5">
        <v>51104</v>
      </c>
      <c r="H1058" s="5">
        <v>2</v>
      </c>
      <c r="I1058" s="8">
        <v>3.199999928</v>
      </c>
      <c r="J1058" s="5">
        <v>3</v>
      </c>
      <c r="K1058" s="5">
        <v>1</v>
      </c>
      <c r="L1058" s="14">
        <f t="shared" si="80"/>
        <v>6.2617406230432063E-2</v>
      </c>
      <c r="M1058" s="14">
        <f t="shared" si="84"/>
        <v>1.599999964</v>
      </c>
      <c r="N1058" s="20">
        <f t="shared" si="81"/>
        <v>3.9135879774577331E-5</v>
      </c>
      <c r="O1058" s="14">
        <f t="shared" si="82"/>
        <v>3.199999928</v>
      </c>
      <c r="P1058" s="20">
        <f t="shared" si="83"/>
        <v>0.5</v>
      </c>
    </row>
    <row r="1059" spans="1:16" x14ac:dyDescent="0.25">
      <c r="A1059">
        <v>1314309</v>
      </c>
      <c r="B1059">
        <v>1178</v>
      </c>
      <c r="C1059">
        <v>179876</v>
      </c>
      <c r="D1059" t="s">
        <v>11</v>
      </c>
      <c r="E1059" t="s">
        <v>12</v>
      </c>
      <c r="F1059" s="5">
        <v>113</v>
      </c>
      <c r="G1059" s="5">
        <v>276762</v>
      </c>
      <c r="H1059" s="5">
        <v>22</v>
      </c>
      <c r="I1059" s="8">
        <v>32.090000150000002</v>
      </c>
      <c r="J1059" s="5">
        <v>5</v>
      </c>
      <c r="K1059" s="5">
        <v>1</v>
      </c>
      <c r="L1059" s="14">
        <f t="shared" si="80"/>
        <v>0.11594799918341391</v>
      </c>
      <c r="M1059" s="14">
        <f t="shared" si="84"/>
        <v>1.4586363704545455</v>
      </c>
      <c r="N1059" s="20">
        <f t="shared" si="81"/>
        <v>7.9490681524197685E-5</v>
      </c>
      <c r="O1059" s="14">
        <f t="shared" si="82"/>
        <v>32.090000150000002</v>
      </c>
      <c r="P1059" s="20">
        <f t="shared" si="83"/>
        <v>4.5454545454545456E-2</v>
      </c>
    </row>
    <row r="1060" spans="1:16" x14ac:dyDescent="0.25">
      <c r="A1060">
        <v>1314312</v>
      </c>
      <c r="B1060">
        <v>1178</v>
      </c>
      <c r="C1060">
        <v>179879</v>
      </c>
      <c r="D1060" t="s">
        <v>13</v>
      </c>
      <c r="E1060" t="s">
        <v>12</v>
      </c>
      <c r="F1060" s="5">
        <v>101</v>
      </c>
      <c r="G1060" s="5">
        <v>33534</v>
      </c>
      <c r="H1060" s="5">
        <v>2</v>
      </c>
      <c r="I1060" s="8">
        <v>2.960000038</v>
      </c>
      <c r="J1060" s="5">
        <v>1</v>
      </c>
      <c r="K1060" s="5">
        <v>1</v>
      </c>
      <c r="L1060" s="14">
        <f t="shared" si="80"/>
        <v>8.8268624023379247E-2</v>
      </c>
      <c r="M1060" s="14">
        <f t="shared" si="84"/>
        <v>1.480000019</v>
      </c>
      <c r="N1060" s="20">
        <f t="shared" si="81"/>
        <v>5.9640961412297963E-5</v>
      </c>
      <c r="O1060" s="14">
        <f t="shared" si="82"/>
        <v>2.960000038</v>
      </c>
      <c r="P1060" s="20">
        <f t="shared" si="83"/>
        <v>0.5</v>
      </c>
    </row>
    <row r="1061" spans="1:16" x14ac:dyDescent="0.25">
      <c r="A1061">
        <v>1314313</v>
      </c>
      <c r="B1061">
        <v>1178</v>
      </c>
      <c r="C1061">
        <v>179880</v>
      </c>
      <c r="D1061" t="s">
        <v>13</v>
      </c>
      <c r="E1061" t="s">
        <v>12</v>
      </c>
      <c r="F1061" s="5">
        <v>102</v>
      </c>
      <c r="G1061" s="5">
        <v>128859</v>
      </c>
      <c r="H1061" s="5">
        <v>16</v>
      </c>
      <c r="I1061" s="8">
        <v>23.699999569999999</v>
      </c>
      <c r="J1061" s="5">
        <v>1</v>
      </c>
      <c r="K1061" s="5">
        <v>0</v>
      </c>
      <c r="L1061" s="14">
        <f t="shared" si="80"/>
        <v>0.18392195787643856</v>
      </c>
      <c r="M1061" s="14">
        <f t="shared" si="84"/>
        <v>1.481249973125</v>
      </c>
      <c r="N1061" s="20">
        <f t="shared" si="81"/>
        <v>1.2416672486981894E-4</v>
      </c>
      <c r="O1061" s="14" t="str">
        <f t="shared" si="82"/>
        <v xml:space="preserve"> </v>
      </c>
      <c r="P1061" s="20">
        <f t="shared" si="83"/>
        <v>0</v>
      </c>
    </row>
    <row r="1062" spans="1:16" x14ac:dyDescent="0.25">
      <c r="A1062">
        <v>1314314</v>
      </c>
      <c r="B1062">
        <v>1178</v>
      </c>
      <c r="C1062">
        <v>179881</v>
      </c>
      <c r="D1062" t="s">
        <v>13</v>
      </c>
      <c r="E1062" t="s">
        <v>12</v>
      </c>
      <c r="F1062" s="5">
        <v>103</v>
      </c>
      <c r="G1062" s="5">
        <v>92080</v>
      </c>
      <c r="H1062" s="5">
        <v>12</v>
      </c>
      <c r="I1062" s="8">
        <v>16.940000179999998</v>
      </c>
      <c r="J1062" s="5">
        <v>3</v>
      </c>
      <c r="K1062" s="5">
        <v>2</v>
      </c>
      <c r="L1062" s="14">
        <f t="shared" si="80"/>
        <v>0.18397046242397913</v>
      </c>
      <c r="M1062" s="14">
        <f t="shared" si="84"/>
        <v>1.4116666816666665</v>
      </c>
      <c r="N1062" s="20">
        <f t="shared" si="81"/>
        <v>1.3032145960034753E-4</v>
      </c>
      <c r="O1062" s="14">
        <f t="shared" si="82"/>
        <v>8.4700000899999992</v>
      </c>
      <c r="P1062" s="20">
        <f t="shared" si="83"/>
        <v>0.16666666666666666</v>
      </c>
    </row>
    <row r="1063" spans="1:16" x14ac:dyDescent="0.25">
      <c r="A1063">
        <v>1314316</v>
      </c>
      <c r="B1063">
        <v>1178</v>
      </c>
      <c r="C1063">
        <v>179883</v>
      </c>
      <c r="D1063" t="s">
        <v>13</v>
      </c>
      <c r="E1063" t="s">
        <v>12</v>
      </c>
      <c r="F1063" s="5">
        <v>105</v>
      </c>
      <c r="G1063" s="5">
        <v>211882</v>
      </c>
      <c r="H1063" s="5">
        <v>33</v>
      </c>
      <c r="I1063" s="8">
        <v>46.649999260000001</v>
      </c>
      <c r="J1063" s="5">
        <v>3</v>
      </c>
      <c r="K1063" s="5">
        <v>1</v>
      </c>
      <c r="L1063" s="14">
        <f t="shared" si="80"/>
        <v>0.22016971361418147</v>
      </c>
      <c r="M1063" s="14">
        <f t="shared" si="84"/>
        <v>1.4136363412121213</v>
      </c>
      <c r="N1063" s="20">
        <f t="shared" si="81"/>
        <v>1.5574706676357595E-4</v>
      </c>
      <c r="O1063" s="14">
        <f t="shared" si="82"/>
        <v>46.649999260000001</v>
      </c>
      <c r="P1063" s="20">
        <f t="shared" si="83"/>
        <v>3.0303030303030304E-2</v>
      </c>
    </row>
    <row r="1064" spans="1:16" x14ac:dyDescent="0.25">
      <c r="A1064">
        <v>1314318</v>
      </c>
      <c r="B1064">
        <v>1178</v>
      </c>
      <c r="C1064">
        <v>179885</v>
      </c>
      <c r="D1064" t="s">
        <v>13</v>
      </c>
      <c r="E1064" t="s">
        <v>12</v>
      </c>
      <c r="F1064" s="5">
        <v>107</v>
      </c>
      <c r="G1064" s="5">
        <v>112776</v>
      </c>
      <c r="H1064" s="5">
        <v>9</v>
      </c>
      <c r="I1064" s="8">
        <v>12.679999949999999</v>
      </c>
      <c r="J1064" s="5">
        <v>1</v>
      </c>
      <c r="K1064" s="5">
        <v>0</v>
      </c>
      <c r="L1064" s="14">
        <f t="shared" si="80"/>
        <v>0.11243526947222814</v>
      </c>
      <c r="M1064" s="14">
        <f t="shared" si="84"/>
        <v>1.4088888833333333</v>
      </c>
      <c r="N1064" s="20">
        <f t="shared" si="81"/>
        <v>7.9804213662481381E-5</v>
      </c>
      <c r="O1064" s="14" t="str">
        <f t="shared" si="82"/>
        <v xml:space="preserve"> </v>
      </c>
      <c r="P1064" s="20">
        <f t="shared" si="83"/>
        <v>0</v>
      </c>
    </row>
    <row r="1065" spans="1:16" x14ac:dyDescent="0.25">
      <c r="A1065">
        <v>1314319</v>
      </c>
      <c r="B1065">
        <v>1178</v>
      </c>
      <c r="C1065">
        <v>179886</v>
      </c>
      <c r="D1065" t="s">
        <v>13</v>
      </c>
      <c r="E1065" t="s">
        <v>12</v>
      </c>
      <c r="F1065" s="5">
        <v>108</v>
      </c>
      <c r="G1065" s="5">
        <v>145324</v>
      </c>
      <c r="H1065" s="5">
        <v>14</v>
      </c>
      <c r="I1065" s="8">
        <v>19.820000050000001</v>
      </c>
      <c r="J1065" s="5">
        <v>2</v>
      </c>
      <c r="K1065" s="5">
        <v>1</v>
      </c>
      <c r="L1065" s="14">
        <f t="shared" si="80"/>
        <v>0.13638490579670254</v>
      </c>
      <c r="M1065" s="14">
        <f t="shared" si="84"/>
        <v>1.4157142892857144</v>
      </c>
      <c r="N1065" s="20">
        <f t="shared" si="81"/>
        <v>9.633646197462222E-5</v>
      </c>
      <c r="O1065" s="14">
        <f t="shared" si="82"/>
        <v>19.820000050000001</v>
      </c>
      <c r="P1065" s="20">
        <f t="shared" si="83"/>
        <v>7.1428571428571425E-2</v>
      </c>
    </row>
    <row r="1066" spans="1:16" x14ac:dyDescent="0.25">
      <c r="A1066">
        <v>1314320</v>
      </c>
      <c r="B1066">
        <v>1178</v>
      </c>
      <c r="C1066">
        <v>179887</v>
      </c>
      <c r="D1066" t="s">
        <v>13</v>
      </c>
      <c r="E1066" t="s">
        <v>12</v>
      </c>
      <c r="F1066" s="5">
        <v>109</v>
      </c>
      <c r="G1066" s="5">
        <v>106492</v>
      </c>
      <c r="H1066" s="5">
        <v>14</v>
      </c>
      <c r="I1066" s="8">
        <v>21.260000229999999</v>
      </c>
      <c r="J1066" s="5">
        <v>2</v>
      </c>
      <c r="K1066" s="5">
        <v>0</v>
      </c>
      <c r="L1066" s="14">
        <f t="shared" si="80"/>
        <v>0.19963941169289709</v>
      </c>
      <c r="M1066" s="14">
        <f t="shared" si="84"/>
        <v>1.5185714449999999</v>
      </c>
      <c r="N1066" s="20">
        <f t="shared" si="81"/>
        <v>1.314652743868084E-4</v>
      </c>
      <c r="O1066" s="14" t="str">
        <f t="shared" si="82"/>
        <v xml:space="preserve"> </v>
      </c>
      <c r="P1066" s="20">
        <f t="shared" si="83"/>
        <v>0</v>
      </c>
    </row>
    <row r="1067" spans="1:16" x14ac:dyDescent="0.25">
      <c r="A1067">
        <v>1314321</v>
      </c>
      <c r="B1067">
        <v>1178</v>
      </c>
      <c r="C1067">
        <v>179888</v>
      </c>
      <c r="D1067" t="s">
        <v>13</v>
      </c>
      <c r="E1067" t="s">
        <v>12</v>
      </c>
      <c r="F1067" s="5">
        <v>110</v>
      </c>
      <c r="G1067" s="5">
        <v>233845</v>
      </c>
      <c r="H1067" s="5">
        <v>30</v>
      </c>
      <c r="I1067" s="8">
        <v>40.730000619999998</v>
      </c>
      <c r="J1067" s="5">
        <v>3</v>
      </c>
      <c r="K1067" s="5">
        <v>0</v>
      </c>
      <c r="L1067" s="14">
        <f t="shared" si="80"/>
        <v>0.1741752041737048</v>
      </c>
      <c r="M1067" s="14">
        <f t="shared" si="84"/>
        <v>1.3576666873333332</v>
      </c>
      <c r="N1067" s="20">
        <f t="shared" si="81"/>
        <v>1.2829010669460541E-4</v>
      </c>
      <c r="O1067" s="14" t="str">
        <f t="shared" si="82"/>
        <v xml:space="preserve"> </v>
      </c>
      <c r="P1067" s="20">
        <f t="shared" si="83"/>
        <v>0</v>
      </c>
    </row>
    <row r="1068" spans="1:16" x14ac:dyDescent="0.25">
      <c r="A1068">
        <v>1314323</v>
      </c>
      <c r="B1068">
        <v>1178</v>
      </c>
      <c r="C1068">
        <v>179890</v>
      </c>
      <c r="D1068" t="s">
        <v>13</v>
      </c>
      <c r="E1068" t="s">
        <v>12</v>
      </c>
      <c r="F1068" s="5">
        <v>112</v>
      </c>
      <c r="G1068" s="5">
        <v>155426</v>
      </c>
      <c r="H1068" s="5">
        <v>17</v>
      </c>
      <c r="I1068" s="8">
        <v>25.010000229999999</v>
      </c>
      <c r="J1068" s="5">
        <v>3</v>
      </c>
      <c r="K1068" s="5">
        <v>0</v>
      </c>
      <c r="L1068" s="14">
        <f t="shared" si="80"/>
        <v>0.16091259010718928</v>
      </c>
      <c r="M1068" s="14">
        <f t="shared" si="84"/>
        <v>1.4711764841176471</v>
      </c>
      <c r="N1068" s="20">
        <f t="shared" si="81"/>
        <v>1.0937680954280493E-4</v>
      </c>
      <c r="O1068" s="14" t="str">
        <f t="shared" si="82"/>
        <v xml:space="preserve"> </v>
      </c>
      <c r="P1068" s="20">
        <f t="shared" si="83"/>
        <v>0</v>
      </c>
    </row>
    <row r="1069" spans="1:16" x14ac:dyDescent="0.25">
      <c r="A1069">
        <v>1314324</v>
      </c>
      <c r="B1069">
        <v>1178</v>
      </c>
      <c r="C1069">
        <v>179891</v>
      </c>
      <c r="D1069" t="s">
        <v>13</v>
      </c>
      <c r="E1069" t="s">
        <v>12</v>
      </c>
      <c r="F1069" s="5">
        <v>113</v>
      </c>
      <c r="G1069" s="5">
        <v>97540</v>
      </c>
      <c r="H1069" s="5">
        <v>8</v>
      </c>
      <c r="I1069" s="8">
        <v>11.519999500000001</v>
      </c>
      <c r="J1069" s="5">
        <v>2</v>
      </c>
      <c r="K1069" s="5">
        <v>1</v>
      </c>
      <c r="L1069" s="14">
        <f t="shared" si="80"/>
        <v>0.11810538753331967</v>
      </c>
      <c r="M1069" s="14">
        <f t="shared" si="84"/>
        <v>1.4399999375000001</v>
      </c>
      <c r="N1069" s="20">
        <f t="shared" si="81"/>
        <v>8.2017633791265127E-5</v>
      </c>
      <c r="O1069" s="14">
        <f t="shared" si="82"/>
        <v>11.519999500000001</v>
      </c>
      <c r="P1069" s="20">
        <f t="shared" si="83"/>
        <v>0.125</v>
      </c>
    </row>
    <row r="1070" spans="1:16" x14ac:dyDescent="0.25">
      <c r="A1070">
        <v>1314325</v>
      </c>
      <c r="B1070">
        <v>1178</v>
      </c>
      <c r="C1070">
        <v>179892</v>
      </c>
      <c r="D1070" t="s">
        <v>13</v>
      </c>
      <c r="E1070" t="s">
        <v>12</v>
      </c>
      <c r="F1070" s="5">
        <v>114</v>
      </c>
      <c r="G1070" s="5">
        <v>61441</v>
      </c>
      <c r="H1070" s="5">
        <v>5</v>
      </c>
      <c r="I1070" s="8">
        <v>7.7000000479999997</v>
      </c>
      <c r="J1070" s="5">
        <v>1</v>
      </c>
      <c r="K1070" s="5">
        <v>0</v>
      </c>
      <c r="L1070" s="14">
        <f t="shared" si="80"/>
        <v>0.125323481844371</v>
      </c>
      <c r="M1070" s="14">
        <f t="shared" si="84"/>
        <v>1.5400000095999999</v>
      </c>
      <c r="N1070" s="20">
        <f t="shared" si="81"/>
        <v>8.1378883807229705E-5</v>
      </c>
      <c r="O1070" s="14" t="str">
        <f t="shared" si="82"/>
        <v xml:space="preserve"> </v>
      </c>
      <c r="P1070" s="20">
        <f t="shared" si="83"/>
        <v>0</v>
      </c>
    </row>
    <row r="1071" spans="1:16" x14ac:dyDescent="0.25">
      <c r="A1071">
        <v>1314326</v>
      </c>
      <c r="B1071">
        <v>1178</v>
      </c>
      <c r="C1071">
        <v>179893</v>
      </c>
      <c r="D1071" t="s">
        <v>14</v>
      </c>
      <c r="E1071" t="s">
        <v>12</v>
      </c>
      <c r="F1071" s="5">
        <v>100</v>
      </c>
      <c r="G1071" s="5">
        <v>76703</v>
      </c>
      <c r="H1071" s="5">
        <v>9</v>
      </c>
      <c r="I1071" s="8">
        <v>12.149999619999999</v>
      </c>
      <c r="J1071" s="5">
        <v>3</v>
      </c>
      <c r="K1071" s="5">
        <v>1</v>
      </c>
      <c r="L1071" s="14">
        <f t="shared" si="80"/>
        <v>0.1584031865767962</v>
      </c>
      <c r="M1071" s="14">
        <f t="shared" si="84"/>
        <v>1.3499999577777777</v>
      </c>
      <c r="N1071" s="20">
        <f t="shared" si="81"/>
        <v>1.1733569743034823E-4</v>
      </c>
      <c r="O1071" s="14">
        <f t="shared" si="82"/>
        <v>12.149999619999999</v>
      </c>
      <c r="P1071" s="20">
        <f t="shared" si="83"/>
        <v>0.1111111111111111</v>
      </c>
    </row>
    <row r="1072" spans="1:16" x14ac:dyDescent="0.25">
      <c r="A1072">
        <v>1314327</v>
      </c>
      <c r="B1072">
        <v>1178</v>
      </c>
      <c r="C1072">
        <v>179894</v>
      </c>
      <c r="D1072" t="s">
        <v>14</v>
      </c>
      <c r="E1072" t="s">
        <v>12</v>
      </c>
      <c r="F1072" s="5">
        <v>101</v>
      </c>
      <c r="G1072" s="5">
        <v>68619</v>
      </c>
      <c r="H1072" s="5">
        <v>10</v>
      </c>
      <c r="I1072" s="8">
        <v>14.960000340000001</v>
      </c>
      <c r="J1072" s="5">
        <v>1</v>
      </c>
      <c r="K1072" s="5">
        <v>0</v>
      </c>
      <c r="L1072" s="14">
        <f t="shared" si="80"/>
        <v>0.21801542342499894</v>
      </c>
      <c r="M1072" s="14">
        <f t="shared" si="84"/>
        <v>1.4960000340000001</v>
      </c>
      <c r="N1072" s="20">
        <f t="shared" si="81"/>
        <v>1.4573223159766247E-4</v>
      </c>
      <c r="O1072" s="14" t="str">
        <f t="shared" si="82"/>
        <v xml:space="preserve"> </v>
      </c>
      <c r="P1072" s="20">
        <f t="shared" si="83"/>
        <v>0</v>
      </c>
    </row>
    <row r="1073" spans="1:16" x14ac:dyDescent="0.25">
      <c r="A1073">
        <v>1314330</v>
      </c>
      <c r="B1073">
        <v>1178</v>
      </c>
      <c r="C1073">
        <v>179897</v>
      </c>
      <c r="D1073" t="s">
        <v>14</v>
      </c>
      <c r="E1073" t="s">
        <v>12</v>
      </c>
      <c r="F1073" s="5">
        <v>104</v>
      </c>
      <c r="G1073" s="5">
        <v>17559</v>
      </c>
      <c r="H1073" s="5">
        <v>1</v>
      </c>
      <c r="I1073" s="8">
        <v>1.4900000099999999</v>
      </c>
      <c r="J1073" s="5">
        <v>1</v>
      </c>
      <c r="K1073" s="5">
        <v>1</v>
      </c>
      <c r="L1073" s="14">
        <f t="shared" si="80"/>
        <v>8.4856769178199204E-2</v>
      </c>
      <c r="M1073" s="14">
        <f t="shared" si="84"/>
        <v>1.4900000099999999</v>
      </c>
      <c r="N1073" s="20">
        <f t="shared" si="81"/>
        <v>5.6950851415228659E-5</v>
      </c>
      <c r="O1073" s="14">
        <f t="shared" si="82"/>
        <v>1.4900000099999999</v>
      </c>
      <c r="P1073" s="20">
        <f t="shared" si="83"/>
        <v>1</v>
      </c>
    </row>
    <row r="1074" spans="1:16" x14ac:dyDescent="0.25">
      <c r="A1074">
        <v>1314331</v>
      </c>
      <c r="B1074">
        <v>1178</v>
      </c>
      <c r="C1074">
        <v>179898</v>
      </c>
      <c r="D1074" t="s">
        <v>14</v>
      </c>
      <c r="E1074" t="s">
        <v>12</v>
      </c>
      <c r="F1074" s="5">
        <v>105</v>
      </c>
      <c r="G1074" s="5">
        <v>137879</v>
      </c>
      <c r="H1074" s="5">
        <v>19</v>
      </c>
      <c r="I1074" s="8">
        <v>28.470000030000001</v>
      </c>
      <c r="J1074" s="5">
        <v>2</v>
      </c>
      <c r="K1074" s="5">
        <v>0</v>
      </c>
      <c r="L1074" s="14">
        <f t="shared" si="80"/>
        <v>0.20648539683345543</v>
      </c>
      <c r="M1074" s="14">
        <f t="shared" si="84"/>
        <v>1.4984210542105263</v>
      </c>
      <c r="N1074" s="20">
        <f t="shared" si="81"/>
        <v>1.3780198579914273E-4</v>
      </c>
      <c r="O1074" s="14" t="str">
        <f t="shared" si="82"/>
        <v xml:space="preserve"> </v>
      </c>
      <c r="P1074" s="20">
        <f t="shared" si="83"/>
        <v>0</v>
      </c>
    </row>
    <row r="1075" spans="1:16" x14ac:dyDescent="0.25">
      <c r="A1075">
        <v>1314332</v>
      </c>
      <c r="B1075">
        <v>1178</v>
      </c>
      <c r="C1075">
        <v>179899</v>
      </c>
      <c r="D1075" t="s">
        <v>14</v>
      </c>
      <c r="E1075" t="s">
        <v>12</v>
      </c>
      <c r="F1075" s="5">
        <v>106</v>
      </c>
      <c r="G1075" s="5">
        <v>67710</v>
      </c>
      <c r="H1075" s="5">
        <v>10</v>
      </c>
      <c r="I1075" s="8">
        <v>15.14999998</v>
      </c>
      <c r="J1075" s="5">
        <v>1</v>
      </c>
      <c r="K1075" s="5">
        <v>0</v>
      </c>
      <c r="L1075" s="14">
        <f t="shared" si="80"/>
        <v>0.2237483382070595</v>
      </c>
      <c r="M1075" s="14">
        <f t="shared" si="84"/>
        <v>1.514999998</v>
      </c>
      <c r="N1075" s="20">
        <f t="shared" si="81"/>
        <v>1.4768867227883621E-4</v>
      </c>
      <c r="O1075" s="14" t="str">
        <f t="shared" si="82"/>
        <v xml:space="preserve"> </v>
      </c>
      <c r="P1075" s="20">
        <f t="shared" si="83"/>
        <v>0</v>
      </c>
    </row>
    <row r="1076" spans="1:16" x14ac:dyDescent="0.25">
      <c r="A1076">
        <v>1314333</v>
      </c>
      <c r="B1076">
        <v>1178</v>
      </c>
      <c r="C1076">
        <v>179900</v>
      </c>
      <c r="D1076" t="s">
        <v>14</v>
      </c>
      <c r="E1076" t="s">
        <v>12</v>
      </c>
      <c r="F1076" s="5">
        <v>107</v>
      </c>
      <c r="G1076" s="5">
        <v>348180</v>
      </c>
      <c r="H1076" s="5">
        <v>41</v>
      </c>
      <c r="I1076" s="8">
        <v>60.229999069999998</v>
      </c>
      <c r="J1076" s="5">
        <v>3</v>
      </c>
      <c r="K1076" s="5">
        <v>1</v>
      </c>
      <c r="L1076" s="14">
        <f t="shared" si="80"/>
        <v>0.17298523484979034</v>
      </c>
      <c r="M1076" s="14">
        <f t="shared" si="84"/>
        <v>1.4690243675609755</v>
      </c>
      <c r="N1076" s="20">
        <f t="shared" si="81"/>
        <v>1.1775518410017807E-4</v>
      </c>
      <c r="O1076" s="14">
        <f t="shared" si="82"/>
        <v>60.229999069999998</v>
      </c>
      <c r="P1076" s="20">
        <f t="shared" si="83"/>
        <v>2.4390243902439025E-2</v>
      </c>
    </row>
    <row r="1077" spans="1:16" x14ac:dyDescent="0.25">
      <c r="A1077">
        <v>1314334</v>
      </c>
      <c r="B1077">
        <v>1178</v>
      </c>
      <c r="C1077">
        <v>179901</v>
      </c>
      <c r="D1077" t="s">
        <v>14</v>
      </c>
      <c r="E1077" t="s">
        <v>12</v>
      </c>
      <c r="F1077" s="5">
        <v>108</v>
      </c>
      <c r="G1077" s="5">
        <v>146246</v>
      </c>
      <c r="H1077" s="5">
        <v>18</v>
      </c>
      <c r="I1077" s="8">
        <v>28.719999550000001</v>
      </c>
      <c r="J1077" s="5">
        <v>3</v>
      </c>
      <c r="K1077" s="5">
        <v>1</v>
      </c>
      <c r="L1077" s="14">
        <f t="shared" si="80"/>
        <v>0.19638143641535494</v>
      </c>
      <c r="M1077" s="14">
        <f t="shared" si="84"/>
        <v>1.5955555305555555</v>
      </c>
      <c r="N1077" s="20">
        <f t="shared" si="81"/>
        <v>1.2308028937543591E-4</v>
      </c>
      <c r="O1077" s="14">
        <f t="shared" si="82"/>
        <v>28.719999550000001</v>
      </c>
      <c r="P1077" s="20">
        <f t="shared" si="83"/>
        <v>5.5555555555555552E-2</v>
      </c>
    </row>
    <row r="1078" spans="1:16" x14ac:dyDescent="0.25">
      <c r="A1078">
        <v>1314336</v>
      </c>
      <c r="B1078">
        <v>1178</v>
      </c>
      <c r="C1078">
        <v>179903</v>
      </c>
      <c r="D1078" t="s">
        <v>14</v>
      </c>
      <c r="E1078" t="s">
        <v>12</v>
      </c>
      <c r="F1078" s="5">
        <v>110</v>
      </c>
      <c r="G1078" s="5">
        <v>187236</v>
      </c>
      <c r="H1078" s="5">
        <v>24</v>
      </c>
      <c r="I1078" s="8">
        <v>34.869999649999997</v>
      </c>
      <c r="J1078" s="5">
        <v>2</v>
      </c>
      <c r="K1078" s="5">
        <v>2</v>
      </c>
      <c r="L1078" s="14">
        <f t="shared" si="80"/>
        <v>0.18623555112264734</v>
      </c>
      <c r="M1078" s="14">
        <f t="shared" si="84"/>
        <v>1.4529166520833332</v>
      </c>
      <c r="N1078" s="20">
        <f t="shared" si="81"/>
        <v>1.2818047811318336E-4</v>
      </c>
      <c r="O1078" s="14">
        <f t="shared" si="82"/>
        <v>17.434999824999998</v>
      </c>
      <c r="P1078" s="20">
        <f t="shared" si="83"/>
        <v>8.3333333333333329E-2</v>
      </c>
    </row>
    <row r="1079" spans="1:16" x14ac:dyDescent="0.25">
      <c r="A1079">
        <v>1314337</v>
      </c>
      <c r="B1079">
        <v>1178</v>
      </c>
      <c r="C1079">
        <v>179904</v>
      </c>
      <c r="D1079" t="s">
        <v>14</v>
      </c>
      <c r="E1079" t="s">
        <v>12</v>
      </c>
      <c r="F1079" s="5">
        <v>111</v>
      </c>
      <c r="G1079" s="5">
        <v>72157</v>
      </c>
      <c r="H1079" s="5">
        <v>9</v>
      </c>
      <c r="I1079" s="8">
        <v>13.50000036</v>
      </c>
      <c r="J1079" s="5">
        <v>1</v>
      </c>
      <c r="K1079" s="5">
        <v>1</v>
      </c>
      <c r="L1079" s="14">
        <f t="shared" si="80"/>
        <v>0.18709204041187966</v>
      </c>
      <c r="M1079" s="14">
        <f t="shared" si="84"/>
        <v>1.50000004</v>
      </c>
      <c r="N1079" s="20">
        <f t="shared" si="81"/>
        <v>1.2472802361517248E-4</v>
      </c>
      <c r="O1079" s="14">
        <f t="shared" si="82"/>
        <v>13.50000036</v>
      </c>
      <c r="P1079" s="20">
        <f t="shared" si="83"/>
        <v>0.1111111111111111</v>
      </c>
    </row>
    <row r="1080" spans="1:16" x14ac:dyDescent="0.25">
      <c r="A1080">
        <v>1314338</v>
      </c>
      <c r="B1080">
        <v>1178</v>
      </c>
      <c r="C1080">
        <v>179905</v>
      </c>
      <c r="D1080" t="s">
        <v>14</v>
      </c>
      <c r="E1080" t="s">
        <v>12</v>
      </c>
      <c r="F1080" s="5">
        <v>112</v>
      </c>
      <c r="G1080" s="5">
        <v>91180</v>
      </c>
      <c r="H1080" s="5">
        <v>10</v>
      </c>
      <c r="I1080" s="8">
        <v>13.559999940000001</v>
      </c>
      <c r="J1080" s="5">
        <v>1</v>
      </c>
      <c r="K1080" s="5">
        <v>0</v>
      </c>
      <c r="L1080" s="14">
        <f t="shared" si="80"/>
        <v>0.14871682320684362</v>
      </c>
      <c r="M1080" s="14">
        <f t="shared" si="84"/>
        <v>1.355999994</v>
      </c>
      <c r="N1080" s="20">
        <f t="shared" si="81"/>
        <v>1.0967317394165388E-4</v>
      </c>
      <c r="O1080" s="14" t="str">
        <f t="shared" si="82"/>
        <v xml:space="preserve"> </v>
      </c>
      <c r="P1080" s="20">
        <f t="shared" si="83"/>
        <v>0</v>
      </c>
    </row>
    <row r="1081" spans="1:16" x14ac:dyDescent="0.25">
      <c r="A1081">
        <v>1314339</v>
      </c>
      <c r="B1081">
        <v>1178</v>
      </c>
      <c r="C1081">
        <v>179906</v>
      </c>
      <c r="D1081" t="s">
        <v>14</v>
      </c>
      <c r="E1081" t="s">
        <v>12</v>
      </c>
      <c r="F1081" s="5">
        <v>113</v>
      </c>
      <c r="G1081" s="5">
        <v>86293</v>
      </c>
      <c r="H1081" s="5">
        <v>6</v>
      </c>
      <c r="I1081" s="8">
        <v>9.2599998709999998</v>
      </c>
      <c r="J1081" s="5">
        <v>1</v>
      </c>
      <c r="K1081" s="5">
        <v>1</v>
      </c>
      <c r="L1081" s="14">
        <f t="shared" si="80"/>
        <v>0.10730881845572642</v>
      </c>
      <c r="M1081" s="14">
        <f t="shared" si="84"/>
        <v>1.5433333118333332</v>
      </c>
      <c r="N1081" s="20">
        <f t="shared" si="81"/>
        <v>6.9530552883779686E-5</v>
      </c>
      <c r="O1081" s="14">
        <f t="shared" si="82"/>
        <v>9.2599998709999998</v>
      </c>
      <c r="P1081" s="20">
        <f t="shared" si="83"/>
        <v>0.16666666666666666</v>
      </c>
    </row>
    <row r="1082" spans="1:16" x14ac:dyDescent="0.25">
      <c r="A1082">
        <v>1314341</v>
      </c>
      <c r="B1082">
        <v>1178</v>
      </c>
      <c r="C1082">
        <v>179908</v>
      </c>
      <c r="D1082" t="s">
        <v>15</v>
      </c>
      <c r="E1082" t="s">
        <v>12</v>
      </c>
      <c r="F1082" s="5">
        <v>100</v>
      </c>
      <c r="G1082" s="5">
        <v>101410</v>
      </c>
      <c r="H1082" s="5">
        <v>12</v>
      </c>
      <c r="I1082" s="8">
        <v>17.940000059999999</v>
      </c>
      <c r="J1082" s="5">
        <v>4</v>
      </c>
      <c r="K1082" s="5">
        <v>0</v>
      </c>
      <c r="L1082" s="14">
        <f t="shared" si="80"/>
        <v>0.17690563120007888</v>
      </c>
      <c r="M1082" s="14">
        <f t="shared" si="84"/>
        <v>1.4950000049999999</v>
      </c>
      <c r="N1082" s="20">
        <f t="shared" si="81"/>
        <v>1.1833152549058279E-4</v>
      </c>
      <c r="O1082" s="14" t="str">
        <f t="shared" si="82"/>
        <v xml:space="preserve"> </v>
      </c>
      <c r="P1082" s="20">
        <f t="shared" si="83"/>
        <v>0</v>
      </c>
    </row>
    <row r="1083" spans="1:16" x14ac:dyDescent="0.25">
      <c r="A1083">
        <v>1314343</v>
      </c>
      <c r="B1083">
        <v>1178</v>
      </c>
      <c r="C1083">
        <v>179910</v>
      </c>
      <c r="D1083" t="s">
        <v>15</v>
      </c>
      <c r="E1083" t="s">
        <v>12</v>
      </c>
      <c r="F1083" s="5">
        <v>102</v>
      </c>
      <c r="G1083" s="5">
        <v>134245</v>
      </c>
      <c r="H1083" s="5">
        <v>18</v>
      </c>
      <c r="I1083" s="8">
        <v>25.750000239999999</v>
      </c>
      <c r="J1083" s="5">
        <v>2</v>
      </c>
      <c r="K1083" s="5">
        <v>1</v>
      </c>
      <c r="L1083" s="14">
        <f t="shared" si="80"/>
        <v>0.19181347714998695</v>
      </c>
      <c r="M1083" s="14">
        <f t="shared" si="84"/>
        <v>1.4305555688888889</v>
      </c>
      <c r="N1083" s="20">
        <f t="shared" si="81"/>
        <v>1.3408320607843867E-4</v>
      </c>
      <c r="O1083" s="14">
        <f t="shared" si="82"/>
        <v>25.750000239999999</v>
      </c>
      <c r="P1083" s="20">
        <f t="shared" si="83"/>
        <v>5.5555555555555552E-2</v>
      </c>
    </row>
    <row r="1084" spans="1:16" x14ac:dyDescent="0.25">
      <c r="A1084">
        <v>1314345</v>
      </c>
      <c r="B1084">
        <v>1178</v>
      </c>
      <c r="C1084">
        <v>179912</v>
      </c>
      <c r="D1084" t="s">
        <v>15</v>
      </c>
      <c r="E1084" t="s">
        <v>12</v>
      </c>
      <c r="F1084" s="5">
        <v>104</v>
      </c>
      <c r="G1084" s="5">
        <v>125650</v>
      </c>
      <c r="H1084" s="5">
        <v>20</v>
      </c>
      <c r="I1084" s="8">
        <v>30.080000760000001</v>
      </c>
      <c r="J1084" s="5">
        <v>4</v>
      </c>
      <c r="K1084" s="5">
        <v>0</v>
      </c>
      <c r="L1084" s="14">
        <f t="shared" si="80"/>
        <v>0.23939515129327496</v>
      </c>
      <c r="M1084" s="14">
        <f t="shared" si="84"/>
        <v>1.504000038</v>
      </c>
      <c r="N1084" s="20">
        <f t="shared" si="81"/>
        <v>1.5917230401910068E-4</v>
      </c>
      <c r="O1084" s="14" t="str">
        <f t="shared" si="82"/>
        <v xml:space="preserve"> </v>
      </c>
      <c r="P1084" s="20">
        <f t="shared" si="83"/>
        <v>0</v>
      </c>
    </row>
    <row r="1085" spans="1:16" x14ac:dyDescent="0.25">
      <c r="A1085">
        <v>1314346</v>
      </c>
      <c r="B1085">
        <v>1178</v>
      </c>
      <c r="C1085">
        <v>179913</v>
      </c>
      <c r="D1085" t="s">
        <v>15</v>
      </c>
      <c r="E1085" t="s">
        <v>12</v>
      </c>
      <c r="F1085" s="5">
        <v>105</v>
      </c>
      <c r="G1085" s="5">
        <v>50406</v>
      </c>
      <c r="H1085" s="5">
        <v>5</v>
      </c>
      <c r="I1085" s="8">
        <v>7.26000011</v>
      </c>
      <c r="J1085" s="5">
        <v>1</v>
      </c>
      <c r="K1085" s="5">
        <v>1</v>
      </c>
      <c r="L1085" s="14">
        <f t="shared" si="80"/>
        <v>0.14403047474507005</v>
      </c>
      <c r="M1085" s="14">
        <f t="shared" si="84"/>
        <v>1.452000022</v>
      </c>
      <c r="N1085" s="20">
        <f t="shared" si="81"/>
        <v>9.9194540332500096E-5</v>
      </c>
      <c r="O1085" s="14">
        <f t="shared" si="82"/>
        <v>7.26000011</v>
      </c>
      <c r="P1085" s="20">
        <f t="shared" si="83"/>
        <v>0.2</v>
      </c>
    </row>
    <row r="1086" spans="1:16" x14ac:dyDescent="0.25">
      <c r="A1086">
        <v>1314348</v>
      </c>
      <c r="B1086">
        <v>1178</v>
      </c>
      <c r="C1086">
        <v>179915</v>
      </c>
      <c r="D1086" t="s">
        <v>15</v>
      </c>
      <c r="E1086" t="s">
        <v>12</v>
      </c>
      <c r="F1086" s="5">
        <v>107</v>
      </c>
      <c r="G1086" s="5">
        <v>121769</v>
      </c>
      <c r="H1086" s="5">
        <v>13</v>
      </c>
      <c r="I1086" s="8">
        <v>18.419999959999998</v>
      </c>
      <c r="J1086" s="5">
        <v>2</v>
      </c>
      <c r="K1086" s="5">
        <v>1</v>
      </c>
      <c r="L1086" s="14">
        <f t="shared" si="80"/>
        <v>0.15127002734686168</v>
      </c>
      <c r="M1086" s="14">
        <f t="shared" si="84"/>
        <v>1.4169230738461538</v>
      </c>
      <c r="N1086" s="20">
        <f t="shared" si="81"/>
        <v>1.0675952007489591E-4</v>
      </c>
      <c r="O1086" s="14">
        <f t="shared" si="82"/>
        <v>18.419999959999998</v>
      </c>
      <c r="P1086" s="20">
        <f t="shared" si="83"/>
        <v>7.6923076923076927E-2</v>
      </c>
    </row>
    <row r="1087" spans="1:16" x14ac:dyDescent="0.25">
      <c r="A1087">
        <v>1314349</v>
      </c>
      <c r="B1087">
        <v>1178</v>
      </c>
      <c r="C1087">
        <v>179916</v>
      </c>
      <c r="D1087" t="s">
        <v>15</v>
      </c>
      <c r="E1087" t="s">
        <v>12</v>
      </c>
      <c r="F1087" s="5">
        <v>108</v>
      </c>
      <c r="G1087" s="5">
        <v>267106</v>
      </c>
      <c r="H1087" s="5">
        <v>34</v>
      </c>
      <c r="I1087" s="8">
        <v>50.5</v>
      </c>
      <c r="J1087" s="5">
        <v>4</v>
      </c>
      <c r="K1087" s="5">
        <v>1</v>
      </c>
      <c r="L1087" s="14">
        <f t="shared" si="80"/>
        <v>0.18906351785433498</v>
      </c>
      <c r="M1087" s="14">
        <f t="shared" si="84"/>
        <v>1.4852941176470589</v>
      </c>
      <c r="N1087" s="20">
        <f t="shared" si="81"/>
        <v>1.2729028924846316E-4</v>
      </c>
      <c r="O1087" s="14">
        <f t="shared" si="82"/>
        <v>50.5</v>
      </c>
      <c r="P1087" s="20">
        <f t="shared" si="83"/>
        <v>2.9411764705882353E-2</v>
      </c>
    </row>
    <row r="1088" spans="1:16" x14ac:dyDescent="0.25">
      <c r="A1088">
        <v>1314350</v>
      </c>
      <c r="B1088">
        <v>1178</v>
      </c>
      <c r="C1088">
        <v>179917</v>
      </c>
      <c r="D1088" t="s">
        <v>15</v>
      </c>
      <c r="E1088" t="s">
        <v>12</v>
      </c>
      <c r="F1088" s="5">
        <v>109</v>
      </c>
      <c r="G1088" s="5">
        <v>365539</v>
      </c>
      <c r="H1088" s="5">
        <v>57</v>
      </c>
      <c r="I1088" s="8">
        <v>82.139999149999994</v>
      </c>
      <c r="J1088" s="5">
        <v>5</v>
      </c>
      <c r="K1088" s="5">
        <v>2</v>
      </c>
      <c r="L1088" s="14">
        <f t="shared" si="80"/>
        <v>0.22470926262314006</v>
      </c>
      <c r="M1088" s="14">
        <f t="shared" si="84"/>
        <v>1.4410526166666666</v>
      </c>
      <c r="N1088" s="20">
        <f t="shared" si="81"/>
        <v>1.5593411373341831E-4</v>
      </c>
      <c r="O1088" s="14">
        <f t="shared" si="82"/>
        <v>41.069999574999997</v>
      </c>
      <c r="P1088" s="20">
        <f t="shared" si="83"/>
        <v>3.5087719298245612E-2</v>
      </c>
    </row>
    <row r="1089" spans="1:16" x14ac:dyDescent="0.25">
      <c r="A1089">
        <v>1314351</v>
      </c>
      <c r="B1089">
        <v>1178</v>
      </c>
      <c r="C1089">
        <v>179918</v>
      </c>
      <c r="D1089" t="s">
        <v>15</v>
      </c>
      <c r="E1089" t="s">
        <v>12</v>
      </c>
      <c r="F1089" s="5">
        <v>110</v>
      </c>
      <c r="G1089" s="5">
        <v>188758</v>
      </c>
      <c r="H1089" s="5">
        <v>25</v>
      </c>
      <c r="I1089" s="8">
        <v>36.600000379999997</v>
      </c>
      <c r="J1089" s="5">
        <v>2</v>
      </c>
      <c r="K1089" s="5">
        <v>1</v>
      </c>
      <c r="L1089" s="14">
        <f t="shared" si="80"/>
        <v>0.19389906854279021</v>
      </c>
      <c r="M1089" s="14">
        <f t="shared" si="84"/>
        <v>1.4640000151999999</v>
      </c>
      <c r="N1089" s="20">
        <f t="shared" si="81"/>
        <v>1.3244471757488423E-4</v>
      </c>
      <c r="O1089" s="14">
        <f t="shared" si="82"/>
        <v>36.600000379999997</v>
      </c>
      <c r="P1089" s="20">
        <f t="shared" si="83"/>
        <v>0.04</v>
      </c>
    </row>
    <row r="1090" spans="1:16" x14ac:dyDescent="0.25">
      <c r="A1090">
        <v>1314353</v>
      </c>
      <c r="B1090">
        <v>1178</v>
      </c>
      <c r="C1090">
        <v>179920</v>
      </c>
      <c r="D1090" t="s">
        <v>15</v>
      </c>
      <c r="E1090" t="s">
        <v>12</v>
      </c>
      <c r="F1090" s="5">
        <v>112</v>
      </c>
      <c r="G1090" s="5">
        <v>108426</v>
      </c>
      <c r="H1090" s="5">
        <v>13</v>
      </c>
      <c r="I1090" s="8">
        <v>19.580000160000001</v>
      </c>
      <c r="J1090" s="5">
        <v>1</v>
      </c>
      <c r="K1090" s="5">
        <v>0</v>
      </c>
      <c r="L1090" s="14">
        <f t="shared" si="80"/>
        <v>0.1805839942449228</v>
      </c>
      <c r="M1090" s="14">
        <f t="shared" si="84"/>
        <v>1.5061538584615386</v>
      </c>
      <c r="N1090" s="20">
        <f t="shared" si="81"/>
        <v>1.1989744157305443E-4</v>
      </c>
      <c r="O1090" s="14" t="str">
        <f t="shared" si="82"/>
        <v xml:space="preserve"> </v>
      </c>
      <c r="P1090" s="20">
        <f t="shared" si="83"/>
        <v>0</v>
      </c>
    </row>
    <row r="1091" spans="1:16" x14ac:dyDescent="0.25">
      <c r="A1091">
        <v>1314354</v>
      </c>
      <c r="B1091">
        <v>1178</v>
      </c>
      <c r="C1091">
        <v>179921</v>
      </c>
      <c r="D1091" t="s">
        <v>15</v>
      </c>
      <c r="E1091" t="s">
        <v>12</v>
      </c>
      <c r="F1091" s="5">
        <v>113</v>
      </c>
      <c r="G1091" s="5">
        <v>138525</v>
      </c>
      <c r="H1091" s="5">
        <v>9</v>
      </c>
      <c r="I1091" s="8">
        <v>13.65000045</v>
      </c>
      <c r="J1091" s="5">
        <v>3</v>
      </c>
      <c r="K1091" s="5">
        <v>0</v>
      </c>
      <c r="L1091" s="14">
        <f t="shared" ref="L1091:L1144" si="85">IF(G1091=0,0,(I1091/G1091)*1000)</f>
        <v>9.8538173253925276E-2</v>
      </c>
      <c r="M1091" s="14">
        <f t="shared" si="84"/>
        <v>1.5166667166666667</v>
      </c>
      <c r="N1091" s="20">
        <f t="shared" ref="N1091:N1144" si="86">IF(G1091=0,0,(H1091/G1091))</f>
        <v>6.4970221981591769E-5</v>
      </c>
      <c r="O1091" s="14" t="str">
        <f t="shared" ref="O1091:O1144" si="87">IF(K1091&gt;0, I1091/K1091, " ")</f>
        <v xml:space="preserve"> </v>
      </c>
      <c r="P1091" s="20">
        <f t="shared" ref="P1091:P1144" si="88">IF(H1091=0,0,(K1091/H1091))</f>
        <v>0</v>
      </c>
    </row>
    <row r="1092" spans="1:16" x14ac:dyDescent="0.25">
      <c r="A1092">
        <v>1314355</v>
      </c>
      <c r="B1092">
        <v>1178</v>
      </c>
      <c r="C1092">
        <v>179922</v>
      </c>
      <c r="D1092" t="s">
        <v>15</v>
      </c>
      <c r="E1092" t="s">
        <v>12</v>
      </c>
      <c r="F1092" s="5">
        <v>114</v>
      </c>
      <c r="G1092" s="5">
        <v>150858</v>
      </c>
      <c r="H1092" s="5">
        <v>21</v>
      </c>
      <c r="I1092" s="8">
        <v>30.26000011</v>
      </c>
      <c r="J1092" s="5">
        <v>1</v>
      </c>
      <c r="K1092" s="5">
        <v>0</v>
      </c>
      <c r="L1092" s="14">
        <f t="shared" si="85"/>
        <v>0.20058598224820692</v>
      </c>
      <c r="M1092" s="14">
        <f t="shared" si="84"/>
        <v>1.4409523861904763</v>
      </c>
      <c r="N1092" s="20">
        <f t="shared" si="86"/>
        <v>1.3920375452412202E-4</v>
      </c>
      <c r="O1092" s="14" t="str">
        <f t="shared" si="87"/>
        <v xml:space="preserve"> </v>
      </c>
      <c r="P1092" s="20">
        <f t="shared" si="88"/>
        <v>0</v>
      </c>
    </row>
    <row r="1093" spans="1:16" x14ac:dyDescent="0.25">
      <c r="A1093">
        <v>1314357</v>
      </c>
      <c r="B1093">
        <v>1178</v>
      </c>
      <c r="C1093">
        <v>179924</v>
      </c>
      <c r="D1093" t="s">
        <v>11</v>
      </c>
      <c r="E1093" t="s">
        <v>16</v>
      </c>
      <c r="F1093" s="5">
        <v>101</v>
      </c>
      <c r="G1093" s="5">
        <v>524306</v>
      </c>
      <c r="H1093" s="5">
        <v>81</v>
      </c>
      <c r="I1093" s="8">
        <v>113.68000290000001</v>
      </c>
      <c r="J1093" s="5">
        <v>10</v>
      </c>
      <c r="K1093" s="5">
        <v>4</v>
      </c>
      <c r="L1093" s="14">
        <f t="shared" si="85"/>
        <v>0.21681995418705871</v>
      </c>
      <c r="M1093" s="14">
        <f t="shared" ref="M1093:M1144" si="89">IF(H1093&gt;0, I1093/H1093, " ")</f>
        <v>1.4034568259259259</v>
      </c>
      <c r="N1093" s="20">
        <f t="shared" si="86"/>
        <v>1.5448993526680983E-4</v>
      </c>
      <c r="O1093" s="14">
        <f t="shared" si="87"/>
        <v>28.420000725000001</v>
      </c>
      <c r="P1093" s="20">
        <f t="shared" si="88"/>
        <v>4.9382716049382713E-2</v>
      </c>
    </row>
    <row r="1094" spans="1:16" x14ac:dyDescent="0.25">
      <c r="A1094">
        <v>1314358</v>
      </c>
      <c r="B1094">
        <v>1178</v>
      </c>
      <c r="C1094">
        <v>179925</v>
      </c>
      <c r="D1094" t="s">
        <v>11</v>
      </c>
      <c r="E1094" t="s">
        <v>16</v>
      </c>
      <c r="F1094" s="5">
        <v>102</v>
      </c>
      <c r="G1094" s="5">
        <v>104496</v>
      </c>
      <c r="H1094" s="5">
        <v>9</v>
      </c>
      <c r="I1094" s="8">
        <v>11.42999983</v>
      </c>
      <c r="J1094" s="5">
        <v>3</v>
      </c>
      <c r="K1094" s="5">
        <v>2</v>
      </c>
      <c r="L1094" s="14">
        <f t="shared" si="85"/>
        <v>0.1093821756813658</v>
      </c>
      <c r="M1094" s="14">
        <f t="shared" si="89"/>
        <v>1.2699999811111111</v>
      </c>
      <c r="N1094" s="20">
        <f t="shared" si="86"/>
        <v>8.6127698667891591E-5</v>
      </c>
      <c r="O1094" s="14">
        <f t="shared" si="87"/>
        <v>5.7149999149999999</v>
      </c>
      <c r="P1094" s="20">
        <f t="shared" si="88"/>
        <v>0.22222222222222221</v>
      </c>
    </row>
    <row r="1095" spans="1:16" x14ac:dyDescent="0.25">
      <c r="A1095">
        <v>1314359</v>
      </c>
      <c r="B1095">
        <v>1178</v>
      </c>
      <c r="C1095">
        <v>179926</v>
      </c>
      <c r="D1095" t="s">
        <v>11</v>
      </c>
      <c r="E1095" t="s">
        <v>16</v>
      </c>
      <c r="F1095" s="5">
        <v>103</v>
      </c>
      <c r="G1095" s="5">
        <v>452519</v>
      </c>
      <c r="H1095" s="5">
        <v>68</v>
      </c>
      <c r="I1095" s="8">
        <v>99.52000237</v>
      </c>
      <c r="J1095" s="5">
        <v>7</v>
      </c>
      <c r="K1095" s="5">
        <v>2</v>
      </c>
      <c r="L1095" s="14">
        <f t="shared" si="85"/>
        <v>0.21992447249728742</v>
      </c>
      <c r="M1095" s="14">
        <f t="shared" si="89"/>
        <v>1.4635294466176472</v>
      </c>
      <c r="N1095" s="20">
        <f t="shared" si="86"/>
        <v>1.5026993341716037E-4</v>
      </c>
      <c r="O1095" s="14">
        <f t="shared" si="87"/>
        <v>49.760001185</v>
      </c>
      <c r="P1095" s="20">
        <f t="shared" si="88"/>
        <v>2.9411764705882353E-2</v>
      </c>
    </row>
    <row r="1096" spans="1:16" x14ac:dyDescent="0.25">
      <c r="A1096">
        <v>1314360</v>
      </c>
      <c r="B1096">
        <v>1178</v>
      </c>
      <c r="C1096">
        <v>179927</v>
      </c>
      <c r="D1096" t="s">
        <v>11</v>
      </c>
      <c r="E1096" t="s">
        <v>16</v>
      </c>
      <c r="F1096" s="5">
        <v>104</v>
      </c>
      <c r="G1096" s="5">
        <v>442919</v>
      </c>
      <c r="H1096" s="5">
        <v>76</v>
      </c>
      <c r="I1096" s="8">
        <v>110.7800021</v>
      </c>
      <c r="J1096" s="5">
        <v>21</v>
      </c>
      <c r="K1096" s="5">
        <v>2</v>
      </c>
      <c r="L1096" s="14">
        <f t="shared" si="85"/>
        <v>0.25011345663654078</v>
      </c>
      <c r="M1096" s="14">
        <f t="shared" si="89"/>
        <v>1.4576316065789474</v>
      </c>
      <c r="N1096" s="20">
        <f t="shared" si="86"/>
        <v>1.7158893612601852E-4</v>
      </c>
      <c r="O1096" s="14">
        <f t="shared" si="87"/>
        <v>55.390001050000002</v>
      </c>
      <c r="P1096" s="20">
        <f t="shared" si="88"/>
        <v>2.6315789473684209E-2</v>
      </c>
    </row>
    <row r="1097" spans="1:16" x14ac:dyDescent="0.25">
      <c r="A1097">
        <v>1314361</v>
      </c>
      <c r="B1097">
        <v>1178</v>
      </c>
      <c r="C1097">
        <v>179928</v>
      </c>
      <c r="D1097" t="s">
        <v>11</v>
      </c>
      <c r="E1097" t="s">
        <v>16</v>
      </c>
      <c r="F1097" s="5">
        <v>105</v>
      </c>
      <c r="G1097" s="5">
        <v>596831</v>
      </c>
      <c r="H1097" s="5">
        <v>86</v>
      </c>
      <c r="I1097" s="8">
        <v>120.8799992</v>
      </c>
      <c r="J1097" s="5">
        <v>11</v>
      </c>
      <c r="K1097" s="5">
        <v>0</v>
      </c>
      <c r="L1097" s="14">
        <f t="shared" si="85"/>
        <v>0.20253639505990809</v>
      </c>
      <c r="M1097" s="14">
        <f t="shared" si="89"/>
        <v>1.4055813860465116</v>
      </c>
      <c r="N1097" s="20">
        <f t="shared" si="86"/>
        <v>1.4409439187977835E-4</v>
      </c>
      <c r="O1097" s="14" t="str">
        <f t="shared" si="87"/>
        <v xml:space="preserve"> </v>
      </c>
      <c r="P1097" s="20">
        <f t="shared" si="88"/>
        <v>0</v>
      </c>
    </row>
    <row r="1098" spans="1:16" x14ac:dyDescent="0.25">
      <c r="A1098">
        <v>1314362</v>
      </c>
      <c r="B1098">
        <v>1178</v>
      </c>
      <c r="C1098">
        <v>179929</v>
      </c>
      <c r="D1098" t="s">
        <v>11</v>
      </c>
      <c r="E1098" t="s">
        <v>16</v>
      </c>
      <c r="F1098" s="5">
        <v>106</v>
      </c>
      <c r="G1098" s="5">
        <v>173912</v>
      </c>
      <c r="H1098" s="5">
        <v>26</v>
      </c>
      <c r="I1098" s="8">
        <v>35.540000319999997</v>
      </c>
      <c r="J1098" s="5">
        <v>2</v>
      </c>
      <c r="K1098" s="5">
        <v>1</v>
      </c>
      <c r="L1098" s="14">
        <f t="shared" si="85"/>
        <v>0.20435622797736785</v>
      </c>
      <c r="M1098" s="14">
        <f t="shared" si="89"/>
        <v>1.3669230892307691</v>
      </c>
      <c r="N1098" s="20">
        <f t="shared" si="86"/>
        <v>1.4950089700538203E-4</v>
      </c>
      <c r="O1098" s="14">
        <f t="shared" si="87"/>
        <v>35.540000319999997</v>
      </c>
      <c r="P1098" s="20">
        <f t="shared" si="88"/>
        <v>3.8461538461538464E-2</v>
      </c>
    </row>
    <row r="1099" spans="1:16" x14ac:dyDescent="0.25">
      <c r="A1099">
        <v>1314363</v>
      </c>
      <c r="B1099">
        <v>1178</v>
      </c>
      <c r="C1099">
        <v>179930</v>
      </c>
      <c r="D1099" t="s">
        <v>11</v>
      </c>
      <c r="E1099" t="s">
        <v>16</v>
      </c>
      <c r="F1099" s="5">
        <v>107</v>
      </c>
      <c r="G1099" s="5">
        <v>780967</v>
      </c>
      <c r="H1099" s="5">
        <v>86</v>
      </c>
      <c r="I1099" s="8">
        <v>119.64000179999999</v>
      </c>
      <c r="J1099" s="5">
        <v>20</v>
      </c>
      <c r="K1099" s="5">
        <v>4</v>
      </c>
      <c r="L1099" s="14">
        <f t="shared" si="85"/>
        <v>0.15319469555051621</v>
      </c>
      <c r="M1099" s="14">
        <f t="shared" si="89"/>
        <v>1.3911628116279069</v>
      </c>
      <c r="N1099" s="20">
        <f t="shared" si="86"/>
        <v>1.1011988982889162E-4</v>
      </c>
      <c r="O1099" s="14">
        <f t="shared" si="87"/>
        <v>29.910000449999998</v>
      </c>
      <c r="P1099" s="20">
        <f t="shared" si="88"/>
        <v>4.6511627906976744E-2</v>
      </c>
    </row>
    <row r="1100" spans="1:16" x14ac:dyDescent="0.25">
      <c r="A1100">
        <v>1314364</v>
      </c>
      <c r="B1100">
        <v>1178</v>
      </c>
      <c r="C1100">
        <v>179931</v>
      </c>
      <c r="D1100" t="s">
        <v>11</v>
      </c>
      <c r="E1100" t="s">
        <v>16</v>
      </c>
      <c r="F1100" s="5">
        <v>108</v>
      </c>
      <c r="G1100" s="5">
        <v>132124</v>
      </c>
      <c r="H1100" s="5">
        <v>8</v>
      </c>
      <c r="I1100" s="8">
        <v>11.18999994</v>
      </c>
      <c r="J1100" s="5">
        <v>4</v>
      </c>
      <c r="K1100" s="5">
        <v>0</v>
      </c>
      <c r="L1100" s="14">
        <f t="shared" si="85"/>
        <v>8.4693166570797118E-2</v>
      </c>
      <c r="M1100" s="14">
        <f t="shared" si="89"/>
        <v>1.3987499925</v>
      </c>
      <c r="N1100" s="20">
        <f t="shared" si="86"/>
        <v>6.0549181072325996E-5</v>
      </c>
      <c r="O1100" s="14" t="str">
        <f t="shared" si="87"/>
        <v xml:space="preserve"> </v>
      </c>
      <c r="P1100" s="20">
        <f t="shared" si="88"/>
        <v>0</v>
      </c>
    </row>
    <row r="1101" spans="1:16" x14ac:dyDescent="0.25">
      <c r="A1101">
        <v>1314365</v>
      </c>
      <c r="B1101">
        <v>1178</v>
      </c>
      <c r="C1101">
        <v>179932</v>
      </c>
      <c r="D1101" t="s">
        <v>11</v>
      </c>
      <c r="E1101" t="s">
        <v>16</v>
      </c>
      <c r="F1101" s="5">
        <v>109</v>
      </c>
      <c r="G1101" s="5">
        <v>623137</v>
      </c>
      <c r="H1101" s="5">
        <v>100</v>
      </c>
      <c r="I1101" s="8">
        <v>138.92000060000001</v>
      </c>
      <c r="J1101" s="5">
        <v>12</v>
      </c>
      <c r="K1101" s="5">
        <v>1</v>
      </c>
      <c r="L1101" s="14">
        <f t="shared" si="85"/>
        <v>0.22293653016912815</v>
      </c>
      <c r="M1101" s="14">
        <f t="shared" si="89"/>
        <v>1.389200006</v>
      </c>
      <c r="N1101" s="20">
        <f t="shared" si="86"/>
        <v>1.6047835387723728E-4</v>
      </c>
      <c r="O1101" s="14">
        <f t="shared" si="87"/>
        <v>138.92000060000001</v>
      </c>
      <c r="P1101" s="20">
        <f t="shared" si="88"/>
        <v>0.01</v>
      </c>
    </row>
    <row r="1102" spans="1:16" x14ac:dyDescent="0.25">
      <c r="A1102">
        <v>1314366</v>
      </c>
      <c r="B1102">
        <v>1178</v>
      </c>
      <c r="C1102">
        <v>179933</v>
      </c>
      <c r="D1102" t="s">
        <v>11</v>
      </c>
      <c r="E1102" t="s">
        <v>16</v>
      </c>
      <c r="F1102" s="5">
        <v>110</v>
      </c>
      <c r="G1102" s="5">
        <v>99020</v>
      </c>
      <c r="H1102" s="5">
        <v>10</v>
      </c>
      <c r="I1102" s="8">
        <v>14.48000044</v>
      </c>
      <c r="J1102" s="5">
        <v>4</v>
      </c>
      <c r="K1102" s="5">
        <v>1</v>
      </c>
      <c r="L1102" s="14">
        <f t="shared" si="85"/>
        <v>0.14623308866895576</v>
      </c>
      <c r="M1102" s="14">
        <f t="shared" si="89"/>
        <v>1.448000044</v>
      </c>
      <c r="N1102" s="20">
        <f t="shared" si="86"/>
        <v>1.0098969905069682E-4</v>
      </c>
      <c r="O1102" s="14">
        <f t="shared" si="87"/>
        <v>14.48000044</v>
      </c>
      <c r="P1102" s="20">
        <f t="shared" si="88"/>
        <v>0.1</v>
      </c>
    </row>
    <row r="1103" spans="1:16" x14ac:dyDescent="0.25">
      <c r="A1103">
        <v>1314367</v>
      </c>
      <c r="B1103">
        <v>1178</v>
      </c>
      <c r="C1103">
        <v>179934</v>
      </c>
      <c r="D1103" t="s">
        <v>11</v>
      </c>
      <c r="E1103" t="s">
        <v>16</v>
      </c>
      <c r="F1103" s="5">
        <v>111</v>
      </c>
      <c r="G1103" s="5">
        <v>665817</v>
      </c>
      <c r="H1103" s="5">
        <v>117</v>
      </c>
      <c r="I1103" s="8">
        <v>163.8000002</v>
      </c>
      <c r="J1103" s="5">
        <v>23</v>
      </c>
      <c r="K1103" s="5">
        <v>9</v>
      </c>
      <c r="L1103" s="14">
        <f t="shared" si="85"/>
        <v>0.24601354456254496</v>
      </c>
      <c r="M1103" s="14">
        <f t="shared" si="89"/>
        <v>1.4000000017094016</v>
      </c>
      <c r="N1103" s="20">
        <f t="shared" si="86"/>
        <v>1.7572396018725867E-4</v>
      </c>
      <c r="O1103" s="14">
        <f t="shared" si="87"/>
        <v>18.200000022222223</v>
      </c>
      <c r="P1103" s="20">
        <f t="shared" si="88"/>
        <v>7.6923076923076927E-2</v>
      </c>
    </row>
    <row r="1104" spans="1:16" x14ac:dyDescent="0.25">
      <c r="A1104">
        <v>1314368</v>
      </c>
      <c r="B1104">
        <v>1178</v>
      </c>
      <c r="C1104">
        <v>179935</v>
      </c>
      <c r="D1104" t="s">
        <v>11</v>
      </c>
      <c r="E1104" t="s">
        <v>16</v>
      </c>
      <c r="F1104" s="5">
        <v>112</v>
      </c>
      <c r="G1104" s="5">
        <v>699232</v>
      </c>
      <c r="H1104" s="5">
        <v>80</v>
      </c>
      <c r="I1104" s="8">
        <v>111.9899995</v>
      </c>
      <c r="J1104" s="5">
        <v>12</v>
      </c>
      <c r="K1104" s="5">
        <v>3</v>
      </c>
      <c r="L1104" s="14">
        <f t="shared" si="85"/>
        <v>0.16016143354423137</v>
      </c>
      <c r="M1104" s="14">
        <f t="shared" si="89"/>
        <v>1.3998749937499999</v>
      </c>
      <c r="N1104" s="20">
        <f t="shared" si="86"/>
        <v>1.1441123976019404E-4</v>
      </c>
      <c r="O1104" s="14">
        <f t="shared" si="87"/>
        <v>37.329999833333332</v>
      </c>
      <c r="P1104" s="20">
        <f t="shared" si="88"/>
        <v>3.7499999999999999E-2</v>
      </c>
    </row>
    <row r="1105" spans="1:16" x14ac:dyDescent="0.25">
      <c r="A1105">
        <v>1314371</v>
      </c>
      <c r="B1105">
        <v>1178</v>
      </c>
      <c r="C1105">
        <v>179938</v>
      </c>
      <c r="D1105" t="s">
        <v>13</v>
      </c>
      <c r="E1105" t="s">
        <v>16</v>
      </c>
      <c r="F1105" s="5">
        <v>100</v>
      </c>
      <c r="G1105" s="5">
        <v>72982</v>
      </c>
      <c r="H1105" s="5">
        <v>11</v>
      </c>
      <c r="I1105" s="8">
        <v>15.04999995</v>
      </c>
      <c r="J1105" s="5">
        <v>1</v>
      </c>
      <c r="K1105" s="5">
        <v>0</v>
      </c>
      <c r="L1105" s="14">
        <f t="shared" si="85"/>
        <v>0.20621523046778659</v>
      </c>
      <c r="M1105" s="14">
        <f t="shared" si="89"/>
        <v>1.3681818136363637</v>
      </c>
      <c r="N1105" s="20">
        <f t="shared" si="86"/>
        <v>1.5072209585925296E-4</v>
      </c>
      <c r="O1105" s="14" t="str">
        <f t="shared" si="87"/>
        <v xml:space="preserve"> </v>
      </c>
      <c r="P1105" s="20">
        <f t="shared" si="88"/>
        <v>0</v>
      </c>
    </row>
    <row r="1106" spans="1:16" x14ac:dyDescent="0.25">
      <c r="A1106">
        <v>1314372</v>
      </c>
      <c r="B1106">
        <v>1178</v>
      </c>
      <c r="C1106">
        <v>179939</v>
      </c>
      <c r="D1106" t="s">
        <v>13</v>
      </c>
      <c r="E1106" t="s">
        <v>16</v>
      </c>
      <c r="F1106" s="5">
        <v>101</v>
      </c>
      <c r="G1106" s="5">
        <v>975884</v>
      </c>
      <c r="H1106" s="5">
        <v>167</v>
      </c>
      <c r="I1106" s="8">
        <v>237.3199975</v>
      </c>
      <c r="J1106" s="5">
        <v>14</v>
      </c>
      <c r="K1106" s="5">
        <v>3</v>
      </c>
      <c r="L1106" s="14">
        <f t="shared" si="85"/>
        <v>0.24318463823569195</v>
      </c>
      <c r="M1106" s="14">
        <f t="shared" si="89"/>
        <v>1.4210778293413173</v>
      </c>
      <c r="N1106" s="20">
        <f t="shared" si="86"/>
        <v>1.7112689622946988E-4</v>
      </c>
      <c r="O1106" s="14">
        <f t="shared" si="87"/>
        <v>79.106665833333338</v>
      </c>
      <c r="P1106" s="20">
        <f t="shared" si="88"/>
        <v>1.7964071856287425E-2</v>
      </c>
    </row>
    <row r="1107" spans="1:16" x14ac:dyDescent="0.25">
      <c r="A1107">
        <v>1314373</v>
      </c>
      <c r="B1107">
        <v>1178</v>
      </c>
      <c r="C1107">
        <v>179940</v>
      </c>
      <c r="D1107" t="s">
        <v>13</v>
      </c>
      <c r="E1107" t="s">
        <v>16</v>
      </c>
      <c r="F1107" s="5">
        <v>102</v>
      </c>
      <c r="G1107" s="5">
        <v>245607</v>
      </c>
      <c r="H1107" s="5">
        <v>33</v>
      </c>
      <c r="I1107" s="8">
        <v>47.879999519999998</v>
      </c>
      <c r="J1107" s="5">
        <v>3</v>
      </c>
      <c r="K1107" s="5">
        <v>1</v>
      </c>
      <c r="L1107" s="14">
        <f t="shared" si="85"/>
        <v>0.19494558184416566</v>
      </c>
      <c r="M1107" s="14">
        <f t="shared" si="89"/>
        <v>1.4509090763636363</v>
      </c>
      <c r="N1107" s="20">
        <f t="shared" si="86"/>
        <v>1.3436099133982339E-4</v>
      </c>
      <c r="O1107" s="14">
        <f t="shared" si="87"/>
        <v>47.879999519999998</v>
      </c>
      <c r="P1107" s="20">
        <f t="shared" si="88"/>
        <v>3.0303030303030304E-2</v>
      </c>
    </row>
    <row r="1108" spans="1:16" x14ac:dyDescent="0.25">
      <c r="A1108">
        <v>1314377</v>
      </c>
      <c r="B1108">
        <v>1178</v>
      </c>
      <c r="C1108">
        <v>179944</v>
      </c>
      <c r="D1108" t="s">
        <v>13</v>
      </c>
      <c r="E1108" t="s">
        <v>16</v>
      </c>
      <c r="F1108" s="5">
        <v>106</v>
      </c>
      <c r="G1108" s="5">
        <v>485369</v>
      </c>
      <c r="H1108" s="5">
        <v>114</v>
      </c>
      <c r="I1108" s="8">
        <v>164.64000150000001</v>
      </c>
      <c r="J1108" s="5">
        <v>3</v>
      </c>
      <c r="K1108" s="5">
        <v>0</v>
      </c>
      <c r="L1108" s="14">
        <f t="shared" si="85"/>
        <v>0.33920584441940055</v>
      </c>
      <c r="M1108" s="14">
        <f t="shared" si="89"/>
        <v>1.4442105394736844</v>
      </c>
      <c r="N1108" s="20">
        <f t="shared" si="86"/>
        <v>2.3487284931670544E-4</v>
      </c>
      <c r="O1108" s="14" t="str">
        <f t="shared" si="87"/>
        <v xml:space="preserve"> </v>
      </c>
      <c r="P1108" s="20">
        <f t="shared" si="88"/>
        <v>0</v>
      </c>
    </row>
    <row r="1109" spans="1:16" x14ac:dyDescent="0.25">
      <c r="A1109">
        <v>1314378</v>
      </c>
      <c r="B1109">
        <v>1178</v>
      </c>
      <c r="C1109">
        <v>179945</v>
      </c>
      <c r="D1109" t="s">
        <v>13</v>
      </c>
      <c r="E1109" t="s">
        <v>16</v>
      </c>
      <c r="F1109" s="5">
        <v>107</v>
      </c>
      <c r="G1109" s="5">
        <v>866355</v>
      </c>
      <c r="H1109" s="5">
        <v>139</v>
      </c>
      <c r="I1109" s="8">
        <v>200.82999609999999</v>
      </c>
      <c r="J1109" s="5">
        <v>11</v>
      </c>
      <c r="K1109" s="5">
        <v>5</v>
      </c>
      <c r="L1109" s="14">
        <f t="shared" si="85"/>
        <v>0.23181028112032595</v>
      </c>
      <c r="M1109" s="14">
        <f t="shared" si="89"/>
        <v>1.4448201158273379</v>
      </c>
      <c r="N1109" s="20">
        <f t="shared" si="86"/>
        <v>1.6044231290868064E-4</v>
      </c>
      <c r="O1109" s="14">
        <f t="shared" si="87"/>
        <v>40.165999219999996</v>
      </c>
      <c r="P1109" s="20">
        <f t="shared" si="88"/>
        <v>3.5971223021582732E-2</v>
      </c>
    </row>
    <row r="1110" spans="1:16" x14ac:dyDescent="0.25">
      <c r="A1110">
        <v>1314379</v>
      </c>
      <c r="B1110">
        <v>1178</v>
      </c>
      <c r="C1110">
        <v>179946</v>
      </c>
      <c r="D1110" t="s">
        <v>13</v>
      </c>
      <c r="E1110" t="s">
        <v>16</v>
      </c>
      <c r="F1110" s="5">
        <v>108</v>
      </c>
      <c r="G1110" s="5">
        <v>502710</v>
      </c>
      <c r="H1110" s="5">
        <v>72</v>
      </c>
      <c r="I1110" s="8">
        <v>105.2199969</v>
      </c>
      <c r="J1110" s="5">
        <v>8</v>
      </c>
      <c r="K1110" s="5">
        <v>2</v>
      </c>
      <c r="L1110" s="14">
        <f t="shared" si="85"/>
        <v>0.20930555767738857</v>
      </c>
      <c r="M1110" s="14">
        <f t="shared" si="89"/>
        <v>1.4613888458333333</v>
      </c>
      <c r="N1110" s="20">
        <f t="shared" si="86"/>
        <v>1.4322372739750553E-4</v>
      </c>
      <c r="O1110" s="14">
        <f t="shared" si="87"/>
        <v>52.609998449999999</v>
      </c>
      <c r="P1110" s="20">
        <f t="shared" si="88"/>
        <v>2.7777777777777776E-2</v>
      </c>
    </row>
    <row r="1111" spans="1:16" x14ac:dyDescent="0.25">
      <c r="A1111">
        <v>1314380</v>
      </c>
      <c r="B1111">
        <v>1178</v>
      </c>
      <c r="C1111">
        <v>179947</v>
      </c>
      <c r="D1111" t="s">
        <v>13</v>
      </c>
      <c r="E1111" t="s">
        <v>16</v>
      </c>
      <c r="F1111" s="5">
        <v>109</v>
      </c>
      <c r="G1111" s="5">
        <v>475184</v>
      </c>
      <c r="H1111" s="5">
        <v>88</v>
      </c>
      <c r="I1111" s="8">
        <v>127.3200028</v>
      </c>
      <c r="J1111" s="5">
        <v>4</v>
      </c>
      <c r="K1111" s="5">
        <v>1</v>
      </c>
      <c r="L1111" s="14">
        <f t="shared" si="85"/>
        <v>0.26793832031381526</v>
      </c>
      <c r="M1111" s="14">
        <f t="shared" si="89"/>
        <v>1.4468182136363636</v>
      </c>
      <c r="N1111" s="20">
        <f t="shared" si="86"/>
        <v>1.8519142058655175E-4</v>
      </c>
      <c r="O1111" s="14">
        <f t="shared" si="87"/>
        <v>127.3200028</v>
      </c>
      <c r="P1111" s="20">
        <f t="shared" si="88"/>
        <v>1.1363636363636364E-2</v>
      </c>
    </row>
    <row r="1112" spans="1:16" x14ac:dyDescent="0.25">
      <c r="A1112">
        <v>1314381</v>
      </c>
      <c r="B1112">
        <v>1178</v>
      </c>
      <c r="C1112">
        <v>179948</v>
      </c>
      <c r="D1112" t="s">
        <v>13</v>
      </c>
      <c r="E1112" t="s">
        <v>16</v>
      </c>
      <c r="F1112" s="5">
        <v>110</v>
      </c>
      <c r="G1112" s="5">
        <v>357401</v>
      </c>
      <c r="H1112" s="5">
        <v>47</v>
      </c>
      <c r="I1112" s="8">
        <v>68.670000079999994</v>
      </c>
      <c r="J1112" s="5">
        <v>8</v>
      </c>
      <c r="K1112" s="5">
        <v>1</v>
      </c>
      <c r="L1112" s="14">
        <f t="shared" si="85"/>
        <v>0.19213712351112616</v>
      </c>
      <c r="M1112" s="14">
        <f t="shared" si="89"/>
        <v>1.4610638314893616</v>
      </c>
      <c r="N1112" s="20">
        <f t="shared" si="86"/>
        <v>1.315049482234241E-4</v>
      </c>
      <c r="O1112" s="14">
        <f t="shared" si="87"/>
        <v>68.670000079999994</v>
      </c>
      <c r="P1112" s="20">
        <f t="shared" si="88"/>
        <v>2.1276595744680851E-2</v>
      </c>
    </row>
    <row r="1113" spans="1:16" x14ac:dyDescent="0.25">
      <c r="A1113">
        <v>1314382</v>
      </c>
      <c r="B1113">
        <v>1178</v>
      </c>
      <c r="C1113">
        <v>179949</v>
      </c>
      <c r="D1113" t="s">
        <v>13</v>
      </c>
      <c r="E1113" t="s">
        <v>16</v>
      </c>
      <c r="F1113" s="5">
        <v>111</v>
      </c>
      <c r="G1113" s="5">
        <v>99810</v>
      </c>
      <c r="H1113" s="5">
        <v>14</v>
      </c>
      <c r="I1113" s="8">
        <v>20.050000189999999</v>
      </c>
      <c r="J1113" s="5">
        <v>2</v>
      </c>
      <c r="K1113" s="5">
        <v>0</v>
      </c>
      <c r="L1113" s="14">
        <f t="shared" si="85"/>
        <v>0.20088167708646426</v>
      </c>
      <c r="M1113" s="14">
        <f t="shared" si="89"/>
        <v>1.4321428707142856</v>
      </c>
      <c r="N1113" s="20">
        <f t="shared" si="86"/>
        <v>1.4026650636208798E-4</v>
      </c>
      <c r="O1113" s="14" t="str">
        <f t="shared" si="87"/>
        <v xml:space="preserve"> </v>
      </c>
      <c r="P1113" s="20">
        <f t="shared" si="88"/>
        <v>0</v>
      </c>
    </row>
    <row r="1114" spans="1:16" x14ac:dyDescent="0.25">
      <c r="A1114">
        <v>1314383</v>
      </c>
      <c r="B1114">
        <v>1178</v>
      </c>
      <c r="C1114">
        <v>179950</v>
      </c>
      <c r="D1114" t="s">
        <v>13</v>
      </c>
      <c r="E1114" t="s">
        <v>16</v>
      </c>
      <c r="F1114" s="5">
        <v>112</v>
      </c>
      <c r="G1114" s="5">
        <v>81569</v>
      </c>
      <c r="H1114" s="5">
        <v>6</v>
      </c>
      <c r="I1114" s="8">
        <v>9.4099999669999992</v>
      </c>
      <c r="J1114" s="5">
        <v>3</v>
      </c>
      <c r="K1114" s="5">
        <v>1</v>
      </c>
      <c r="L1114" s="14">
        <f t="shared" si="85"/>
        <v>0.11536245346884232</v>
      </c>
      <c r="M1114" s="14">
        <f t="shared" si="89"/>
        <v>1.5683333278333331</v>
      </c>
      <c r="N1114" s="20">
        <f t="shared" si="86"/>
        <v>7.3557356348612836E-5</v>
      </c>
      <c r="O1114" s="14">
        <f t="shared" si="87"/>
        <v>9.4099999669999992</v>
      </c>
      <c r="P1114" s="20">
        <f t="shared" si="88"/>
        <v>0.16666666666666666</v>
      </c>
    </row>
    <row r="1115" spans="1:16" x14ac:dyDescent="0.25">
      <c r="A1115">
        <v>1314384</v>
      </c>
      <c r="B1115">
        <v>1178</v>
      </c>
      <c r="C1115">
        <v>179951</v>
      </c>
      <c r="D1115" t="s">
        <v>13</v>
      </c>
      <c r="E1115" t="s">
        <v>16</v>
      </c>
      <c r="F1115" s="5">
        <v>113</v>
      </c>
      <c r="G1115" s="5">
        <v>441192</v>
      </c>
      <c r="H1115" s="5">
        <v>53</v>
      </c>
      <c r="I1115" s="8">
        <v>77.599999789999998</v>
      </c>
      <c r="J1115" s="5">
        <v>6</v>
      </c>
      <c r="K1115" s="5">
        <v>2</v>
      </c>
      <c r="L1115" s="14">
        <f t="shared" si="85"/>
        <v>0.17588714162994795</v>
      </c>
      <c r="M1115" s="14">
        <f t="shared" si="89"/>
        <v>1.4641509394339622</v>
      </c>
      <c r="N1115" s="20">
        <f t="shared" si="86"/>
        <v>1.2012910478884477E-4</v>
      </c>
      <c r="O1115" s="14">
        <f t="shared" si="87"/>
        <v>38.799999894999999</v>
      </c>
      <c r="P1115" s="20">
        <f t="shared" si="88"/>
        <v>3.7735849056603772E-2</v>
      </c>
    </row>
    <row r="1116" spans="1:16" x14ac:dyDescent="0.25">
      <c r="A1116">
        <v>1314385</v>
      </c>
      <c r="B1116">
        <v>1178</v>
      </c>
      <c r="C1116">
        <v>179952</v>
      </c>
      <c r="D1116" t="s">
        <v>13</v>
      </c>
      <c r="E1116" t="s">
        <v>16</v>
      </c>
      <c r="F1116" s="5">
        <v>114</v>
      </c>
      <c r="G1116" s="5">
        <v>90470</v>
      </c>
      <c r="H1116" s="5">
        <v>11</v>
      </c>
      <c r="I1116" s="8">
        <v>16.730000019999999</v>
      </c>
      <c r="J1116" s="5">
        <v>1</v>
      </c>
      <c r="K1116" s="5">
        <v>1</v>
      </c>
      <c r="L1116" s="14">
        <f t="shared" si="85"/>
        <v>0.18492317917541723</v>
      </c>
      <c r="M1116" s="14">
        <f t="shared" si="89"/>
        <v>1.5209090927272726</v>
      </c>
      <c r="N1116" s="20">
        <f t="shared" si="86"/>
        <v>1.2158726649718139E-4</v>
      </c>
      <c r="O1116" s="14">
        <f t="shared" si="87"/>
        <v>16.730000019999999</v>
      </c>
      <c r="P1116" s="20">
        <f t="shared" si="88"/>
        <v>9.0909090909090912E-2</v>
      </c>
    </row>
    <row r="1117" spans="1:16" x14ac:dyDescent="0.25">
      <c r="A1117">
        <v>1314386</v>
      </c>
      <c r="B1117">
        <v>1178</v>
      </c>
      <c r="C1117">
        <v>179953</v>
      </c>
      <c r="D1117" t="s">
        <v>14</v>
      </c>
      <c r="E1117" t="s">
        <v>16</v>
      </c>
      <c r="F1117" s="5">
        <v>100</v>
      </c>
      <c r="G1117" s="5">
        <v>834243</v>
      </c>
      <c r="H1117" s="5">
        <v>166</v>
      </c>
      <c r="I1117" s="8">
        <v>246.74999750000001</v>
      </c>
      <c r="J1117" s="5">
        <v>18</v>
      </c>
      <c r="K1117" s="5">
        <v>7</v>
      </c>
      <c r="L1117" s="14">
        <f t="shared" si="85"/>
        <v>0.29577712668850686</v>
      </c>
      <c r="M1117" s="14">
        <f t="shared" si="89"/>
        <v>1.4864457680722891</v>
      </c>
      <c r="N1117" s="20">
        <f t="shared" si="86"/>
        <v>1.9898279038601464E-4</v>
      </c>
      <c r="O1117" s="14">
        <f t="shared" si="87"/>
        <v>35.249999642857141</v>
      </c>
      <c r="P1117" s="20">
        <f t="shared" si="88"/>
        <v>4.2168674698795178E-2</v>
      </c>
    </row>
    <row r="1118" spans="1:16" x14ac:dyDescent="0.25">
      <c r="A1118">
        <v>1314387</v>
      </c>
      <c r="B1118">
        <v>1178</v>
      </c>
      <c r="C1118">
        <v>179954</v>
      </c>
      <c r="D1118" t="s">
        <v>14</v>
      </c>
      <c r="E1118" t="s">
        <v>16</v>
      </c>
      <c r="F1118" s="5">
        <v>101</v>
      </c>
      <c r="G1118" s="5">
        <v>696612</v>
      </c>
      <c r="H1118" s="5">
        <v>152</v>
      </c>
      <c r="I1118" s="8">
        <v>223.18999479999999</v>
      </c>
      <c r="J1118" s="5">
        <v>31</v>
      </c>
      <c r="K1118" s="5">
        <v>9</v>
      </c>
      <c r="L1118" s="14">
        <f t="shared" si="85"/>
        <v>0.32039355451815354</v>
      </c>
      <c r="M1118" s="14">
        <f t="shared" si="89"/>
        <v>1.4683552289473685</v>
      </c>
      <c r="N1118" s="20">
        <f t="shared" si="86"/>
        <v>2.1819894001251774E-4</v>
      </c>
      <c r="O1118" s="14">
        <f t="shared" si="87"/>
        <v>24.79888831111111</v>
      </c>
      <c r="P1118" s="20">
        <f t="shared" si="88"/>
        <v>5.921052631578947E-2</v>
      </c>
    </row>
    <row r="1119" spans="1:16" x14ac:dyDescent="0.25">
      <c r="A1119">
        <v>1314388</v>
      </c>
      <c r="B1119">
        <v>1178</v>
      </c>
      <c r="C1119">
        <v>179955</v>
      </c>
      <c r="D1119" t="s">
        <v>14</v>
      </c>
      <c r="E1119" t="s">
        <v>16</v>
      </c>
      <c r="F1119" s="5">
        <v>102</v>
      </c>
      <c r="G1119" s="5">
        <v>329333</v>
      </c>
      <c r="H1119" s="5">
        <v>48</v>
      </c>
      <c r="I1119" s="8">
        <v>67.609999180000003</v>
      </c>
      <c r="J1119" s="5">
        <v>1</v>
      </c>
      <c r="K1119" s="5">
        <v>0</v>
      </c>
      <c r="L1119" s="14">
        <f t="shared" si="85"/>
        <v>0.20529372756450159</v>
      </c>
      <c r="M1119" s="14">
        <f t="shared" si="89"/>
        <v>1.4085416495833334</v>
      </c>
      <c r="N1119" s="20">
        <f t="shared" si="86"/>
        <v>1.4574913537361881E-4</v>
      </c>
      <c r="O1119" s="14" t="str">
        <f t="shared" si="87"/>
        <v xml:space="preserve"> </v>
      </c>
      <c r="P1119" s="20">
        <f t="shared" si="88"/>
        <v>0</v>
      </c>
    </row>
    <row r="1120" spans="1:16" x14ac:dyDescent="0.25">
      <c r="A1120">
        <v>1314389</v>
      </c>
      <c r="B1120">
        <v>1178</v>
      </c>
      <c r="C1120">
        <v>179956</v>
      </c>
      <c r="D1120" t="s">
        <v>14</v>
      </c>
      <c r="E1120" t="s">
        <v>16</v>
      </c>
      <c r="F1120" s="5">
        <v>103</v>
      </c>
      <c r="G1120" s="5">
        <v>1114711</v>
      </c>
      <c r="H1120" s="5">
        <v>224</v>
      </c>
      <c r="I1120" s="8">
        <v>319.00000189999997</v>
      </c>
      <c r="J1120" s="5">
        <v>6</v>
      </c>
      <c r="K1120" s="5">
        <v>0</v>
      </c>
      <c r="L1120" s="14">
        <f t="shared" si="85"/>
        <v>0.28617283035692659</v>
      </c>
      <c r="M1120" s="14">
        <f t="shared" si="89"/>
        <v>1.4241071513392856</v>
      </c>
      <c r="N1120" s="20">
        <f t="shared" si="86"/>
        <v>2.0094894551143748E-4</v>
      </c>
      <c r="O1120" s="14" t="str">
        <f t="shared" si="87"/>
        <v xml:space="preserve"> </v>
      </c>
      <c r="P1120" s="20">
        <f t="shared" si="88"/>
        <v>0</v>
      </c>
    </row>
    <row r="1121" spans="1:16" x14ac:dyDescent="0.25">
      <c r="A1121">
        <v>1314390</v>
      </c>
      <c r="B1121">
        <v>1178</v>
      </c>
      <c r="C1121">
        <v>179957</v>
      </c>
      <c r="D1121" t="s">
        <v>14</v>
      </c>
      <c r="E1121" t="s">
        <v>16</v>
      </c>
      <c r="F1121" s="5">
        <v>104</v>
      </c>
      <c r="G1121" s="5">
        <v>267316</v>
      </c>
      <c r="H1121" s="5">
        <v>58</v>
      </c>
      <c r="I1121" s="8">
        <v>82.929998870000006</v>
      </c>
      <c r="J1121" s="5">
        <v>3</v>
      </c>
      <c r="K1121" s="5">
        <v>0</v>
      </c>
      <c r="L1121" s="14">
        <f t="shared" si="85"/>
        <v>0.31023208064612667</v>
      </c>
      <c r="M1121" s="14">
        <f t="shared" si="89"/>
        <v>1.429827566724138</v>
      </c>
      <c r="N1121" s="20">
        <f t="shared" si="86"/>
        <v>2.1697167397387361E-4</v>
      </c>
      <c r="O1121" s="14" t="str">
        <f t="shared" si="87"/>
        <v xml:space="preserve"> </v>
      </c>
      <c r="P1121" s="20">
        <f t="shared" si="88"/>
        <v>0</v>
      </c>
    </row>
    <row r="1122" spans="1:16" x14ac:dyDescent="0.25">
      <c r="A1122">
        <v>1314391</v>
      </c>
      <c r="B1122">
        <v>1178</v>
      </c>
      <c r="C1122">
        <v>179958</v>
      </c>
      <c r="D1122" t="s">
        <v>14</v>
      </c>
      <c r="E1122" t="s">
        <v>16</v>
      </c>
      <c r="F1122" s="5">
        <v>105</v>
      </c>
      <c r="G1122" s="5">
        <v>228629</v>
      </c>
      <c r="H1122" s="5">
        <v>38</v>
      </c>
      <c r="I1122" s="8">
        <v>57</v>
      </c>
      <c r="J1122" s="5">
        <v>2</v>
      </c>
      <c r="K1122" s="5">
        <v>0</v>
      </c>
      <c r="L1122" s="14">
        <f t="shared" si="85"/>
        <v>0.24931220448849445</v>
      </c>
      <c r="M1122" s="14">
        <f t="shared" si="89"/>
        <v>1.5</v>
      </c>
      <c r="N1122" s="20">
        <f t="shared" si="86"/>
        <v>1.6620813632566296E-4</v>
      </c>
      <c r="O1122" s="14" t="str">
        <f t="shared" si="87"/>
        <v xml:space="preserve"> </v>
      </c>
      <c r="P1122" s="20">
        <f t="shared" si="88"/>
        <v>0</v>
      </c>
    </row>
    <row r="1123" spans="1:16" x14ac:dyDescent="0.25">
      <c r="A1123">
        <v>1314392</v>
      </c>
      <c r="B1123">
        <v>1178</v>
      </c>
      <c r="C1123">
        <v>179959</v>
      </c>
      <c r="D1123" t="s">
        <v>14</v>
      </c>
      <c r="E1123" t="s">
        <v>16</v>
      </c>
      <c r="F1123" s="5">
        <v>106</v>
      </c>
      <c r="G1123" s="5">
        <v>758340</v>
      </c>
      <c r="H1123" s="5">
        <v>159</v>
      </c>
      <c r="I1123" s="8">
        <v>233.11000200000001</v>
      </c>
      <c r="J1123" s="5">
        <v>13</v>
      </c>
      <c r="K1123" s="5">
        <v>4</v>
      </c>
      <c r="L1123" s="14">
        <f t="shared" si="85"/>
        <v>0.30739510246063773</v>
      </c>
      <c r="M1123" s="14">
        <f t="shared" si="89"/>
        <v>1.466100641509434</v>
      </c>
      <c r="N1123" s="20">
        <f t="shared" si="86"/>
        <v>2.0966848643088853E-4</v>
      </c>
      <c r="O1123" s="14">
        <f t="shared" si="87"/>
        <v>58.277500500000002</v>
      </c>
      <c r="P1123" s="20">
        <f t="shared" si="88"/>
        <v>2.5157232704402517E-2</v>
      </c>
    </row>
    <row r="1124" spans="1:16" x14ac:dyDescent="0.25">
      <c r="A1124">
        <v>1314393</v>
      </c>
      <c r="B1124">
        <v>1178</v>
      </c>
      <c r="C1124">
        <v>179960</v>
      </c>
      <c r="D1124" t="s">
        <v>14</v>
      </c>
      <c r="E1124" t="s">
        <v>16</v>
      </c>
      <c r="F1124" s="5">
        <v>107</v>
      </c>
      <c r="G1124" s="5">
        <v>877535</v>
      </c>
      <c r="H1124" s="5">
        <v>149</v>
      </c>
      <c r="I1124" s="8">
        <v>217.7799966</v>
      </c>
      <c r="J1124" s="5">
        <v>5</v>
      </c>
      <c r="K1124" s="5">
        <v>2</v>
      </c>
      <c r="L1124" s="14">
        <f t="shared" si="85"/>
        <v>0.24817243369210346</v>
      </c>
      <c r="M1124" s="14">
        <f t="shared" si="89"/>
        <v>1.4616107154362417</v>
      </c>
      <c r="N1124" s="20">
        <f t="shared" si="86"/>
        <v>1.6979379739839436E-4</v>
      </c>
      <c r="O1124" s="14">
        <f t="shared" si="87"/>
        <v>108.8899983</v>
      </c>
      <c r="P1124" s="20">
        <f t="shared" si="88"/>
        <v>1.3422818791946308E-2</v>
      </c>
    </row>
    <row r="1125" spans="1:16" x14ac:dyDescent="0.25">
      <c r="A1125">
        <v>1314394</v>
      </c>
      <c r="B1125">
        <v>1178</v>
      </c>
      <c r="C1125">
        <v>179961</v>
      </c>
      <c r="D1125" t="s">
        <v>14</v>
      </c>
      <c r="E1125" t="s">
        <v>16</v>
      </c>
      <c r="F1125" s="5">
        <v>108</v>
      </c>
      <c r="G1125" s="5">
        <v>1357386</v>
      </c>
      <c r="H1125" s="5">
        <v>223</v>
      </c>
      <c r="I1125" s="8">
        <v>323.06000710000001</v>
      </c>
      <c r="J1125" s="5">
        <v>10</v>
      </c>
      <c r="K1125" s="5">
        <v>1</v>
      </c>
      <c r="L1125" s="14">
        <f t="shared" si="85"/>
        <v>0.23800157589661305</v>
      </c>
      <c r="M1125" s="14">
        <f t="shared" si="89"/>
        <v>1.4486995834080718</v>
      </c>
      <c r="N1125" s="20">
        <f t="shared" si="86"/>
        <v>1.6428635627595983E-4</v>
      </c>
      <c r="O1125" s="14">
        <f t="shared" si="87"/>
        <v>323.06000710000001</v>
      </c>
      <c r="P1125" s="20">
        <f t="shared" si="88"/>
        <v>4.4843049327354259E-3</v>
      </c>
    </row>
    <row r="1126" spans="1:16" x14ac:dyDescent="0.25">
      <c r="A1126">
        <v>1314395</v>
      </c>
      <c r="B1126">
        <v>1178</v>
      </c>
      <c r="C1126">
        <v>179962</v>
      </c>
      <c r="D1126" t="s">
        <v>14</v>
      </c>
      <c r="E1126" t="s">
        <v>16</v>
      </c>
      <c r="F1126" s="5">
        <v>109</v>
      </c>
      <c r="G1126" s="5">
        <v>280240</v>
      </c>
      <c r="H1126" s="5">
        <v>61</v>
      </c>
      <c r="I1126" s="8">
        <v>87.990001680000006</v>
      </c>
      <c r="J1126" s="5">
        <v>2</v>
      </c>
      <c r="K1126" s="5">
        <v>2</v>
      </c>
      <c r="L1126" s="14">
        <f t="shared" si="85"/>
        <v>0.3139808795318299</v>
      </c>
      <c r="M1126" s="14">
        <f t="shared" si="89"/>
        <v>1.4424590439344263</v>
      </c>
      <c r="N1126" s="20">
        <f t="shared" si="86"/>
        <v>2.1767056808449901E-4</v>
      </c>
      <c r="O1126" s="14">
        <f t="shared" si="87"/>
        <v>43.995000840000003</v>
      </c>
      <c r="P1126" s="20">
        <f t="shared" si="88"/>
        <v>3.2786885245901641E-2</v>
      </c>
    </row>
    <row r="1127" spans="1:16" x14ac:dyDescent="0.25">
      <c r="A1127">
        <v>1314396</v>
      </c>
      <c r="B1127">
        <v>1178</v>
      </c>
      <c r="C1127">
        <v>179963</v>
      </c>
      <c r="D1127" t="s">
        <v>14</v>
      </c>
      <c r="E1127" t="s">
        <v>16</v>
      </c>
      <c r="F1127" s="5">
        <v>110</v>
      </c>
      <c r="G1127" s="5">
        <v>419922</v>
      </c>
      <c r="H1127" s="5">
        <v>75</v>
      </c>
      <c r="I1127" s="8">
        <v>105.4500008</v>
      </c>
      <c r="J1127" s="5">
        <v>3</v>
      </c>
      <c r="K1127" s="5">
        <v>1</v>
      </c>
      <c r="L1127" s="14">
        <f t="shared" si="85"/>
        <v>0.2511180666885755</v>
      </c>
      <c r="M1127" s="14">
        <f t="shared" si="89"/>
        <v>1.4060000106666666</v>
      </c>
      <c r="N1127" s="20">
        <f t="shared" si="86"/>
        <v>1.7860459799677082E-4</v>
      </c>
      <c r="O1127" s="14">
        <f t="shared" si="87"/>
        <v>105.4500008</v>
      </c>
      <c r="P1127" s="20">
        <f t="shared" si="88"/>
        <v>1.3333333333333334E-2</v>
      </c>
    </row>
    <row r="1128" spans="1:16" x14ac:dyDescent="0.25">
      <c r="A1128">
        <v>1314397</v>
      </c>
      <c r="B1128">
        <v>1178</v>
      </c>
      <c r="C1128">
        <v>179964</v>
      </c>
      <c r="D1128" t="s">
        <v>14</v>
      </c>
      <c r="E1128" t="s">
        <v>16</v>
      </c>
      <c r="F1128" s="5">
        <v>111</v>
      </c>
      <c r="G1128" s="5">
        <v>402975</v>
      </c>
      <c r="H1128" s="5">
        <v>83</v>
      </c>
      <c r="I1128" s="8">
        <v>120.8999977</v>
      </c>
      <c r="J1128" s="5">
        <v>1</v>
      </c>
      <c r="K1128" s="5">
        <v>0</v>
      </c>
      <c r="L1128" s="14">
        <f t="shared" si="85"/>
        <v>0.30001860586885043</v>
      </c>
      <c r="M1128" s="14">
        <f t="shared" si="89"/>
        <v>1.456626478313253</v>
      </c>
      <c r="N1128" s="20">
        <f t="shared" si="86"/>
        <v>2.059681121657671E-4</v>
      </c>
      <c r="O1128" s="14" t="str">
        <f t="shared" si="87"/>
        <v xml:space="preserve"> </v>
      </c>
      <c r="P1128" s="20">
        <f t="shared" si="88"/>
        <v>0</v>
      </c>
    </row>
    <row r="1129" spans="1:16" x14ac:dyDescent="0.25">
      <c r="A1129">
        <v>1314398</v>
      </c>
      <c r="B1129">
        <v>1178</v>
      </c>
      <c r="C1129">
        <v>179965</v>
      </c>
      <c r="D1129" t="s">
        <v>14</v>
      </c>
      <c r="E1129" t="s">
        <v>16</v>
      </c>
      <c r="F1129" s="5">
        <v>112</v>
      </c>
      <c r="G1129" s="5">
        <v>1137635</v>
      </c>
      <c r="H1129" s="5">
        <v>211</v>
      </c>
      <c r="I1129" s="8">
        <v>301.0499992</v>
      </c>
      <c r="J1129" s="5">
        <v>30</v>
      </c>
      <c r="K1129" s="5">
        <v>10</v>
      </c>
      <c r="L1129" s="14">
        <f t="shared" si="85"/>
        <v>0.26462793356392866</v>
      </c>
      <c r="M1129" s="14">
        <f t="shared" si="89"/>
        <v>1.4267772473933649</v>
      </c>
      <c r="N1129" s="20">
        <f t="shared" si="86"/>
        <v>1.854724933744127E-4</v>
      </c>
      <c r="O1129" s="14">
        <f t="shared" si="87"/>
        <v>30.104999920000001</v>
      </c>
      <c r="P1129" s="20">
        <f t="shared" si="88"/>
        <v>4.7393364928909949E-2</v>
      </c>
    </row>
    <row r="1130" spans="1:16" x14ac:dyDescent="0.25">
      <c r="A1130">
        <v>1314400</v>
      </c>
      <c r="B1130">
        <v>1178</v>
      </c>
      <c r="C1130">
        <v>179967</v>
      </c>
      <c r="D1130" t="s">
        <v>14</v>
      </c>
      <c r="E1130" t="s">
        <v>16</v>
      </c>
      <c r="F1130" s="5">
        <v>114</v>
      </c>
      <c r="G1130" s="5">
        <v>250234</v>
      </c>
      <c r="H1130" s="5">
        <v>40</v>
      </c>
      <c r="I1130" s="8">
        <v>62.31999922</v>
      </c>
      <c r="J1130" s="5">
        <v>4</v>
      </c>
      <c r="K1130" s="5">
        <v>1</v>
      </c>
      <c r="L1130" s="14">
        <f t="shared" si="85"/>
        <v>0.24904688899190358</v>
      </c>
      <c r="M1130" s="14">
        <f t="shared" si="89"/>
        <v>1.5579999805</v>
      </c>
      <c r="N1130" s="20">
        <f t="shared" si="86"/>
        <v>1.5985038004427855E-4</v>
      </c>
      <c r="O1130" s="14">
        <f t="shared" si="87"/>
        <v>62.31999922</v>
      </c>
      <c r="P1130" s="20">
        <f t="shared" si="88"/>
        <v>2.5000000000000001E-2</v>
      </c>
    </row>
    <row r="1131" spans="1:16" x14ac:dyDescent="0.25">
      <c r="A1131">
        <v>1314401</v>
      </c>
      <c r="B1131">
        <v>1178</v>
      </c>
      <c r="C1131">
        <v>179968</v>
      </c>
      <c r="D1131" t="s">
        <v>15</v>
      </c>
      <c r="E1131" t="s">
        <v>16</v>
      </c>
      <c r="F1131" s="5">
        <v>100</v>
      </c>
      <c r="G1131" s="5">
        <v>904907</v>
      </c>
      <c r="H1131" s="5">
        <v>195</v>
      </c>
      <c r="I1131" s="8">
        <v>279.21999499999998</v>
      </c>
      <c r="J1131" s="5">
        <v>11</v>
      </c>
      <c r="K1131" s="5">
        <v>1</v>
      </c>
      <c r="L1131" s="14">
        <f t="shared" si="85"/>
        <v>0.30856208980591376</v>
      </c>
      <c r="M1131" s="14">
        <f t="shared" si="89"/>
        <v>1.4318974102564102</v>
      </c>
      <c r="N1131" s="20">
        <f t="shared" si="86"/>
        <v>2.1549175771653882E-4</v>
      </c>
      <c r="O1131" s="14">
        <f t="shared" si="87"/>
        <v>279.21999499999998</v>
      </c>
      <c r="P1131" s="20">
        <f t="shared" si="88"/>
        <v>5.1282051282051282E-3</v>
      </c>
    </row>
    <row r="1132" spans="1:16" x14ac:dyDescent="0.25">
      <c r="A1132">
        <v>1314402</v>
      </c>
      <c r="B1132">
        <v>1178</v>
      </c>
      <c r="C1132">
        <v>179969</v>
      </c>
      <c r="D1132" t="s">
        <v>15</v>
      </c>
      <c r="E1132" t="s">
        <v>16</v>
      </c>
      <c r="F1132" s="5">
        <v>101</v>
      </c>
      <c r="G1132" s="5">
        <v>589270</v>
      </c>
      <c r="H1132" s="5">
        <v>107</v>
      </c>
      <c r="I1132" s="8">
        <v>158.05000229999999</v>
      </c>
      <c r="J1132" s="5">
        <v>10</v>
      </c>
      <c r="K1132" s="5">
        <v>4</v>
      </c>
      <c r="L1132" s="14">
        <f t="shared" si="85"/>
        <v>0.26821321686154054</v>
      </c>
      <c r="M1132" s="14">
        <f t="shared" si="89"/>
        <v>1.4771028252336447</v>
      </c>
      <c r="N1132" s="20">
        <f t="shared" si="86"/>
        <v>1.8158059972508357E-4</v>
      </c>
      <c r="O1132" s="14">
        <f t="shared" si="87"/>
        <v>39.512500574999997</v>
      </c>
      <c r="P1132" s="20">
        <f t="shared" si="88"/>
        <v>3.7383177570093455E-2</v>
      </c>
    </row>
    <row r="1133" spans="1:16" x14ac:dyDescent="0.25">
      <c r="A1133">
        <v>1314403</v>
      </c>
      <c r="B1133">
        <v>1178</v>
      </c>
      <c r="C1133">
        <v>179970</v>
      </c>
      <c r="D1133" t="s">
        <v>15</v>
      </c>
      <c r="E1133" t="s">
        <v>16</v>
      </c>
      <c r="F1133" s="5">
        <v>102</v>
      </c>
      <c r="G1133" s="5">
        <v>168714</v>
      </c>
      <c r="H1133" s="5">
        <v>24</v>
      </c>
      <c r="I1133" s="8">
        <v>36.01000071</v>
      </c>
      <c r="J1133" s="5">
        <v>2</v>
      </c>
      <c r="K1133" s="5">
        <v>2</v>
      </c>
      <c r="L1133" s="14">
        <f t="shared" si="85"/>
        <v>0.21343813026779046</v>
      </c>
      <c r="M1133" s="14">
        <f t="shared" si="89"/>
        <v>1.5004166962500001</v>
      </c>
      <c r="N1133" s="20">
        <f t="shared" si="86"/>
        <v>1.4225256943703547E-4</v>
      </c>
      <c r="O1133" s="14">
        <f t="shared" si="87"/>
        <v>18.005000355</v>
      </c>
      <c r="P1133" s="20">
        <f t="shared" si="88"/>
        <v>8.3333333333333329E-2</v>
      </c>
    </row>
    <row r="1134" spans="1:16" x14ac:dyDescent="0.25">
      <c r="A1134">
        <v>1314404</v>
      </c>
      <c r="B1134">
        <v>1178</v>
      </c>
      <c r="C1134">
        <v>179971</v>
      </c>
      <c r="D1134" t="s">
        <v>15</v>
      </c>
      <c r="E1134" t="s">
        <v>16</v>
      </c>
      <c r="F1134" s="5">
        <v>103</v>
      </c>
      <c r="G1134" s="5">
        <v>71982</v>
      </c>
      <c r="H1134" s="5">
        <v>11</v>
      </c>
      <c r="I1134" s="8">
        <v>16.340000509999999</v>
      </c>
      <c r="J1134" s="5">
        <v>1</v>
      </c>
      <c r="K1134" s="5">
        <v>0</v>
      </c>
      <c r="L1134" s="14">
        <f t="shared" si="85"/>
        <v>0.22700120182823483</v>
      </c>
      <c r="M1134" s="14">
        <f t="shared" si="89"/>
        <v>1.4854545918181818</v>
      </c>
      <c r="N1134" s="20">
        <f t="shared" si="86"/>
        <v>1.5281598177322109E-4</v>
      </c>
      <c r="O1134" s="14" t="str">
        <f t="shared" si="87"/>
        <v xml:space="preserve"> </v>
      </c>
      <c r="P1134" s="20">
        <f t="shared" si="88"/>
        <v>0</v>
      </c>
    </row>
    <row r="1135" spans="1:16" x14ac:dyDescent="0.25">
      <c r="A1135">
        <v>1314405</v>
      </c>
      <c r="B1135">
        <v>1178</v>
      </c>
      <c r="C1135">
        <v>179972</v>
      </c>
      <c r="D1135" t="s">
        <v>15</v>
      </c>
      <c r="E1135" t="s">
        <v>16</v>
      </c>
      <c r="F1135" s="5">
        <v>104</v>
      </c>
      <c r="G1135" s="5">
        <v>558666</v>
      </c>
      <c r="H1135" s="5">
        <v>110</v>
      </c>
      <c r="I1135" s="8">
        <v>162.63999749999999</v>
      </c>
      <c r="J1135" s="5">
        <v>14</v>
      </c>
      <c r="K1135" s="5">
        <v>5</v>
      </c>
      <c r="L1135" s="14">
        <f t="shared" si="85"/>
        <v>0.29112206130317575</v>
      </c>
      <c r="M1135" s="14">
        <f t="shared" si="89"/>
        <v>1.4785454318181817</v>
      </c>
      <c r="N1135" s="20">
        <f t="shared" si="86"/>
        <v>1.9689760966301869E-4</v>
      </c>
      <c r="O1135" s="14">
        <f t="shared" si="87"/>
        <v>32.5279995</v>
      </c>
      <c r="P1135" s="20">
        <f t="shared" si="88"/>
        <v>4.5454545454545456E-2</v>
      </c>
    </row>
    <row r="1136" spans="1:16" x14ac:dyDescent="0.25">
      <c r="A1136">
        <v>1314406</v>
      </c>
      <c r="B1136">
        <v>1178</v>
      </c>
      <c r="C1136">
        <v>179973</v>
      </c>
      <c r="D1136" t="s">
        <v>15</v>
      </c>
      <c r="E1136" t="s">
        <v>16</v>
      </c>
      <c r="F1136" s="5">
        <v>105</v>
      </c>
      <c r="G1136" s="5">
        <v>1118200</v>
      </c>
      <c r="H1136" s="5">
        <v>235</v>
      </c>
      <c r="I1136" s="8">
        <v>333.74999430000003</v>
      </c>
      <c r="J1136" s="5">
        <v>11</v>
      </c>
      <c r="K1136" s="5">
        <v>4</v>
      </c>
      <c r="L1136" s="14">
        <f t="shared" si="85"/>
        <v>0.29847075147558583</v>
      </c>
      <c r="M1136" s="14">
        <f t="shared" si="89"/>
        <v>1.4202127417021277</v>
      </c>
      <c r="N1136" s="20">
        <f t="shared" si="86"/>
        <v>2.1015918440350564E-4</v>
      </c>
      <c r="O1136" s="14">
        <f t="shared" si="87"/>
        <v>83.437498575000006</v>
      </c>
      <c r="P1136" s="20">
        <f t="shared" si="88"/>
        <v>1.7021276595744681E-2</v>
      </c>
    </row>
    <row r="1137" spans="1:16" x14ac:dyDescent="0.25">
      <c r="A1137">
        <v>1314407</v>
      </c>
      <c r="B1137">
        <v>1178</v>
      </c>
      <c r="C1137">
        <v>179974</v>
      </c>
      <c r="D1137" t="s">
        <v>15</v>
      </c>
      <c r="E1137" t="s">
        <v>16</v>
      </c>
      <c r="F1137" s="5">
        <v>106</v>
      </c>
      <c r="G1137" s="5">
        <v>107100</v>
      </c>
      <c r="H1137" s="5">
        <v>23</v>
      </c>
      <c r="I1137" s="8">
        <v>33.71000051</v>
      </c>
      <c r="J1137" s="5">
        <v>1</v>
      </c>
      <c r="K1137" s="5">
        <v>0</v>
      </c>
      <c r="L1137" s="14">
        <f t="shared" si="85"/>
        <v>0.31475257245564892</v>
      </c>
      <c r="M1137" s="14">
        <f t="shared" si="89"/>
        <v>1.4656521960869566</v>
      </c>
      <c r="N1137" s="20">
        <f t="shared" si="86"/>
        <v>2.1475256769374417E-4</v>
      </c>
      <c r="O1137" s="14" t="str">
        <f t="shared" si="87"/>
        <v xml:space="preserve"> </v>
      </c>
      <c r="P1137" s="20">
        <f t="shared" si="88"/>
        <v>0</v>
      </c>
    </row>
    <row r="1138" spans="1:16" x14ac:dyDescent="0.25">
      <c r="A1138">
        <v>1314408</v>
      </c>
      <c r="B1138">
        <v>1178</v>
      </c>
      <c r="C1138">
        <v>179975</v>
      </c>
      <c r="D1138" t="s">
        <v>15</v>
      </c>
      <c r="E1138" t="s">
        <v>16</v>
      </c>
      <c r="F1138" s="5">
        <v>107</v>
      </c>
      <c r="G1138" s="5">
        <v>877769</v>
      </c>
      <c r="H1138" s="5">
        <v>160</v>
      </c>
      <c r="I1138" s="8">
        <v>232.5900005</v>
      </c>
      <c r="J1138" s="5">
        <v>13</v>
      </c>
      <c r="K1138" s="5">
        <v>4</v>
      </c>
      <c r="L1138" s="14">
        <f t="shared" si="85"/>
        <v>0.2649785997227061</v>
      </c>
      <c r="M1138" s="14">
        <f t="shared" si="89"/>
        <v>1.4536875031250001</v>
      </c>
      <c r="N1138" s="20">
        <f t="shared" si="86"/>
        <v>1.8228030381569639E-4</v>
      </c>
      <c r="O1138" s="14">
        <f t="shared" si="87"/>
        <v>58.147500125000001</v>
      </c>
      <c r="P1138" s="20">
        <f t="shared" si="88"/>
        <v>2.5000000000000001E-2</v>
      </c>
    </row>
    <row r="1139" spans="1:16" x14ac:dyDescent="0.25">
      <c r="A1139">
        <v>1314409</v>
      </c>
      <c r="B1139">
        <v>1178</v>
      </c>
      <c r="C1139">
        <v>179976</v>
      </c>
      <c r="D1139" t="s">
        <v>15</v>
      </c>
      <c r="E1139" t="s">
        <v>16</v>
      </c>
      <c r="F1139" s="5">
        <v>108</v>
      </c>
      <c r="G1139" s="5">
        <v>212508</v>
      </c>
      <c r="H1139" s="5">
        <v>33</v>
      </c>
      <c r="I1139" s="8">
        <v>47.690000060000003</v>
      </c>
      <c r="J1139" s="5">
        <v>4</v>
      </c>
      <c r="K1139" s="5">
        <v>1</v>
      </c>
      <c r="L1139" s="14">
        <f t="shared" si="85"/>
        <v>0.22441508112635761</v>
      </c>
      <c r="M1139" s="14">
        <f t="shared" si="89"/>
        <v>1.4451515169696971</v>
      </c>
      <c r="N1139" s="20">
        <f t="shared" si="86"/>
        <v>1.5528827150036704E-4</v>
      </c>
      <c r="O1139" s="14">
        <f t="shared" si="87"/>
        <v>47.690000060000003</v>
      </c>
      <c r="P1139" s="20">
        <f t="shared" si="88"/>
        <v>3.0303030303030304E-2</v>
      </c>
    </row>
    <row r="1140" spans="1:16" x14ac:dyDescent="0.25">
      <c r="A1140">
        <v>1314410</v>
      </c>
      <c r="B1140">
        <v>1178</v>
      </c>
      <c r="C1140">
        <v>179977</v>
      </c>
      <c r="D1140" t="s">
        <v>15</v>
      </c>
      <c r="E1140" t="s">
        <v>16</v>
      </c>
      <c r="F1140" s="5">
        <v>109</v>
      </c>
      <c r="G1140" s="5">
        <v>1129773</v>
      </c>
      <c r="H1140" s="5">
        <v>252</v>
      </c>
      <c r="I1140" s="8">
        <v>358.18999700000001</v>
      </c>
      <c r="J1140" s="5">
        <v>13</v>
      </c>
      <c r="K1140" s="5">
        <v>2</v>
      </c>
      <c r="L1140" s="14">
        <f t="shared" si="85"/>
        <v>0.31704598799935912</v>
      </c>
      <c r="M1140" s="14">
        <f t="shared" si="89"/>
        <v>1.421388876984127</v>
      </c>
      <c r="N1140" s="20">
        <f t="shared" si="86"/>
        <v>2.2305365768167588E-4</v>
      </c>
      <c r="O1140" s="14">
        <f t="shared" si="87"/>
        <v>179.0949985</v>
      </c>
      <c r="P1140" s="20">
        <f t="shared" si="88"/>
        <v>7.9365079365079361E-3</v>
      </c>
    </row>
    <row r="1141" spans="1:16" x14ac:dyDescent="0.25">
      <c r="A1141">
        <v>1314411</v>
      </c>
      <c r="B1141">
        <v>1178</v>
      </c>
      <c r="C1141">
        <v>179978</v>
      </c>
      <c r="D1141" t="s">
        <v>15</v>
      </c>
      <c r="E1141" t="s">
        <v>16</v>
      </c>
      <c r="F1141" s="5">
        <v>110</v>
      </c>
      <c r="G1141" s="5">
        <v>637549</v>
      </c>
      <c r="H1141" s="5">
        <v>120</v>
      </c>
      <c r="I1141" s="8">
        <v>173.88000349999999</v>
      </c>
      <c r="J1141" s="5">
        <v>3</v>
      </c>
      <c r="K1141" s="5">
        <v>0</v>
      </c>
      <c r="L1141" s="14">
        <f t="shared" si="85"/>
        <v>0.27273198373772051</v>
      </c>
      <c r="M1141" s="14">
        <f t="shared" si="89"/>
        <v>1.4490000291666665</v>
      </c>
      <c r="N1141" s="20">
        <f t="shared" si="86"/>
        <v>1.882208269482032E-4</v>
      </c>
      <c r="O1141" s="14" t="str">
        <f t="shared" si="87"/>
        <v xml:space="preserve"> </v>
      </c>
      <c r="P1141" s="20">
        <f t="shared" si="88"/>
        <v>0</v>
      </c>
    </row>
    <row r="1142" spans="1:16" x14ac:dyDescent="0.25">
      <c r="A1142">
        <v>1314412</v>
      </c>
      <c r="B1142">
        <v>1178</v>
      </c>
      <c r="C1142">
        <v>179979</v>
      </c>
      <c r="D1142" t="s">
        <v>15</v>
      </c>
      <c r="E1142" t="s">
        <v>16</v>
      </c>
      <c r="F1142" s="5">
        <v>111</v>
      </c>
      <c r="G1142" s="5">
        <v>151531</v>
      </c>
      <c r="H1142" s="5">
        <v>28</v>
      </c>
      <c r="I1142" s="8">
        <v>40.28999949</v>
      </c>
      <c r="J1142" s="5">
        <v>2</v>
      </c>
      <c r="K1142" s="5">
        <v>0</v>
      </c>
      <c r="L1142" s="14">
        <f t="shared" si="85"/>
        <v>0.26588618493905541</v>
      </c>
      <c r="M1142" s="14">
        <f t="shared" si="89"/>
        <v>1.4389285532142857</v>
      </c>
      <c r="N1142" s="20">
        <f t="shared" si="86"/>
        <v>1.8478067194171489E-4</v>
      </c>
      <c r="O1142" s="14" t="str">
        <f t="shared" si="87"/>
        <v xml:space="preserve"> </v>
      </c>
      <c r="P1142" s="20">
        <f t="shared" si="88"/>
        <v>0</v>
      </c>
    </row>
    <row r="1143" spans="1:16" x14ac:dyDescent="0.25">
      <c r="A1143">
        <v>1314414</v>
      </c>
      <c r="B1143">
        <v>1178</v>
      </c>
      <c r="C1143">
        <v>179981</v>
      </c>
      <c r="D1143" t="s">
        <v>15</v>
      </c>
      <c r="E1143" t="s">
        <v>16</v>
      </c>
      <c r="F1143" s="5">
        <v>113</v>
      </c>
      <c r="G1143" s="5">
        <v>790253</v>
      </c>
      <c r="H1143" s="5">
        <v>135</v>
      </c>
      <c r="I1143" s="8">
        <v>198.71000050000001</v>
      </c>
      <c r="J1143" s="5">
        <v>8</v>
      </c>
      <c r="K1143" s="5">
        <v>2</v>
      </c>
      <c r="L1143" s="14">
        <f t="shared" si="85"/>
        <v>0.25145111818620114</v>
      </c>
      <c r="M1143" s="14">
        <f t="shared" si="89"/>
        <v>1.4719259296296296</v>
      </c>
      <c r="N1143" s="20">
        <f t="shared" si="86"/>
        <v>1.7083136666358749E-4</v>
      </c>
      <c r="O1143" s="14">
        <f t="shared" si="87"/>
        <v>99.355000250000003</v>
      </c>
      <c r="P1143" s="20">
        <f t="shared" si="88"/>
        <v>1.4814814814814815E-2</v>
      </c>
    </row>
    <row r="1144" spans="1:16" x14ac:dyDescent="0.25">
      <c r="A1144">
        <v>1314415</v>
      </c>
      <c r="B1144">
        <v>1178</v>
      </c>
      <c r="C1144">
        <v>179982</v>
      </c>
      <c r="D1144" t="s">
        <v>15</v>
      </c>
      <c r="E1144" t="s">
        <v>16</v>
      </c>
      <c r="F1144" s="5">
        <v>114</v>
      </c>
      <c r="G1144" s="5">
        <v>513161</v>
      </c>
      <c r="H1144" s="5">
        <v>114</v>
      </c>
      <c r="I1144" s="8">
        <v>165.60999870000001</v>
      </c>
      <c r="J1144" s="5">
        <v>5</v>
      </c>
      <c r="K1144" s="5">
        <v>2</v>
      </c>
      <c r="L1144" s="14">
        <f t="shared" si="85"/>
        <v>0.32272522405249038</v>
      </c>
      <c r="M1144" s="14">
        <f t="shared" si="89"/>
        <v>1.4527192868421053</v>
      </c>
      <c r="N1144" s="20">
        <f t="shared" si="86"/>
        <v>2.2215250184639908E-4</v>
      </c>
      <c r="O1144" s="14">
        <f t="shared" si="87"/>
        <v>82.804999350000003</v>
      </c>
      <c r="P1144" s="20">
        <f t="shared" si="88"/>
        <v>1.7543859649122806E-2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2C5A-392A-4EF2-A0FD-0232B305E01A}">
  <dimension ref="C4:D30"/>
  <sheetViews>
    <sheetView topLeftCell="A17" workbookViewId="0">
      <selection activeCell="G8" sqref="G8"/>
    </sheetView>
  </sheetViews>
  <sheetFormatPr defaultRowHeight="15" x14ac:dyDescent="0.25"/>
  <cols>
    <col min="4" max="4" width="95.28515625" customWidth="1"/>
  </cols>
  <sheetData>
    <row r="4" spans="3:4" ht="25.5" customHeight="1" x14ac:dyDescent="0.25">
      <c r="C4" s="2" t="s">
        <v>17</v>
      </c>
      <c r="D4" s="2" t="s">
        <v>18</v>
      </c>
    </row>
    <row r="5" spans="3:4" ht="42.75" customHeight="1" x14ac:dyDescent="0.25">
      <c r="C5" s="3">
        <v>1</v>
      </c>
      <c r="D5" s="4" t="s">
        <v>19</v>
      </c>
    </row>
    <row r="6" spans="3:4" ht="42.75" customHeight="1" x14ac:dyDescent="0.25">
      <c r="C6" s="3">
        <v>2</v>
      </c>
      <c r="D6" s="4" t="s">
        <v>40</v>
      </c>
    </row>
    <row r="7" spans="3:4" ht="42.75" customHeight="1" x14ac:dyDescent="0.25">
      <c r="C7" s="3">
        <v>3</v>
      </c>
      <c r="D7" s="6" t="s">
        <v>22</v>
      </c>
    </row>
    <row r="8" spans="3:4" ht="81.75" customHeight="1" x14ac:dyDescent="0.25">
      <c r="C8" s="3">
        <v>4</v>
      </c>
      <c r="D8" s="7" t="s">
        <v>20</v>
      </c>
    </row>
    <row r="9" spans="3:4" ht="40.5" customHeight="1" x14ac:dyDescent="0.25">
      <c r="C9" s="3">
        <v>5</v>
      </c>
      <c r="D9" s="6" t="s">
        <v>23</v>
      </c>
    </row>
    <row r="10" spans="3:4" ht="24.75" customHeight="1" x14ac:dyDescent="0.25">
      <c r="C10" s="3">
        <v>6</v>
      </c>
      <c r="D10" s="4" t="s">
        <v>21</v>
      </c>
    </row>
    <row r="11" spans="3:4" x14ac:dyDescent="0.25">
      <c r="C11" s="3">
        <v>7</v>
      </c>
      <c r="D11" s="4" t="s">
        <v>35</v>
      </c>
    </row>
    <row r="12" spans="3:4" x14ac:dyDescent="0.25">
      <c r="C12" s="3">
        <v>8</v>
      </c>
      <c r="D12" s="4" t="s">
        <v>36</v>
      </c>
    </row>
    <row r="13" spans="3:4" x14ac:dyDescent="0.25">
      <c r="C13" s="3">
        <v>9</v>
      </c>
      <c r="D13" s="4" t="s">
        <v>37</v>
      </c>
    </row>
    <row r="14" spans="3:4" x14ac:dyDescent="0.25">
      <c r="C14" s="3">
        <v>10</v>
      </c>
      <c r="D14" s="4" t="s">
        <v>38</v>
      </c>
    </row>
    <row r="15" spans="3:4" x14ac:dyDescent="0.25">
      <c r="C15" s="3">
        <v>11</v>
      </c>
      <c r="D15" s="4" t="s">
        <v>61</v>
      </c>
    </row>
    <row r="16" spans="3:4" x14ac:dyDescent="0.25">
      <c r="C16" s="3">
        <v>12</v>
      </c>
      <c r="D16" s="4" t="s">
        <v>39</v>
      </c>
    </row>
    <row r="17" spans="3:4" x14ac:dyDescent="0.25">
      <c r="C17" s="3">
        <v>13</v>
      </c>
      <c r="D17" s="4" t="s">
        <v>97</v>
      </c>
    </row>
    <row r="18" spans="3:4" x14ac:dyDescent="0.25">
      <c r="C18" s="3">
        <v>14</v>
      </c>
      <c r="D18" s="4" t="s">
        <v>55</v>
      </c>
    </row>
    <row r="19" spans="3:4" x14ac:dyDescent="0.25">
      <c r="C19" s="3"/>
      <c r="D19" s="4"/>
    </row>
    <row r="20" spans="3:4" x14ac:dyDescent="0.25">
      <c r="C20" s="3"/>
      <c r="D20" s="4"/>
    </row>
    <row r="21" spans="3:4" x14ac:dyDescent="0.25">
      <c r="C21" s="3"/>
      <c r="D21" s="4"/>
    </row>
    <row r="22" spans="3:4" x14ac:dyDescent="0.25">
      <c r="C22" s="3"/>
      <c r="D22" s="4"/>
    </row>
    <row r="23" spans="3:4" x14ac:dyDescent="0.25">
      <c r="C23" s="3"/>
      <c r="D23" s="4"/>
    </row>
    <row r="24" spans="3:4" x14ac:dyDescent="0.25">
      <c r="C24" s="3"/>
      <c r="D24" s="4"/>
    </row>
    <row r="25" spans="3:4" x14ac:dyDescent="0.25">
      <c r="C25" s="3"/>
      <c r="D25" s="4"/>
    </row>
    <row r="26" spans="3:4" x14ac:dyDescent="0.25">
      <c r="C26" s="3"/>
      <c r="D26" s="4"/>
    </row>
    <row r="27" spans="3:4" x14ac:dyDescent="0.25">
      <c r="C27" s="3"/>
      <c r="D27" s="4"/>
    </row>
    <row r="28" spans="3:4" x14ac:dyDescent="0.25">
      <c r="C28" s="3"/>
      <c r="D28" s="4"/>
    </row>
    <row r="29" spans="3:4" x14ac:dyDescent="0.25">
      <c r="C29" s="3"/>
      <c r="D29" s="4"/>
    </row>
    <row r="30" spans="3:4" x14ac:dyDescent="0.25">
      <c r="C30" s="3"/>
      <c r="D30" s="4"/>
    </row>
  </sheetData>
  <phoneticPr fontId="2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BCB0-D35C-4DCB-A4A0-1FBB4B9F67F9}">
  <dimension ref="A1:AP32"/>
  <sheetViews>
    <sheetView topLeftCell="AI1" workbookViewId="0">
      <selection activeCell="AS17" sqref="AS17"/>
    </sheetView>
  </sheetViews>
  <sheetFormatPr defaultRowHeight="15" x14ac:dyDescent="0.25"/>
  <cols>
    <col min="1" max="1" width="12.7109375" bestFit="1" customWidth="1"/>
    <col min="2" max="2" width="18.5703125" bestFit="1" customWidth="1"/>
    <col min="3" max="3" width="13" bestFit="1" customWidth="1"/>
    <col min="4" max="4" width="27.7109375" bestFit="1" customWidth="1"/>
    <col min="5" max="5" width="15.140625" bestFit="1" customWidth="1"/>
    <col min="6" max="8" width="14.85546875" bestFit="1" customWidth="1"/>
    <col min="9" max="9" width="15" bestFit="1" customWidth="1"/>
    <col min="14" max="14" width="13.42578125" bestFit="1" customWidth="1"/>
    <col min="15" max="15" width="13.140625" bestFit="1" customWidth="1"/>
    <col min="16" max="16" width="15" bestFit="1" customWidth="1"/>
    <col min="17" max="17" width="28.140625" bestFit="1" customWidth="1"/>
    <col min="18" max="18" width="19.140625" bestFit="1" customWidth="1"/>
    <col min="19" max="19" width="14.7109375" bestFit="1" customWidth="1"/>
    <col min="20" max="21" width="15.140625" bestFit="1" customWidth="1"/>
    <col min="22" max="22" width="14.7109375" bestFit="1" customWidth="1"/>
    <col min="23" max="23" width="15.140625" customWidth="1"/>
    <col min="24" max="24" width="9.140625" customWidth="1"/>
    <col min="26" max="27" width="13.42578125" bestFit="1" customWidth="1"/>
    <col min="28" max="28" width="19.140625" bestFit="1" customWidth="1"/>
    <col min="29" max="29" width="13.140625" bestFit="1" customWidth="1"/>
    <col min="30" max="30" width="28.140625" bestFit="1" customWidth="1"/>
    <col min="31" max="32" width="14.7109375" bestFit="1" customWidth="1"/>
    <col min="33" max="33" width="15.140625" bestFit="1" customWidth="1"/>
    <col min="37" max="37" width="13.42578125" bestFit="1" customWidth="1"/>
    <col min="38" max="38" width="14.7109375" bestFit="1" customWidth="1"/>
    <col min="39" max="39" width="15.140625" bestFit="1" customWidth="1"/>
  </cols>
  <sheetData>
    <row r="1" spans="1:42" x14ac:dyDescent="0.25">
      <c r="A1" s="13" t="s">
        <v>51</v>
      </c>
      <c r="K1" s="17"/>
      <c r="M1" s="13" t="s">
        <v>52</v>
      </c>
      <c r="X1" s="17"/>
      <c r="Z1" s="13" t="s">
        <v>53</v>
      </c>
      <c r="AH1" s="17"/>
      <c r="AJ1" s="13" t="s">
        <v>54</v>
      </c>
      <c r="AP1" s="17"/>
    </row>
    <row r="2" spans="1:42" x14ac:dyDescent="0.25">
      <c r="K2" s="17"/>
      <c r="X2" s="17"/>
      <c r="AH2" s="17"/>
      <c r="AP2" s="17"/>
    </row>
    <row r="3" spans="1:42" x14ac:dyDescent="0.25">
      <c r="A3" t="s">
        <v>43</v>
      </c>
      <c r="B3" t="s">
        <v>45</v>
      </c>
      <c r="C3" t="s">
        <v>48</v>
      </c>
      <c r="D3" t="s">
        <v>44</v>
      </c>
      <c r="E3" t="s">
        <v>49</v>
      </c>
      <c r="F3" t="s">
        <v>50</v>
      </c>
      <c r="G3" t="s">
        <v>47</v>
      </c>
      <c r="H3" t="s">
        <v>46</v>
      </c>
      <c r="I3" t="s">
        <v>62</v>
      </c>
      <c r="K3" s="17"/>
      <c r="N3" s="15" t="s">
        <v>41</v>
      </c>
      <c r="O3" t="s">
        <v>43</v>
      </c>
      <c r="P3" t="s">
        <v>50</v>
      </c>
      <c r="Q3" t="s">
        <v>44</v>
      </c>
      <c r="R3" t="s">
        <v>45</v>
      </c>
      <c r="S3" t="s">
        <v>46</v>
      </c>
      <c r="T3" t="s">
        <v>49</v>
      </c>
      <c r="U3" t="s">
        <v>62</v>
      </c>
      <c r="V3" t="s">
        <v>47</v>
      </c>
      <c r="X3" s="17"/>
      <c r="Z3" s="15" t="s">
        <v>77</v>
      </c>
      <c r="AA3" t="s">
        <v>48</v>
      </c>
      <c r="AB3" t="s">
        <v>45</v>
      </c>
      <c r="AC3" t="s">
        <v>43</v>
      </c>
      <c r="AD3" t="s">
        <v>44</v>
      </c>
      <c r="AE3" t="s">
        <v>46</v>
      </c>
      <c r="AF3" t="s">
        <v>47</v>
      </c>
      <c r="AG3" t="s">
        <v>62</v>
      </c>
      <c r="AH3" s="17"/>
      <c r="AK3" s="15" t="s">
        <v>41</v>
      </c>
      <c r="AL3" t="s">
        <v>46</v>
      </c>
      <c r="AM3" t="s">
        <v>49</v>
      </c>
      <c r="AP3" s="17"/>
    </row>
    <row r="4" spans="1:42" x14ac:dyDescent="0.25">
      <c r="A4" s="8">
        <v>58705.229958204982</v>
      </c>
      <c r="B4" s="5">
        <v>213434828</v>
      </c>
      <c r="C4" s="5">
        <v>38165</v>
      </c>
      <c r="D4" s="5">
        <v>1079</v>
      </c>
      <c r="E4" s="14">
        <v>0.23938690986460195</v>
      </c>
      <c r="F4" s="14">
        <v>1.4993474467280823</v>
      </c>
      <c r="G4" s="52">
        <v>1.641967130599648E-4</v>
      </c>
      <c r="H4" s="14">
        <v>40.552818573572623</v>
      </c>
      <c r="I4" s="22">
        <v>8.9284599355772806E-2</v>
      </c>
      <c r="K4" s="17"/>
      <c r="N4" s="9" t="s">
        <v>11</v>
      </c>
      <c r="O4" s="8">
        <v>15252.399986378003</v>
      </c>
      <c r="P4" s="14">
        <v>1.506131991798364</v>
      </c>
      <c r="Q4" s="5">
        <v>494</v>
      </c>
      <c r="R4" s="5">
        <v>67993019</v>
      </c>
      <c r="S4" s="14">
        <v>22.946630308890473</v>
      </c>
      <c r="T4" s="14">
        <v>0.16822858798852539</v>
      </c>
      <c r="U4" s="22">
        <v>0.11126836664838956</v>
      </c>
      <c r="V4" s="23">
        <v>1.1623548401993108E-4</v>
      </c>
      <c r="W4" s="22"/>
      <c r="X4" s="17"/>
      <c r="Z4" s="9">
        <v>916</v>
      </c>
      <c r="AA4" s="5">
        <v>113</v>
      </c>
      <c r="AB4" s="5">
        <v>482925</v>
      </c>
      <c r="AC4" s="8">
        <v>149.71000065699997</v>
      </c>
      <c r="AD4" s="5">
        <v>24</v>
      </c>
      <c r="AE4" s="14">
        <v>3.1416666704166669</v>
      </c>
      <c r="AF4" s="23">
        <v>1.8014713698909525E-4</v>
      </c>
      <c r="AG4" s="22">
        <v>0.16666666666666666</v>
      </c>
      <c r="AH4" s="17"/>
      <c r="AK4" s="9" t="s">
        <v>11</v>
      </c>
      <c r="AL4" s="14">
        <v>22.946630308890473</v>
      </c>
      <c r="AM4" s="14">
        <v>0.16822858798852539</v>
      </c>
      <c r="AP4" s="17"/>
    </row>
    <row r="5" spans="1:42" x14ac:dyDescent="0.25">
      <c r="K5" s="17"/>
      <c r="N5" s="16" t="s">
        <v>16</v>
      </c>
      <c r="O5" s="8">
        <v>7611.4799951269988</v>
      </c>
      <c r="P5" s="14">
        <v>1.4395252323018175</v>
      </c>
      <c r="Q5" s="5">
        <v>195</v>
      </c>
      <c r="R5" s="5">
        <v>31571576</v>
      </c>
      <c r="S5" s="14">
        <v>28.666138310643763</v>
      </c>
      <c r="T5" s="14">
        <v>0.19153404524487005</v>
      </c>
      <c r="U5" s="22">
        <v>0.10954425479084594</v>
      </c>
      <c r="V5" s="23">
        <v>1.3546992128639151E-4</v>
      </c>
      <c r="W5" s="22"/>
      <c r="X5" s="17"/>
      <c r="Z5" s="9">
        <v>936</v>
      </c>
      <c r="AA5" s="5">
        <v>1984</v>
      </c>
      <c r="AB5" s="5">
        <v>8128187</v>
      </c>
      <c r="AC5" s="8">
        <v>2893.369998933998</v>
      </c>
      <c r="AD5" s="5">
        <v>183</v>
      </c>
      <c r="AE5" s="14">
        <v>5.4961821641250053</v>
      </c>
      <c r="AF5" s="23">
        <v>1.6501501497368382E-4</v>
      </c>
      <c r="AG5" s="22">
        <v>0.13165044886205979</v>
      </c>
      <c r="AH5" s="17"/>
      <c r="AK5" s="16" t="s">
        <v>16</v>
      </c>
      <c r="AL5" s="14">
        <v>28.666138310643763</v>
      </c>
      <c r="AM5" s="14">
        <v>0.19153404524487005</v>
      </c>
      <c r="AP5" s="17"/>
    </row>
    <row r="6" spans="1:42" x14ac:dyDescent="0.25">
      <c r="K6" s="17"/>
      <c r="N6" s="16" t="s">
        <v>12</v>
      </c>
      <c r="O6" s="8">
        <v>7640.9199912509966</v>
      </c>
      <c r="P6" s="14">
        <v>1.5689446953742214</v>
      </c>
      <c r="Q6" s="5">
        <v>299</v>
      </c>
      <c r="R6" s="5">
        <v>36421443</v>
      </c>
      <c r="S6" s="14">
        <v>18.407338244006937</v>
      </c>
      <c r="T6" s="14">
        <v>0.14817978851472677</v>
      </c>
      <c r="U6" s="22">
        <v>0.11275155457824161</v>
      </c>
      <c r="V6" s="23">
        <v>9.9688828380225077E-5</v>
      </c>
      <c r="W6" s="22"/>
      <c r="X6" s="17"/>
      <c r="Z6" s="9">
        <v>1178</v>
      </c>
      <c r="AA6" s="5">
        <v>36068</v>
      </c>
      <c r="AB6" s="5">
        <v>204823716</v>
      </c>
      <c r="AC6" s="8">
        <v>55662.149958614005</v>
      </c>
      <c r="AD6" s="5">
        <v>872</v>
      </c>
      <c r="AE6" s="14">
        <v>58.407481223316765</v>
      </c>
      <c r="AF6" s="23">
        <v>1.6221108909174263E-4</v>
      </c>
      <c r="AG6" s="22">
        <v>5.1146382066644111E-2</v>
      </c>
      <c r="AH6" s="17"/>
      <c r="AK6" s="16" t="s">
        <v>12</v>
      </c>
      <c r="AL6" s="14">
        <v>18.407338244006937</v>
      </c>
      <c r="AM6" s="14">
        <v>0.14817978851472677</v>
      </c>
      <c r="AP6" s="17"/>
    </row>
    <row r="7" spans="1:42" x14ac:dyDescent="0.25">
      <c r="K7" s="17"/>
      <c r="N7" s="9" t="s">
        <v>13</v>
      </c>
      <c r="O7" s="8">
        <v>11112.429994335</v>
      </c>
      <c r="P7" s="14">
        <v>1.5183106145953174</v>
      </c>
      <c r="Q7" s="5">
        <v>207</v>
      </c>
      <c r="R7" s="5">
        <v>42104644</v>
      </c>
      <c r="S7" s="14">
        <v>40.606658825700265</v>
      </c>
      <c r="T7" s="14">
        <v>0.23873259414120604</v>
      </c>
      <c r="U7" s="22">
        <v>0.10392850960774239</v>
      </c>
      <c r="V7" s="23">
        <v>1.6255896416840135E-4</v>
      </c>
      <c r="W7" s="22"/>
      <c r="X7" s="17"/>
      <c r="Z7" s="9" t="s">
        <v>42</v>
      </c>
      <c r="AA7" s="5">
        <v>38165</v>
      </c>
      <c r="AB7" s="5">
        <v>213434828</v>
      </c>
      <c r="AC7" s="8">
        <v>58705.229958204982</v>
      </c>
      <c r="AD7" s="5">
        <v>1079</v>
      </c>
      <c r="AE7" s="14">
        <v>40.552818573572623</v>
      </c>
      <c r="AF7" s="23">
        <v>1.641967130599648E-4</v>
      </c>
      <c r="AG7" s="22">
        <v>8.9284599355772806E-2</v>
      </c>
      <c r="AH7" s="17"/>
      <c r="AK7" s="9" t="s">
        <v>13</v>
      </c>
      <c r="AL7" s="14">
        <v>40.606658825700265</v>
      </c>
      <c r="AM7" s="14">
        <v>0.23873259414120604</v>
      </c>
      <c r="AP7" s="17"/>
    </row>
    <row r="8" spans="1:42" x14ac:dyDescent="0.25">
      <c r="K8" s="17"/>
      <c r="N8" s="16" t="s">
        <v>16</v>
      </c>
      <c r="O8" s="8">
        <v>6061.3499918270008</v>
      </c>
      <c r="P8" s="14">
        <v>1.4184817515694024</v>
      </c>
      <c r="Q8" s="5">
        <v>95</v>
      </c>
      <c r="R8" s="5">
        <v>21439505</v>
      </c>
      <c r="S8" s="14">
        <v>48.329580314293118</v>
      </c>
      <c r="T8" s="14">
        <v>0.26818502826219798</v>
      </c>
      <c r="U8" s="22">
        <v>0.10301733193402203</v>
      </c>
      <c r="V8" s="23">
        <v>1.9272737685131579E-4</v>
      </c>
      <c r="W8" s="22"/>
      <c r="X8" s="17"/>
      <c r="AH8" s="17"/>
      <c r="AK8" s="16" t="s">
        <v>16</v>
      </c>
      <c r="AL8" s="14">
        <v>48.329580314293118</v>
      </c>
      <c r="AM8" s="14">
        <v>0.26818502826219798</v>
      </c>
      <c r="AP8" s="17"/>
    </row>
    <row r="9" spans="1:42" x14ac:dyDescent="0.25">
      <c r="K9" s="17"/>
      <c r="N9" s="16" t="s">
        <v>12</v>
      </c>
      <c r="O9" s="8">
        <v>5051.0800025079998</v>
      </c>
      <c r="P9" s="14">
        <v>1.5969892947767588</v>
      </c>
      <c r="Q9" s="5">
        <v>112</v>
      </c>
      <c r="R9" s="5">
        <v>20665139</v>
      </c>
      <c r="S9" s="14">
        <v>34.297793384314545</v>
      </c>
      <c r="T9" s="14">
        <v>0.21563680047798203</v>
      </c>
      <c r="U9" s="22">
        <v>0.10464303022958056</v>
      </c>
      <c r="V9" s="23">
        <v>1.3890171969043225E-4</v>
      </c>
      <c r="W9" s="22"/>
      <c r="X9" s="17"/>
      <c r="AH9" s="17"/>
      <c r="AK9" s="16" t="s">
        <v>12</v>
      </c>
      <c r="AL9" s="14">
        <v>34.297793384314545</v>
      </c>
      <c r="AM9" s="14">
        <v>0.21563680047798203</v>
      </c>
      <c r="AP9" s="17"/>
    </row>
    <row r="10" spans="1:42" x14ac:dyDescent="0.25">
      <c r="K10" s="17"/>
      <c r="N10" s="9" t="s">
        <v>14</v>
      </c>
      <c r="O10" s="8">
        <v>11589.729980837998</v>
      </c>
      <c r="P10" s="14">
        <v>1.4752225327067769</v>
      </c>
      <c r="Q10" s="5">
        <v>170</v>
      </c>
      <c r="R10" s="5">
        <v>39604307</v>
      </c>
      <c r="S10" s="14">
        <v>46.817139147831462</v>
      </c>
      <c r="T10" s="14">
        <v>0.28976647460688187</v>
      </c>
      <c r="U10" s="22">
        <v>6.593907146373798E-2</v>
      </c>
      <c r="V10" s="23">
        <v>2.0044231616581752E-4</v>
      </c>
      <c r="W10" s="22"/>
      <c r="X10" s="17"/>
      <c r="AH10" s="17"/>
      <c r="AK10" s="9" t="s">
        <v>14</v>
      </c>
      <c r="AL10" s="14">
        <v>46.817139147831462</v>
      </c>
      <c r="AM10" s="14">
        <v>0.28976647460688187</v>
      </c>
      <c r="AP10" s="17"/>
    </row>
    <row r="11" spans="1:42" x14ac:dyDescent="0.25">
      <c r="K11" s="17"/>
      <c r="N11" s="16" t="s">
        <v>16</v>
      </c>
      <c r="O11" s="8">
        <v>7396.5799836370034</v>
      </c>
      <c r="P11" s="14">
        <v>1.4086592096852266</v>
      </c>
      <c r="Q11" s="5">
        <v>93</v>
      </c>
      <c r="R11" s="5">
        <v>23396175</v>
      </c>
      <c r="S11" s="14">
        <v>57.772754610429899</v>
      </c>
      <c r="T11" s="14">
        <v>0.31046210208344677</v>
      </c>
      <c r="U11" s="22">
        <v>3.5026949362531694E-2</v>
      </c>
      <c r="V11" s="23">
        <v>2.2103098258456709E-4</v>
      </c>
      <c r="W11" s="22"/>
      <c r="X11" s="17"/>
      <c r="AH11" s="17"/>
      <c r="AK11" s="16" t="s">
        <v>16</v>
      </c>
      <c r="AL11" s="14">
        <v>57.772754610429899</v>
      </c>
      <c r="AM11" s="14">
        <v>0.31046210208344677</v>
      </c>
      <c r="AP11" s="17"/>
    </row>
    <row r="12" spans="1:42" x14ac:dyDescent="0.25">
      <c r="K12" s="17"/>
      <c r="N12" s="16" t="s">
        <v>12</v>
      </c>
      <c r="O12" s="8">
        <v>4193.1499972009997</v>
      </c>
      <c r="P12" s="14">
        <v>1.5439563988703346</v>
      </c>
      <c r="Q12" s="5">
        <v>77</v>
      </c>
      <c r="R12" s="5">
        <v>16208132</v>
      </c>
      <c r="S12" s="14">
        <v>37.904096059615838</v>
      </c>
      <c r="T12" s="14">
        <v>0.26826713344190667</v>
      </c>
      <c r="U12" s="22">
        <v>9.8051664326156224E-2</v>
      </c>
      <c r="V12" s="23">
        <v>1.7905408988614553E-4</v>
      </c>
      <c r="W12" s="22"/>
      <c r="X12" s="17"/>
      <c r="AH12" s="17"/>
      <c r="AK12" s="16" t="s">
        <v>12</v>
      </c>
      <c r="AL12" s="14">
        <v>37.904096059615838</v>
      </c>
      <c r="AM12" s="14">
        <v>0.26826713344190667</v>
      </c>
      <c r="AP12" s="17"/>
    </row>
    <row r="13" spans="1:42" x14ac:dyDescent="0.25">
      <c r="K13" s="17"/>
      <c r="N13" s="9" t="s">
        <v>15</v>
      </c>
      <c r="O13" s="8">
        <v>20750.669996654011</v>
      </c>
      <c r="P13" s="14">
        <v>1.4925391141108595</v>
      </c>
      <c r="Q13" s="5">
        <v>208</v>
      </c>
      <c r="R13" s="5">
        <v>63732858</v>
      </c>
      <c r="S13" s="14">
        <v>67.616514096916859</v>
      </c>
      <c r="T13" s="14">
        <v>0.31620546902573066</v>
      </c>
      <c r="U13" s="22">
        <v>5.8032808808221051E-2</v>
      </c>
      <c r="V13" s="23">
        <v>2.1526261516009195E-4</v>
      </c>
      <c r="W13" s="22"/>
      <c r="X13" s="17"/>
      <c r="AH13" s="17"/>
      <c r="AK13" s="9" t="s">
        <v>15</v>
      </c>
      <c r="AL13" s="14">
        <v>67.616514096916859</v>
      </c>
      <c r="AM13" s="14">
        <v>0.31620546902573066</v>
      </c>
      <c r="AP13" s="17"/>
    </row>
    <row r="14" spans="1:42" x14ac:dyDescent="0.25">
      <c r="K14" s="17"/>
      <c r="N14" s="16" t="s">
        <v>16</v>
      </c>
      <c r="O14" s="8">
        <v>13433.209992777003</v>
      </c>
      <c r="P14" s="14">
        <v>1.4396513659177126</v>
      </c>
      <c r="Q14" s="5">
        <v>112</v>
      </c>
      <c r="R14" s="5">
        <v>38455591</v>
      </c>
      <c r="S14" s="14">
        <v>77.977790311848949</v>
      </c>
      <c r="T14" s="14">
        <v>0.36896680602004495</v>
      </c>
      <c r="U14" s="22">
        <v>5.1961837162324151E-2</v>
      </c>
      <c r="V14" s="23">
        <v>2.5720296409790708E-4</v>
      </c>
      <c r="W14" s="22"/>
      <c r="X14" s="17"/>
      <c r="AH14" s="17"/>
      <c r="AK14" s="16" t="s">
        <v>16</v>
      </c>
      <c r="AL14" s="14">
        <v>77.977790311848949</v>
      </c>
      <c r="AM14" s="14">
        <v>0.36896680602004495</v>
      </c>
      <c r="AP14" s="17"/>
    </row>
    <row r="15" spans="1:42" x14ac:dyDescent="0.25">
      <c r="K15" s="17"/>
      <c r="N15" s="16" t="s">
        <v>12</v>
      </c>
      <c r="O15" s="8">
        <v>7317.4600038770013</v>
      </c>
      <c r="P15" s="14">
        <v>1.5560044119426368</v>
      </c>
      <c r="Q15" s="5">
        <v>96</v>
      </c>
      <c r="R15" s="5">
        <v>25277267</v>
      </c>
      <c r="S15" s="14">
        <v>56.183381721819387</v>
      </c>
      <c r="T15" s="14">
        <v>0.25603138220576849</v>
      </c>
      <c r="U15" s="22">
        <v>6.4956726883706808E-2</v>
      </c>
      <c r="V15" s="23">
        <v>1.6742982050374058E-4</v>
      </c>
      <c r="W15" s="22"/>
      <c r="X15" s="17"/>
      <c r="AH15" s="17"/>
      <c r="AK15" s="16" t="s">
        <v>12</v>
      </c>
      <c r="AL15" s="14">
        <v>56.183381721819387</v>
      </c>
      <c r="AM15" s="14">
        <v>0.25603138220576849</v>
      </c>
      <c r="AP15" s="17"/>
    </row>
    <row r="16" spans="1:42" x14ac:dyDescent="0.25">
      <c r="K16" s="17"/>
      <c r="N16" s="9" t="s">
        <v>42</v>
      </c>
      <c r="O16" s="8">
        <v>58705.229958204967</v>
      </c>
      <c r="P16" s="14">
        <v>1.4993474467280834</v>
      </c>
      <c r="Q16" s="5">
        <v>1079</v>
      </c>
      <c r="R16" s="5">
        <v>213434828</v>
      </c>
      <c r="S16" s="14">
        <v>40.552818573572615</v>
      </c>
      <c r="T16" s="14">
        <v>0.23938690986460215</v>
      </c>
      <c r="U16" s="22">
        <v>8.9284599355772792E-2</v>
      </c>
      <c r="V16" s="23">
        <v>1.6419671305996483E-4</v>
      </c>
      <c r="W16" s="22"/>
      <c r="X16" s="17"/>
      <c r="AH16" s="17"/>
      <c r="AK16" s="9" t="s">
        <v>42</v>
      </c>
      <c r="AL16" s="14">
        <v>40.552818573572615</v>
      </c>
      <c r="AM16" s="14">
        <v>0.23938690986460215</v>
      </c>
      <c r="AP16" s="17"/>
    </row>
    <row r="17" spans="11:42" x14ac:dyDescent="0.25">
      <c r="K17" s="17"/>
      <c r="X17" s="17"/>
      <c r="AH17" s="17"/>
      <c r="AP17" s="17"/>
    </row>
    <row r="18" spans="11:42" x14ac:dyDescent="0.25">
      <c r="K18" s="17"/>
      <c r="X18" s="17"/>
      <c r="AH18" s="17"/>
      <c r="AP18" s="17"/>
    </row>
    <row r="19" spans="11:42" x14ac:dyDescent="0.25">
      <c r="K19" s="17"/>
      <c r="X19" s="17"/>
      <c r="AH19" s="17"/>
      <c r="AP19" s="17"/>
    </row>
    <row r="20" spans="11:42" x14ac:dyDescent="0.25">
      <c r="K20" s="17"/>
      <c r="X20" s="17"/>
      <c r="AH20" s="17"/>
      <c r="AP20" s="17"/>
    </row>
    <row r="21" spans="11:42" x14ac:dyDescent="0.25">
      <c r="K21" s="17"/>
      <c r="X21" s="17"/>
      <c r="AH21" s="17"/>
      <c r="AP21" s="17"/>
    </row>
    <row r="22" spans="11:42" x14ac:dyDescent="0.25">
      <c r="K22" s="17"/>
      <c r="X22" s="17"/>
      <c r="AH22" s="17"/>
      <c r="AP22" s="17"/>
    </row>
    <row r="23" spans="11:42" x14ac:dyDescent="0.25">
      <c r="K23" s="17"/>
      <c r="X23" s="17"/>
      <c r="AH23" s="17"/>
      <c r="AP23" s="17"/>
    </row>
    <row r="24" spans="11:42" x14ac:dyDescent="0.25">
      <c r="K24" s="17"/>
      <c r="X24" s="17"/>
      <c r="AH24" s="17"/>
      <c r="AP24" s="17"/>
    </row>
    <row r="25" spans="11:42" x14ac:dyDescent="0.25">
      <c r="K25" s="17"/>
      <c r="AH25" s="17"/>
      <c r="AP25" s="17"/>
    </row>
    <row r="26" spans="11:42" x14ac:dyDescent="0.25">
      <c r="K26" s="17"/>
      <c r="AH26" s="17"/>
      <c r="AP26" s="17"/>
    </row>
    <row r="27" spans="11:42" x14ac:dyDescent="0.25">
      <c r="K27" s="17"/>
      <c r="AP27" s="17"/>
    </row>
    <row r="28" spans="11:42" x14ac:dyDescent="0.25">
      <c r="K28" s="17"/>
    </row>
    <row r="29" spans="11:42" x14ac:dyDescent="0.25">
      <c r="K29" s="17"/>
    </row>
    <row r="30" spans="11:42" x14ac:dyDescent="0.25">
      <c r="K30" s="17"/>
    </row>
    <row r="31" spans="11:42" x14ac:dyDescent="0.25">
      <c r="K31" s="17"/>
    </row>
    <row r="32" spans="11:42" x14ac:dyDescent="0.25">
      <c r="K32"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2FDC8-4C53-4346-8EC3-DA501F75062A}">
  <dimension ref="B1:AP878"/>
  <sheetViews>
    <sheetView zoomScaleNormal="100" workbookViewId="0">
      <selection activeCell="U18" sqref="U18"/>
    </sheetView>
  </sheetViews>
  <sheetFormatPr defaultRowHeight="15" x14ac:dyDescent="0.25"/>
  <cols>
    <col min="2" max="2" width="15.140625" bestFit="1" customWidth="1"/>
    <col min="3" max="3" width="14.7109375" bestFit="1" customWidth="1"/>
    <col min="4" max="4" width="15.140625" bestFit="1" customWidth="1"/>
    <col min="5" max="5" width="15" bestFit="1" customWidth="1"/>
    <col min="6" max="6" width="14.7109375" bestFit="1" customWidth="1"/>
    <col min="9" max="9" width="13.42578125" bestFit="1" customWidth="1"/>
    <col min="10" max="10" width="16.85546875" bestFit="1" customWidth="1"/>
    <col min="11" max="11" width="9.140625" bestFit="1" customWidth="1"/>
    <col min="14" max="14" width="14.7109375" bestFit="1" customWidth="1"/>
    <col min="15" max="15" width="16.85546875" bestFit="1" customWidth="1"/>
    <col min="16" max="16" width="5.5703125" bestFit="1" customWidth="1"/>
    <col min="17" max="17" width="11" bestFit="1" customWidth="1"/>
    <col min="19" max="19" width="14.7109375" bestFit="1" customWidth="1"/>
    <col min="20" max="20" width="16.85546875" bestFit="1" customWidth="1"/>
    <col min="21" max="21" width="6.140625" bestFit="1" customWidth="1"/>
    <col min="22" max="22" width="11" bestFit="1" customWidth="1"/>
    <col min="23" max="23" width="6.140625" bestFit="1" customWidth="1"/>
    <col min="24" max="24" width="13.42578125" bestFit="1" customWidth="1"/>
    <col min="25" max="25" width="15.140625" bestFit="1" customWidth="1"/>
    <col min="28" max="28" width="13.42578125" bestFit="1" customWidth="1"/>
    <col min="29" max="29" width="14.7109375" bestFit="1" customWidth="1"/>
    <col min="30" max="30" width="15.140625" bestFit="1" customWidth="1"/>
    <col min="33" max="33" width="13.42578125" bestFit="1" customWidth="1"/>
    <col min="34" max="35" width="14.7109375" bestFit="1" customWidth="1"/>
    <col min="38" max="38" width="13.42578125" bestFit="1" customWidth="1"/>
    <col min="39" max="39" width="31.42578125" bestFit="1" customWidth="1"/>
  </cols>
  <sheetData>
    <row r="1" spans="2:42" x14ac:dyDescent="0.25">
      <c r="G1" s="17"/>
    </row>
    <row r="2" spans="2:42" x14ac:dyDescent="0.25">
      <c r="G2" s="17"/>
    </row>
    <row r="3" spans="2:42" x14ac:dyDescent="0.25">
      <c r="G3" s="17"/>
    </row>
    <row r="4" spans="2:42" x14ac:dyDescent="0.25">
      <c r="G4" s="17"/>
    </row>
    <row r="5" spans="2:42" x14ac:dyDescent="0.25">
      <c r="G5" s="17"/>
    </row>
    <row r="6" spans="2:42" x14ac:dyDescent="0.25">
      <c r="G6" s="17"/>
      <c r="AE6" s="17"/>
      <c r="AJ6" s="17"/>
    </row>
    <row r="7" spans="2:42" x14ac:dyDescent="0.25">
      <c r="G7" s="17"/>
      <c r="L7" s="17"/>
      <c r="Q7" s="17"/>
      <c r="V7" s="17"/>
      <c r="Z7" s="17"/>
      <c r="AE7" s="17"/>
      <c r="AJ7" s="17"/>
    </row>
    <row r="8" spans="2:42" x14ac:dyDescent="0.25">
      <c r="B8" s="18" t="s">
        <v>85</v>
      </c>
      <c r="G8" s="17"/>
      <c r="I8" s="56" t="s">
        <v>87</v>
      </c>
      <c r="J8" s="56"/>
      <c r="L8" s="17"/>
      <c r="N8" s="57" t="s">
        <v>88</v>
      </c>
      <c r="O8" s="57"/>
      <c r="Q8" s="17"/>
      <c r="S8" s="57" t="s">
        <v>89</v>
      </c>
      <c r="T8" s="57"/>
      <c r="V8" s="17"/>
      <c r="X8" s="18" t="s">
        <v>90</v>
      </c>
      <c r="Z8" s="17"/>
      <c r="AB8" s="59" t="s">
        <v>96</v>
      </c>
      <c r="AC8" s="59"/>
      <c r="AD8" s="55"/>
      <c r="AE8" s="17"/>
      <c r="AG8" s="58" t="s">
        <v>94</v>
      </c>
      <c r="AH8" s="58"/>
      <c r="AJ8" s="17"/>
      <c r="AL8" s="55" t="s">
        <v>95</v>
      </c>
    </row>
    <row r="9" spans="2:42" x14ac:dyDescent="0.25">
      <c r="B9" t="s">
        <v>49</v>
      </c>
      <c r="C9" t="s">
        <v>47</v>
      </c>
      <c r="D9" t="s">
        <v>62</v>
      </c>
      <c r="E9" t="s">
        <v>50</v>
      </c>
      <c r="F9" t="s">
        <v>46</v>
      </c>
      <c r="G9" s="17"/>
      <c r="I9" s="15" t="s">
        <v>43</v>
      </c>
      <c r="J9" s="15" t="s">
        <v>86</v>
      </c>
      <c r="L9" s="17"/>
      <c r="N9" s="15" t="s">
        <v>46</v>
      </c>
      <c r="O9" s="15" t="s">
        <v>86</v>
      </c>
      <c r="Q9" s="17"/>
      <c r="S9" s="15" t="s">
        <v>47</v>
      </c>
      <c r="T9" s="15" t="s">
        <v>86</v>
      </c>
      <c r="V9" s="17"/>
      <c r="X9" s="15" t="s">
        <v>41</v>
      </c>
      <c r="Y9" t="s">
        <v>62</v>
      </c>
      <c r="Z9" s="17"/>
      <c r="AB9" s="15" t="s">
        <v>41</v>
      </c>
      <c r="AC9" t="s">
        <v>46</v>
      </c>
      <c r="AD9" t="s">
        <v>49</v>
      </c>
      <c r="AE9" s="17"/>
      <c r="AG9" s="15" t="s">
        <v>41</v>
      </c>
      <c r="AH9" t="s">
        <v>46</v>
      </c>
      <c r="AI9" t="s">
        <v>47</v>
      </c>
      <c r="AJ9" s="17"/>
      <c r="AL9" s="15" t="s">
        <v>41</v>
      </c>
      <c r="AM9" t="s">
        <v>93</v>
      </c>
      <c r="AO9" t="s">
        <v>91</v>
      </c>
      <c r="AP9" t="s">
        <v>92</v>
      </c>
    </row>
    <row r="10" spans="2:42" x14ac:dyDescent="0.25">
      <c r="B10" s="8">
        <v>0.23938690986460195</v>
      </c>
      <c r="C10" s="52">
        <v>1.641967130599648E-4</v>
      </c>
      <c r="D10" s="22">
        <v>8.9284599355772806E-2</v>
      </c>
      <c r="E10" s="8">
        <v>1.4993474467280823</v>
      </c>
      <c r="F10" s="8">
        <v>40.552818573572623</v>
      </c>
      <c r="G10" s="17"/>
      <c r="I10" s="15" t="s">
        <v>41</v>
      </c>
      <c r="J10" t="s">
        <v>16</v>
      </c>
      <c r="K10" t="s">
        <v>12</v>
      </c>
      <c r="L10" s="17"/>
      <c r="N10" s="15" t="s">
        <v>41</v>
      </c>
      <c r="O10" t="s">
        <v>16</v>
      </c>
      <c r="P10" t="s">
        <v>12</v>
      </c>
      <c r="Q10" s="17"/>
      <c r="S10" s="15" t="s">
        <v>41</v>
      </c>
      <c r="T10" t="s">
        <v>16</v>
      </c>
      <c r="U10" t="s">
        <v>12</v>
      </c>
      <c r="V10" s="17"/>
      <c r="X10" s="9" t="s">
        <v>11</v>
      </c>
      <c r="Y10" s="22">
        <v>0.11126836664838965</v>
      </c>
      <c r="Z10" s="17"/>
      <c r="AB10" s="9" t="s">
        <v>11</v>
      </c>
      <c r="AC10" s="14">
        <v>22.94663030889048</v>
      </c>
      <c r="AD10" s="14">
        <v>0.16822858798852544</v>
      </c>
      <c r="AE10" s="17"/>
      <c r="AG10" s="9">
        <v>916</v>
      </c>
      <c r="AH10" s="14">
        <v>3.1416666704166669</v>
      </c>
      <c r="AI10" s="23">
        <v>1.8014713698909525E-4</v>
      </c>
      <c r="AJ10" s="17"/>
      <c r="AL10" s="54">
        <v>0</v>
      </c>
      <c r="AM10" s="5">
        <v>0.3671497584541063</v>
      </c>
      <c r="AO10" s="8">
        <f t="shared" ref="AO10:AO73" si="0">AL10</f>
        <v>0</v>
      </c>
      <c r="AP10" s="5">
        <f t="shared" ref="AP10:AP73" si="1">AM10</f>
        <v>0.3671497584541063</v>
      </c>
    </row>
    <row r="11" spans="2:42" x14ac:dyDescent="0.25">
      <c r="G11" s="17"/>
      <c r="I11" s="9" t="s">
        <v>11</v>
      </c>
      <c r="J11" s="8">
        <v>7611.4799951269988</v>
      </c>
      <c r="K11" s="8">
        <v>7640.9199912509966</v>
      </c>
      <c r="L11" s="17"/>
      <c r="N11" s="9" t="s">
        <v>11</v>
      </c>
      <c r="O11" s="14">
        <v>28.666138310643763</v>
      </c>
      <c r="P11" s="14">
        <v>18.407338244006937</v>
      </c>
      <c r="Q11" s="17"/>
      <c r="S11" s="9" t="s">
        <v>11</v>
      </c>
      <c r="T11" s="22">
        <v>1.3546992128639151E-4</v>
      </c>
      <c r="U11" s="22">
        <v>9.9688828380225077E-5</v>
      </c>
      <c r="V11" s="17"/>
      <c r="X11" s="9" t="s">
        <v>13</v>
      </c>
      <c r="Y11" s="22">
        <v>0.10392850960774239</v>
      </c>
      <c r="Z11" s="17"/>
      <c r="AB11" s="9" t="s">
        <v>13</v>
      </c>
      <c r="AC11" s="14">
        <v>40.606658825700229</v>
      </c>
      <c r="AD11" s="14">
        <v>0.23873259414120593</v>
      </c>
      <c r="AE11" s="17"/>
      <c r="AG11" s="9">
        <v>936</v>
      </c>
      <c r="AH11" s="14">
        <v>5.4961821641250053</v>
      </c>
      <c r="AI11" s="23">
        <v>1.6501501497368382E-4</v>
      </c>
      <c r="AJ11" s="17"/>
      <c r="AL11" s="54">
        <v>0.18000000699999999</v>
      </c>
      <c r="AM11" s="5">
        <v>1</v>
      </c>
      <c r="AO11" s="8">
        <f t="shared" si="0"/>
        <v>0.18000000699999999</v>
      </c>
      <c r="AP11" s="5">
        <f>AM11</f>
        <v>1</v>
      </c>
    </row>
    <row r="12" spans="2:42" x14ac:dyDescent="0.25">
      <c r="G12" s="17"/>
      <c r="I12" s="9" t="s">
        <v>13</v>
      </c>
      <c r="J12" s="8">
        <v>6061.3499918270008</v>
      </c>
      <c r="K12" s="8">
        <v>5051.0800025079998</v>
      </c>
      <c r="L12" s="17"/>
      <c r="N12" s="9" t="s">
        <v>13</v>
      </c>
      <c r="O12" s="14">
        <v>48.329580314293118</v>
      </c>
      <c r="P12" s="14">
        <v>34.297793384314545</v>
      </c>
      <c r="Q12" s="17"/>
      <c r="S12" s="9" t="s">
        <v>13</v>
      </c>
      <c r="T12" s="22">
        <v>1.9272737685131579E-4</v>
      </c>
      <c r="U12" s="22">
        <v>1.3890171969043225E-4</v>
      </c>
      <c r="V12" s="17"/>
      <c r="X12" s="9" t="s">
        <v>14</v>
      </c>
      <c r="Y12" s="22">
        <v>6.5939071463738008E-2</v>
      </c>
      <c r="Z12" s="17"/>
      <c r="AB12" s="9" t="s">
        <v>14</v>
      </c>
      <c r="AC12" s="14">
        <v>46.817139147831504</v>
      </c>
      <c r="AD12" s="14">
        <v>0.28976647460688187</v>
      </c>
      <c r="AE12" s="17"/>
      <c r="AG12" s="9">
        <v>1178</v>
      </c>
      <c r="AH12" s="14">
        <v>58.407481223316765</v>
      </c>
      <c r="AI12" s="23">
        <v>1.6221108909174263E-4</v>
      </c>
      <c r="AJ12" s="17"/>
      <c r="AL12" s="54">
        <v>0.23999999499999999</v>
      </c>
      <c r="AM12" s="5">
        <v>0</v>
      </c>
      <c r="AO12" s="8">
        <f t="shared" si="0"/>
        <v>0.23999999499999999</v>
      </c>
      <c r="AP12" s="5">
        <f t="shared" si="1"/>
        <v>0</v>
      </c>
    </row>
    <row r="13" spans="2:42" x14ac:dyDescent="0.25">
      <c r="G13" s="17"/>
      <c r="I13" s="9" t="s">
        <v>14</v>
      </c>
      <c r="J13" s="8">
        <v>7396.5799836370034</v>
      </c>
      <c r="K13" s="8">
        <v>4193.1499972009997</v>
      </c>
      <c r="L13" s="17"/>
      <c r="N13" s="9" t="s">
        <v>14</v>
      </c>
      <c r="O13" s="14">
        <v>57.772754610429899</v>
      </c>
      <c r="P13" s="14">
        <v>37.904096059615838</v>
      </c>
      <c r="Q13" s="17"/>
      <c r="S13" s="9" t="s">
        <v>14</v>
      </c>
      <c r="T13" s="22">
        <v>2.2103098258456709E-4</v>
      </c>
      <c r="U13" s="22">
        <v>1.7905408988614553E-4</v>
      </c>
      <c r="V13" s="17"/>
      <c r="X13" s="9" t="s">
        <v>15</v>
      </c>
      <c r="Y13" s="22">
        <v>5.8032808808221065E-2</v>
      </c>
      <c r="Z13" s="17"/>
      <c r="AB13" s="9" t="s">
        <v>15</v>
      </c>
      <c r="AC13" s="14">
        <v>67.616514096916873</v>
      </c>
      <c r="AD13" s="14">
        <v>0.31620546902573038</v>
      </c>
      <c r="AE13" s="17"/>
      <c r="AJ13" s="17"/>
      <c r="AL13" s="54">
        <v>0.40999999599999998</v>
      </c>
      <c r="AM13" s="5">
        <v>0</v>
      </c>
      <c r="AO13" s="8">
        <f t="shared" si="0"/>
        <v>0.40999999599999998</v>
      </c>
      <c r="AP13" s="5">
        <f t="shared" si="1"/>
        <v>0</v>
      </c>
    </row>
    <row r="14" spans="2:42" x14ac:dyDescent="0.25">
      <c r="B14" s="8">
        <f>GETPIVOTDATA("Average of CPM",$B$9)</f>
        <v>0.23938690986460195</v>
      </c>
      <c r="C14" s="53">
        <f>GETPIVOTDATA("Average of CTR",$B$9)</f>
        <v>1.641967130599648E-4</v>
      </c>
      <c r="D14" s="20">
        <f>GETPIVOTDATA("Average of CCR",$B$9)</f>
        <v>8.9284599355772806E-2</v>
      </c>
      <c r="E14" s="8">
        <f>GETPIVOTDATA("Average of CPC",$B$9)</f>
        <v>1.4993474467280823</v>
      </c>
      <c r="F14" s="8">
        <f>GETPIVOTDATA("Average of CPA",$B$9)</f>
        <v>40.552818573572623</v>
      </c>
      <c r="G14" s="17"/>
      <c r="I14" s="9" t="s">
        <v>15</v>
      </c>
      <c r="J14" s="8">
        <v>13433.209992777003</v>
      </c>
      <c r="K14" s="8">
        <v>7317.4600038770013</v>
      </c>
      <c r="L14" s="17"/>
      <c r="N14" s="9" t="s">
        <v>15</v>
      </c>
      <c r="O14" s="14">
        <v>77.977790311848949</v>
      </c>
      <c r="P14" s="14">
        <v>56.183381721819387</v>
      </c>
      <c r="Q14" s="17"/>
      <c r="S14" s="9" t="s">
        <v>15</v>
      </c>
      <c r="T14" s="22">
        <v>2.5720296409790708E-4</v>
      </c>
      <c r="U14" s="22">
        <v>1.6742982050374058E-4</v>
      </c>
      <c r="V14" s="17"/>
      <c r="Z14" s="17"/>
      <c r="AE14" s="17"/>
      <c r="AJ14" s="17"/>
      <c r="AL14" s="54">
        <v>0.49000000999999999</v>
      </c>
      <c r="AM14" s="5">
        <v>1</v>
      </c>
      <c r="AO14" s="8">
        <f t="shared" si="0"/>
        <v>0.49000000999999999</v>
      </c>
      <c r="AP14" s="5">
        <f t="shared" si="1"/>
        <v>1</v>
      </c>
    </row>
    <row r="15" spans="2:42" x14ac:dyDescent="0.25">
      <c r="G15" s="17"/>
      <c r="L15" s="17"/>
      <c r="Q15" s="17"/>
      <c r="V15" s="17"/>
      <c r="Z15" s="17"/>
      <c r="AE15" s="17"/>
      <c r="AJ15" s="17"/>
      <c r="AL15" s="54">
        <v>0.52999997099999996</v>
      </c>
      <c r="AM15" s="5">
        <v>0</v>
      </c>
      <c r="AO15" s="8">
        <f t="shared" si="0"/>
        <v>0.52999997099999996</v>
      </c>
      <c r="AP15" s="5">
        <f t="shared" si="1"/>
        <v>0</v>
      </c>
    </row>
    <row r="16" spans="2:42" x14ac:dyDescent="0.25">
      <c r="G16" s="17"/>
      <c r="L16" s="17"/>
      <c r="Q16" s="17"/>
      <c r="V16" s="17"/>
      <c r="X16" s="9" t="s">
        <v>72</v>
      </c>
      <c r="Y16" t="s">
        <v>56</v>
      </c>
      <c r="Z16" s="17"/>
      <c r="AE16" s="17"/>
      <c r="AJ16" s="17"/>
      <c r="AL16" s="54">
        <v>0.540000021</v>
      </c>
      <c r="AM16" s="5">
        <v>0</v>
      </c>
      <c r="AO16" s="8">
        <f t="shared" si="0"/>
        <v>0.540000021</v>
      </c>
      <c r="AP16" s="5">
        <f t="shared" si="1"/>
        <v>0</v>
      </c>
    </row>
    <row r="17" spans="7:42" x14ac:dyDescent="0.25">
      <c r="G17" s="17"/>
      <c r="L17" s="17"/>
      <c r="Q17" s="17"/>
      <c r="V17" s="17"/>
      <c r="X17" t="str">
        <f>X10</f>
        <v>30-34</v>
      </c>
      <c r="Y17" s="20">
        <f>Y10</f>
        <v>0.11126836664838965</v>
      </c>
      <c r="Z17" s="17"/>
      <c r="AE17" s="17"/>
      <c r="AJ17" s="17"/>
      <c r="AL17" s="54">
        <v>0.56999999300000004</v>
      </c>
      <c r="AM17" s="5">
        <v>0.5</v>
      </c>
      <c r="AO17" s="8">
        <f t="shared" si="0"/>
        <v>0.56999999300000004</v>
      </c>
      <c r="AP17" s="5">
        <f t="shared" si="1"/>
        <v>0.5</v>
      </c>
    </row>
    <row r="18" spans="7:42" x14ac:dyDescent="0.25">
      <c r="G18" s="17"/>
      <c r="L18" s="17"/>
      <c r="Q18" s="17"/>
      <c r="V18" s="17"/>
      <c r="X18" t="str">
        <f t="shared" ref="X18:Y18" si="2">X11</f>
        <v>35-39</v>
      </c>
      <c r="Y18" s="20">
        <f t="shared" si="2"/>
        <v>0.10392850960774239</v>
      </c>
      <c r="Z18" s="17"/>
      <c r="AE18" s="17"/>
      <c r="AJ18" s="17"/>
      <c r="AL18" s="54">
        <v>0.60000002399999997</v>
      </c>
      <c r="AM18" s="5">
        <v>0</v>
      </c>
      <c r="AO18" s="8">
        <f t="shared" si="0"/>
        <v>0.60000002399999997</v>
      </c>
      <c r="AP18" s="5">
        <f t="shared" si="1"/>
        <v>0</v>
      </c>
    </row>
    <row r="19" spans="7:42" x14ac:dyDescent="0.25">
      <c r="G19" s="17"/>
      <c r="L19" s="17"/>
      <c r="Q19" s="17"/>
      <c r="V19" s="17"/>
      <c r="X19" t="str">
        <f t="shared" ref="X19:Y19" si="3">X12</f>
        <v>40-44</v>
      </c>
      <c r="Y19" s="20">
        <f t="shared" si="3"/>
        <v>6.5939071463738008E-2</v>
      </c>
      <c r="Z19" s="17"/>
      <c r="AE19" s="17"/>
      <c r="AJ19" s="17"/>
      <c r="AL19" s="54">
        <v>0.72000002900000004</v>
      </c>
      <c r="AM19" s="5">
        <v>1</v>
      </c>
      <c r="AO19" s="8">
        <f t="shared" si="0"/>
        <v>0.72000002900000004</v>
      </c>
      <c r="AP19" s="5">
        <f t="shared" si="1"/>
        <v>1</v>
      </c>
    </row>
    <row r="20" spans="7:42" x14ac:dyDescent="0.25">
      <c r="G20" s="17"/>
      <c r="L20" s="17"/>
      <c r="Q20" s="17"/>
      <c r="V20" s="17"/>
      <c r="X20" t="str">
        <f t="shared" ref="X20:Y20" si="4">X13</f>
        <v>45-49</v>
      </c>
      <c r="Y20" s="20">
        <f t="shared" si="4"/>
        <v>5.8032808808221065E-2</v>
      </c>
      <c r="Z20" s="17"/>
      <c r="AE20" s="17"/>
      <c r="AJ20" s="17"/>
      <c r="AL20" s="54">
        <v>0.86000001400000003</v>
      </c>
      <c r="AM20" s="5">
        <v>0.5</v>
      </c>
      <c r="AO20" s="8">
        <f t="shared" si="0"/>
        <v>0.86000001400000003</v>
      </c>
      <c r="AP20" s="5">
        <f t="shared" si="1"/>
        <v>0.5</v>
      </c>
    </row>
    <row r="21" spans="7:42" x14ac:dyDescent="0.25">
      <c r="G21" s="17"/>
      <c r="L21" s="17"/>
      <c r="Q21" s="17"/>
      <c r="V21" s="17"/>
      <c r="Z21" s="17"/>
      <c r="AE21" s="17"/>
      <c r="AJ21" s="17"/>
      <c r="AL21" s="54">
        <v>0.88999998599999997</v>
      </c>
      <c r="AM21" s="5">
        <v>0</v>
      </c>
      <c r="AO21" s="8">
        <f t="shared" si="0"/>
        <v>0.88999998599999997</v>
      </c>
      <c r="AP21" s="5">
        <f t="shared" si="1"/>
        <v>0</v>
      </c>
    </row>
    <row r="22" spans="7:42" x14ac:dyDescent="0.25">
      <c r="G22" s="17"/>
      <c r="L22" s="17"/>
      <c r="Q22" s="17"/>
      <c r="V22" s="17"/>
      <c r="Z22" s="17"/>
      <c r="AE22" s="17"/>
      <c r="AJ22" s="17"/>
      <c r="AL22" s="54">
        <v>0.94999998799999996</v>
      </c>
      <c r="AM22" s="5">
        <v>0</v>
      </c>
      <c r="AO22" s="8">
        <f t="shared" si="0"/>
        <v>0.94999998799999996</v>
      </c>
      <c r="AP22" s="5">
        <f t="shared" si="1"/>
        <v>0</v>
      </c>
    </row>
    <row r="23" spans="7:42" x14ac:dyDescent="0.25">
      <c r="G23" s="17"/>
      <c r="L23" s="17"/>
      <c r="Q23" s="17"/>
      <c r="V23" s="17"/>
      <c r="Z23" s="17"/>
      <c r="AE23" s="17"/>
      <c r="AJ23" s="17"/>
      <c r="AL23" s="54">
        <v>0.959999979</v>
      </c>
      <c r="AM23" s="5">
        <v>0</v>
      </c>
      <c r="AO23" s="8">
        <f t="shared" si="0"/>
        <v>0.959999979</v>
      </c>
      <c r="AP23" s="5">
        <f t="shared" si="1"/>
        <v>0</v>
      </c>
    </row>
    <row r="24" spans="7:42" x14ac:dyDescent="0.25">
      <c r="G24" s="17"/>
      <c r="L24" s="17"/>
      <c r="Q24" s="17"/>
      <c r="V24" s="17"/>
      <c r="Z24" s="17"/>
      <c r="AE24" s="17"/>
      <c r="AJ24" s="17"/>
      <c r="AL24" s="54">
        <v>0.97000002900000004</v>
      </c>
      <c r="AM24" s="5">
        <v>0</v>
      </c>
      <c r="AO24" s="8">
        <f t="shared" si="0"/>
        <v>0.97000002900000004</v>
      </c>
      <c r="AP24" s="5">
        <f t="shared" si="1"/>
        <v>0</v>
      </c>
    </row>
    <row r="25" spans="7:42" x14ac:dyDescent="0.25">
      <c r="G25" s="17"/>
      <c r="L25" s="17"/>
      <c r="Q25" s="17"/>
      <c r="V25" s="17"/>
      <c r="Z25" s="17"/>
      <c r="AE25" s="17"/>
      <c r="AJ25" s="17"/>
      <c r="AL25" s="54">
        <v>0.980000019</v>
      </c>
      <c r="AM25" s="5">
        <v>0.5</v>
      </c>
      <c r="AO25" s="8">
        <f t="shared" si="0"/>
        <v>0.980000019</v>
      </c>
      <c r="AP25" s="5">
        <f t="shared" si="1"/>
        <v>0.5</v>
      </c>
    </row>
    <row r="26" spans="7:42" x14ac:dyDescent="0.25">
      <c r="AE26" s="17"/>
      <c r="AL26" s="54">
        <v>0.99000001000000004</v>
      </c>
      <c r="AM26" s="5">
        <v>0.5</v>
      </c>
      <c r="AO26" s="8">
        <f t="shared" si="0"/>
        <v>0.99000001000000004</v>
      </c>
      <c r="AP26" s="5">
        <f t="shared" si="1"/>
        <v>0.5</v>
      </c>
    </row>
    <row r="27" spans="7:42" x14ac:dyDescent="0.25">
      <c r="AL27" s="54">
        <v>1.0299999710000001</v>
      </c>
      <c r="AM27" s="5">
        <v>0</v>
      </c>
      <c r="AO27" s="8">
        <f t="shared" si="0"/>
        <v>1.0299999710000001</v>
      </c>
      <c r="AP27" s="5">
        <f t="shared" si="1"/>
        <v>0</v>
      </c>
    </row>
    <row r="28" spans="7:42" x14ac:dyDescent="0.25">
      <c r="AL28" s="54">
        <v>1.039999962</v>
      </c>
      <c r="AM28" s="5">
        <v>0</v>
      </c>
      <c r="AO28" s="8">
        <f t="shared" si="0"/>
        <v>1.039999962</v>
      </c>
      <c r="AP28" s="5">
        <f t="shared" si="1"/>
        <v>0</v>
      </c>
    </row>
    <row r="29" spans="7:42" x14ac:dyDescent="0.25">
      <c r="AL29" s="54">
        <v>1.0499999520000001</v>
      </c>
      <c r="AM29" s="5">
        <v>1</v>
      </c>
      <c r="AO29" s="8">
        <f t="shared" si="0"/>
        <v>1.0499999520000001</v>
      </c>
      <c r="AP29" s="5">
        <f t="shared" si="1"/>
        <v>1</v>
      </c>
    </row>
    <row r="30" spans="7:42" x14ac:dyDescent="0.25">
      <c r="AL30" s="54">
        <v>1.0700000519999999</v>
      </c>
      <c r="AM30" s="5">
        <v>0</v>
      </c>
      <c r="AO30" s="8">
        <f t="shared" si="0"/>
        <v>1.0700000519999999</v>
      </c>
      <c r="AP30" s="5">
        <f t="shared" si="1"/>
        <v>0</v>
      </c>
    </row>
    <row r="31" spans="7:42" x14ac:dyDescent="0.25">
      <c r="AL31" s="54">
        <v>1.0900000329999999</v>
      </c>
      <c r="AM31" s="5">
        <v>0</v>
      </c>
      <c r="AO31" s="8">
        <f t="shared" si="0"/>
        <v>1.0900000329999999</v>
      </c>
      <c r="AP31" s="5">
        <f t="shared" si="1"/>
        <v>0</v>
      </c>
    </row>
    <row r="32" spans="7:42" x14ac:dyDescent="0.25">
      <c r="AL32" s="54">
        <v>1.1100000139999999</v>
      </c>
      <c r="AM32" s="5">
        <v>0</v>
      </c>
      <c r="AO32" s="8">
        <f t="shared" si="0"/>
        <v>1.1100000139999999</v>
      </c>
      <c r="AP32" s="5">
        <f t="shared" si="1"/>
        <v>0</v>
      </c>
    </row>
    <row r="33" spans="38:42" x14ac:dyDescent="0.25">
      <c r="AL33" s="54">
        <v>1.1299999949999999</v>
      </c>
      <c r="AM33" s="5">
        <v>1</v>
      </c>
      <c r="AO33" s="8">
        <f t="shared" si="0"/>
        <v>1.1299999949999999</v>
      </c>
      <c r="AP33" s="5">
        <f t="shared" si="1"/>
        <v>1</v>
      </c>
    </row>
    <row r="34" spans="38:42" x14ac:dyDescent="0.25">
      <c r="AL34" s="54">
        <v>1.1499999759999999</v>
      </c>
      <c r="AM34" s="5">
        <v>1</v>
      </c>
      <c r="AO34" s="8">
        <f t="shared" si="0"/>
        <v>1.1499999759999999</v>
      </c>
      <c r="AP34" s="5">
        <f t="shared" si="1"/>
        <v>1</v>
      </c>
    </row>
    <row r="35" spans="38:42" x14ac:dyDescent="0.25">
      <c r="AL35" s="54">
        <v>1.1799999480000001</v>
      </c>
      <c r="AM35" s="5">
        <v>1</v>
      </c>
      <c r="AO35" s="8">
        <f t="shared" si="0"/>
        <v>1.1799999480000001</v>
      </c>
      <c r="AP35" s="5">
        <f t="shared" si="1"/>
        <v>1</v>
      </c>
    </row>
    <row r="36" spans="38:42" x14ac:dyDescent="0.25">
      <c r="AL36" s="54">
        <v>1.190000057</v>
      </c>
      <c r="AM36" s="5">
        <v>0</v>
      </c>
      <c r="AO36" s="8">
        <f t="shared" si="0"/>
        <v>1.190000057</v>
      </c>
      <c r="AP36" s="5">
        <f t="shared" si="1"/>
        <v>0</v>
      </c>
    </row>
    <row r="37" spans="38:42" x14ac:dyDescent="0.25">
      <c r="AL37" s="54">
        <v>1.210000038</v>
      </c>
      <c r="AM37" s="5">
        <v>0</v>
      </c>
      <c r="AO37" s="8">
        <f t="shared" si="0"/>
        <v>1.210000038</v>
      </c>
      <c r="AP37" s="5">
        <f t="shared" si="1"/>
        <v>0</v>
      </c>
    </row>
    <row r="38" spans="38:42" x14ac:dyDescent="0.25">
      <c r="AL38" s="54">
        <v>1.2200000289999999</v>
      </c>
      <c r="AM38" s="5">
        <v>0</v>
      </c>
      <c r="AO38" s="8">
        <f t="shared" si="0"/>
        <v>1.2200000289999999</v>
      </c>
      <c r="AP38" s="5">
        <f t="shared" si="1"/>
        <v>0</v>
      </c>
    </row>
    <row r="39" spans="38:42" x14ac:dyDescent="0.25">
      <c r="AL39" s="54">
        <v>1.230000019</v>
      </c>
      <c r="AM39" s="5">
        <v>0.66666666666666663</v>
      </c>
      <c r="AO39" s="8">
        <f t="shared" si="0"/>
        <v>1.230000019</v>
      </c>
      <c r="AP39" s="5">
        <f t="shared" si="1"/>
        <v>0.66666666666666663</v>
      </c>
    </row>
    <row r="40" spans="38:42" x14ac:dyDescent="0.25">
      <c r="AL40" s="54">
        <v>1.25</v>
      </c>
      <c r="AM40" s="5">
        <v>0</v>
      </c>
      <c r="AO40" s="8">
        <f t="shared" si="0"/>
        <v>1.25</v>
      </c>
      <c r="AP40" s="5">
        <f t="shared" si="1"/>
        <v>0</v>
      </c>
    </row>
    <row r="41" spans="38:42" x14ac:dyDescent="0.25">
      <c r="AL41" s="54">
        <v>1.2599999900000001</v>
      </c>
      <c r="AM41" s="5">
        <v>0</v>
      </c>
      <c r="AO41" s="8">
        <f t="shared" si="0"/>
        <v>1.2599999900000001</v>
      </c>
      <c r="AP41" s="5">
        <f t="shared" si="1"/>
        <v>0</v>
      </c>
    </row>
    <row r="42" spans="38:42" x14ac:dyDescent="0.25">
      <c r="AL42" s="54">
        <v>1.269999981</v>
      </c>
      <c r="AM42" s="5">
        <v>1</v>
      </c>
      <c r="AO42" s="8">
        <f t="shared" si="0"/>
        <v>1.269999981</v>
      </c>
      <c r="AP42" s="5">
        <f t="shared" si="1"/>
        <v>1</v>
      </c>
    </row>
    <row r="43" spans="38:42" x14ac:dyDescent="0.25">
      <c r="AL43" s="54">
        <v>1.2799999710000001</v>
      </c>
      <c r="AM43" s="5">
        <v>0</v>
      </c>
      <c r="AO43" s="8">
        <f t="shared" si="0"/>
        <v>1.2799999710000001</v>
      </c>
      <c r="AP43" s="5">
        <f t="shared" si="1"/>
        <v>0</v>
      </c>
    </row>
    <row r="44" spans="38:42" x14ac:dyDescent="0.25">
      <c r="AL44" s="54">
        <v>1.289999962</v>
      </c>
      <c r="AM44" s="5">
        <v>0.5</v>
      </c>
      <c r="AO44" s="8">
        <f t="shared" si="0"/>
        <v>1.289999962</v>
      </c>
      <c r="AP44" s="5">
        <f t="shared" si="1"/>
        <v>0.5</v>
      </c>
    </row>
    <row r="45" spans="38:42" x14ac:dyDescent="0.25">
      <c r="AL45" s="54">
        <v>1.309999943</v>
      </c>
      <c r="AM45" s="5">
        <v>0</v>
      </c>
      <c r="AO45" s="8">
        <f t="shared" si="0"/>
        <v>1.309999943</v>
      </c>
      <c r="AP45" s="5">
        <f t="shared" si="1"/>
        <v>0</v>
      </c>
    </row>
    <row r="46" spans="38:42" x14ac:dyDescent="0.25">
      <c r="AL46" s="54">
        <v>1.3200000519999999</v>
      </c>
      <c r="AM46" s="5">
        <v>0</v>
      </c>
      <c r="AO46" s="8">
        <f t="shared" si="0"/>
        <v>1.3200000519999999</v>
      </c>
      <c r="AP46" s="5">
        <f t="shared" si="1"/>
        <v>0</v>
      </c>
    </row>
    <row r="47" spans="38:42" x14ac:dyDescent="0.25">
      <c r="AL47" s="54">
        <v>1.3300000430000001</v>
      </c>
      <c r="AM47" s="5">
        <v>0.5</v>
      </c>
      <c r="AO47" s="8">
        <f t="shared" si="0"/>
        <v>1.3300000430000001</v>
      </c>
      <c r="AP47" s="5">
        <f t="shared" si="1"/>
        <v>0.5</v>
      </c>
    </row>
    <row r="48" spans="38:42" x14ac:dyDescent="0.25">
      <c r="AL48" s="54">
        <v>1.3400000329999999</v>
      </c>
      <c r="AM48" s="5">
        <v>1</v>
      </c>
      <c r="AO48" s="8">
        <f t="shared" si="0"/>
        <v>1.3400000329999999</v>
      </c>
      <c r="AP48" s="5">
        <f t="shared" si="1"/>
        <v>1</v>
      </c>
    </row>
    <row r="49" spans="38:42" x14ac:dyDescent="0.25">
      <c r="AL49" s="54">
        <v>1.3500000240000001</v>
      </c>
      <c r="AM49" s="5">
        <v>0.5</v>
      </c>
      <c r="AO49" s="8">
        <f t="shared" si="0"/>
        <v>1.3500000240000001</v>
      </c>
      <c r="AP49" s="5">
        <f t="shared" si="1"/>
        <v>0.5</v>
      </c>
    </row>
    <row r="50" spans="38:42" x14ac:dyDescent="0.25">
      <c r="AL50" s="54">
        <v>1.3600000139999999</v>
      </c>
      <c r="AM50" s="5">
        <v>0</v>
      </c>
      <c r="AO50" s="8">
        <f t="shared" si="0"/>
        <v>1.3600000139999999</v>
      </c>
      <c r="AP50" s="5">
        <f t="shared" si="1"/>
        <v>0</v>
      </c>
    </row>
    <row r="51" spans="38:42" x14ac:dyDescent="0.25">
      <c r="AL51" s="54">
        <v>1.3700000050000001</v>
      </c>
      <c r="AM51" s="5">
        <v>0.33333333333333331</v>
      </c>
      <c r="AO51" s="8">
        <f t="shared" si="0"/>
        <v>1.3700000050000001</v>
      </c>
      <c r="AP51" s="5">
        <f t="shared" si="1"/>
        <v>0.33333333333333331</v>
      </c>
    </row>
    <row r="52" spans="38:42" x14ac:dyDescent="0.25">
      <c r="AL52" s="54">
        <v>1.3799999949999999</v>
      </c>
      <c r="AM52" s="5">
        <v>0.4</v>
      </c>
      <c r="AO52" s="8">
        <f t="shared" si="0"/>
        <v>1.3799999949999999</v>
      </c>
      <c r="AP52" s="5">
        <f t="shared" si="1"/>
        <v>0.4</v>
      </c>
    </row>
    <row r="53" spans="38:42" x14ac:dyDescent="0.25">
      <c r="AL53" s="54">
        <v>1.3899999860000001</v>
      </c>
      <c r="AM53" s="5">
        <v>0.33333333333333331</v>
      </c>
      <c r="AO53" s="8">
        <f t="shared" si="0"/>
        <v>1.3899999860000001</v>
      </c>
      <c r="AP53" s="5">
        <f t="shared" si="1"/>
        <v>0.33333333333333331</v>
      </c>
    </row>
    <row r="54" spans="38:42" x14ac:dyDescent="0.25">
      <c r="AL54" s="54">
        <v>1.4099999670000001</v>
      </c>
      <c r="AM54" s="5">
        <v>0.5</v>
      </c>
      <c r="AO54" s="8">
        <f t="shared" si="0"/>
        <v>1.4099999670000001</v>
      </c>
      <c r="AP54" s="5">
        <f t="shared" si="1"/>
        <v>0.5</v>
      </c>
    </row>
    <row r="55" spans="38:42" x14ac:dyDescent="0.25">
      <c r="AL55" s="54">
        <v>1.4199999569999999</v>
      </c>
      <c r="AM55" s="5">
        <v>0.5</v>
      </c>
      <c r="AO55" s="8">
        <f t="shared" si="0"/>
        <v>1.4199999569999999</v>
      </c>
      <c r="AP55" s="5">
        <f t="shared" si="1"/>
        <v>0.5</v>
      </c>
    </row>
    <row r="56" spans="38:42" x14ac:dyDescent="0.25">
      <c r="AL56" s="54">
        <v>1.4299999480000001</v>
      </c>
      <c r="AM56" s="5">
        <v>1</v>
      </c>
      <c r="AO56" s="8">
        <f t="shared" si="0"/>
        <v>1.4299999480000001</v>
      </c>
      <c r="AP56" s="5">
        <f t="shared" si="1"/>
        <v>1</v>
      </c>
    </row>
    <row r="57" spans="38:42" x14ac:dyDescent="0.25">
      <c r="AL57" s="54">
        <v>1.440000057</v>
      </c>
      <c r="AM57" s="5">
        <v>0.5</v>
      </c>
      <c r="AO57" s="8">
        <f t="shared" si="0"/>
        <v>1.440000057</v>
      </c>
      <c r="AP57" s="5">
        <f t="shared" si="1"/>
        <v>0.5</v>
      </c>
    </row>
    <row r="58" spans="38:42" x14ac:dyDescent="0.25">
      <c r="AL58" s="54">
        <v>1.4500000479999999</v>
      </c>
      <c r="AM58" s="5">
        <v>0</v>
      </c>
      <c r="AO58" s="8">
        <f t="shared" si="0"/>
        <v>1.4500000479999999</v>
      </c>
      <c r="AP58" s="5">
        <f t="shared" si="1"/>
        <v>0</v>
      </c>
    </row>
    <row r="59" spans="38:42" x14ac:dyDescent="0.25">
      <c r="AL59" s="54">
        <v>1.460000038</v>
      </c>
      <c r="AM59" s="5">
        <v>0.5</v>
      </c>
      <c r="AO59" s="8">
        <f t="shared" si="0"/>
        <v>1.460000038</v>
      </c>
      <c r="AP59" s="5">
        <f t="shared" si="1"/>
        <v>0.5</v>
      </c>
    </row>
    <row r="60" spans="38:42" x14ac:dyDescent="0.25">
      <c r="AL60" s="54">
        <v>1.4700000289999999</v>
      </c>
      <c r="AM60" s="5">
        <v>0</v>
      </c>
      <c r="AO60" s="8">
        <f t="shared" si="0"/>
        <v>1.4700000289999999</v>
      </c>
      <c r="AP60" s="5">
        <f t="shared" si="1"/>
        <v>0</v>
      </c>
    </row>
    <row r="61" spans="38:42" x14ac:dyDescent="0.25">
      <c r="AL61" s="54">
        <v>1.480000019</v>
      </c>
      <c r="AM61" s="5">
        <v>0</v>
      </c>
      <c r="AO61" s="8">
        <f t="shared" si="0"/>
        <v>1.480000019</v>
      </c>
      <c r="AP61" s="5">
        <f t="shared" si="1"/>
        <v>0</v>
      </c>
    </row>
    <row r="62" spans="38:42" x14ac:dyDescent="0.25">
      <c r="AL62" s="54">
        <v>1.480000049</v>
      </c>
      <c r="AM62" s="5">
        <v>1</v>
      </c>
      <c r="AO62" s="8">
        <f t="shared" si="0"/>
        <v>1.480000049</v>
      </c>
      <c r="AP62" s="5">
        <f t="shared" si="1"/>
        <v>1</v>
      </c>
    </row>
    <row r="63" spans="38:42" x14ac:dyDescent="0.25">
      <c r="AL63" s="54">
        <v>1.4900000099999999</v>
      </c>
      <c r="AM63" s="5">
        <v>1</v>
      </c>
      <c r="AO63" s="8">
        <f t="shared" si="0"/>
        <v>1.4900000099999999</v>
      </c>
      <c r="AP63" s="5">
        <f t="shared" si="1"/>
        <v>1</v>
      </c>
    </row>
    <row r="64" spans="38:42" x14ac:dyDescent="0.25">
      <c r="AL64" s="54">
        <v>1.5</v>
      </c>
      <c r="AM64" s="5">
        <v>0.66666666666666663</v>
      </c>
      <c r="AO64" s="8">
        <f t="shared" si="0"/>
        <v>1.5</v>
      </c>
      <c r="AP64" s="5">
        <f t="shared" si="1"/>
        <v>0.66666666666666663</v>
      </c>
    </row>
    <row r="65" spans="38:42" x14ac:dyDescent="0.25">
      <c r="AL65" s="54">
        <v>1.5099999900000001</v>
      </c>
      <c r="AM65" s="5">
        <v>0.5</v>
      </c>
      <c r="AO65" s="8">
        <f t="shared" si="0"/>
        <v>1.5099999900000001</v>
      </c>
      <c r="AP65" s="5">
        <f t="shared" si="1"/>
        <v>0.5</v>
      </c>
    </row>
    <row r="66" spans="38:42" x14ac:dyDescent="0.25">
      <c r="AL66" s="54">
        <v>1.519999981</v>
      </c>
      <c r="AM66" s="5">
        <v>0</v>
      </c>
      <c r="AO66" s="8">
        <f t="shared" si="0"/>
        <v>1.519999981</v>
      </c>
      <c r="AP66" s="5">
        <f t="shared" si="1"/>
        <v>0</v>
      </c>
    </row>
    <row r="67" spans="38:42" x14ac:dyDescent="0.25">
      <c r="AL67" s="54">
        <v>1.5299999710000001</v>
      </c>
      <c r="AM67" s="5">
        <v>1</v>
      </c>
      <c r="AO67" s="8">
        <f t="shared" si="0"/>
        <v>1.5299999710000001</v>
      </c>
      <c r="AP67" s="5">
        <f t="shared" si="1"/>
        <v>1</v>
      </c>
    </row>
    <row r="68" spans="38:42" x14ac:dyDescent="0.25">
      <c r="AL68" s="54">
        <v>1.539999962</v>
      </c>
      <c r="AM68" s="5">
        <v>0.25</v>
      </c>
      <c r="AO68" s="8">
        <f t="shared" si="0"/>
        <v>1.539999962</v>
      </c>
      <c r="AP68" s="5">
        <f t="shared" si="1"/>
        <v>0.25</v>
      </c>
    </row>
    <row r="69" spans="38:42" x14ac:dyDescent="0.25">
      <c r="AL69" s="54">
        <v>1.5499999520000001</v>
      </c>
      <c r="AM69" s="5">
        <v>0</v>
      </c>
      <c r="AO69" s="8">
        <f t="shared" si="0"/>
        <v>1.5499999520000001</v>
      </c>
      <c r="AP69" s="5">
        <f t="shared" si="1"/>
        <v>0</v>
      </c>
    </row>
    <row r="70" spans="38:42" x14ac:dyDescent="0.25">
      <c r="AL70" s="54">
        <v>1.559999943</v>
      </c>
      <c r="AM70" s="5">
        <v>1</v>
      </c>
      <c r="AO70" s="8">
        <f t="shared" si="0"/>
        <v>1.559999943</v>
      </c>
      <c r="AP70" s="5">
        <f t="shared" si="1"/>
        <v>1</v>
      </c>
    </row>
    <row r="71" spans="38:42" x14ac:dyDescent="0.25">
      <c r="AL71" s="54">
        <v>1.5700000519999999</v>
      </c>
      <c r="AM71" s="5">
        <v>0.33333333333333331</v>
      </c>
      <c r="AO71" s="8">
        <f t="shared" si="0"/>
        <v>1.5700000519999999</v>
      </c>
      <c r="AP71" s="5">
        <f t="shared" si="1"/>
        <v>0.33333333333333331</v>
      </c>
    </row>
    <row r="72" spans="38:42" x14ac:dyDescent="0.25">
      <c r="AL72" s="54">
        <v>1.5800000430000001</v>
      </c>
      <c r="AM72" s="5">
        <v>0.66666666666666663</v>
      </c>
      <c r="AO72" s="8">
        <f t="shared" si="0"/>
        <v>1.5800000430000001</v>
      </c>
      <c r="AP72" s="5">
        <f t="shared" si="1"/>
        <v>0.66666666666666663</v>
      </c>
    </row>
    <row r="73" spans="38:42" x14ac:dyDescent="0.25">
      <c r="AL73" s="54">
        <v>1.5900000329999999</v>
      </c>
      <c r="AM73" s="5">
        <v>1</v>
      </c>
      <c r="AO73" s="8">
        <f t="shared" si="0"/>
        <v>1.5900000329999999</v>
      </c>
      <c r="AP73" s="5">
        <f t="shared" si="1"/>
        <v>1</v>
      </c>
    </row>
    <row r="74" spans="38:42" x14ac:dyDescent="0.25">
      <c r="AL74" s="54">
        <v>1.6000000240000001</v>
      </c>
      <c r="AM74" s="5">
        <v>0</v>
      </c>
      <c r="AO74" s="8">
        <f t="shared" ref="AO74:AO137" si="5">AL74</f>
        <v>1.6000000240000001</v>
      </c>
      <c r="AP74" s="5">
        <f t="shared" ref="AP74:AP137" si="6">AM74</f>
        <v>0</v>
      </c>
    </row>
    <row r="75" spans="38:42" x14ac:dyDescent="0.25">
      <c r="AL75" s="54">
        <v>1.6100000139999999</v>
      </c>
      <c r="AM75" s="5">
        <v>0.5</v>
      </c>
      <c r="AO75" s="8">
        <f t="shared" si="5"/>
        <v>1.6100000139999999</v>
      </c>
      <c r="AP75" s="5">
        <f t="shared" si="6"/>
        <v>0.5</v>
      </c>
    </row>
    <row r="76" spans="38:42" x14ac:dyDescent="0.25">
      <c r="AL76" s="54">
        <v>1.6399999860000001</v>
      </c>
      <c r="AM76" s="5">
        <v>0.5</v>
      </c>
      <c r="AO76" s="8">
        <f t="shared" si="5"/>
        <v>1.6399999860000001</v>
      </c>
      <c r="AP76" s="5">
        <f t="shared" si="6"/>
        <v>0.5</v>
      </c>
    </row>
    <row r="77" spans="38:42" x14ac:dyDescent="0.25">
      <c r="AL77" s="54">
        <v>1.6599999670000001</v>
      </c>
      <c r="AM77" s="5">
        <v>1</v>
      </c>
      <c r="AO77" s="8">
        <f t="shared" si="5"/>
        <v>1.6599999670000001</v>
      </c>
      <c r="AP77" s="5">
        <f t="shared" si="6"/>
        <v>1</v>
      </c>
    </row>
    <row r="78" spans="38:42" x14ac:dyDescent="0.25">
      <c r="AL78" s="54">
        <v>1.6799999480000001</v>
      </c>
      <c r="AM78" s="5">
        <v>1</v>
      </c>
      <c r="AO78" s="8">
        <f t="shared" si="5"/>
        <v>1.6799999480000001</v>
      </c>
      <c r="AP78" s="5">
        <f t="shared" si="6"/>
        <v>1</v>
      </c>
    </row>
    <row r="79" spans="38:42" x14ac:dyDescent="0.25">
      <c r="AL79" s="54">
        <v>1.690000057</v>
      </c>
      <c r="AM79" s="5">
        <v>0.5</v>
      </c>
      <c r="AO79" s="8">
        <f t="shared" si="5"/>
        <v>1.690000057</v>
      </c>
      <c r="AP79" s="5">
        <f t="shared" si="6"/>
        <v>0.5</v>
      </c>
    </row>
    <row r="80" spans="38:42" x14ac:dyDescent="0.25">
      <c r="AL80" s="54">
        <v>1.710000038</v>
      </c>
      <c r="AM80" s="5">
        <v>0</v>
      </c>
      <c r="AO80" s="8">
        <f t="shared" si="5"/>
        <v>1.710000038</v>
      </c>
      <c r="AP80" s="5">
        <f t="shared" si="6"/>
        <v>0</v>
      </c>
    </row>
    <row r="81" spans="38:42" x14ac:dyDescent="0.25">
      <c r="AL81" s="54">
        <v>1.730000019</v>
      </c>
      <c r="AM81" s="5">
        <v>1</v>
      </c>
      <c r="AO81" s="8">
        <f t="shared" si="5"/>
        <v>1.730000019</v>
      </c>
      <c r="AP81" s="5">
        <f t="shared" si="6"/>
        <v>1</v>
      </c>
    </row>
    <row r="82" spans="38:42" x14ac:dyDescent="0.25">
      <c r="AL82" s="54">
        <v>1.809999943</v>
      </c>
      <c r="AM82" s="5">
        <v>1</v>
      </c>
      <c r="AO82" s="8">
        <f t="shared" si="5"/>
        <v>1.809999943</v>
      </c>
      <c r="AP82" s="5">
        <f t="shared" si="6"/>
        <v>1</v>
      </c>
    </row>
    <row r="83" spans="38:42" x14ac:dyDescent="0.25">
      <c r="AL83" s="54">
        <v>1.820000023</v>
      </c>
      <c r="AM83" s="5">
        <v>0</v>
      </c>
      <c r="AO83" s="8">
        <f t="shared" si="5"/>
        <v>1.820000023</v>
      </c>
      <c r="AP83" s="5">
        <f t="shared" si="6"/>
        <v>0</v>
      </c>
    </row>
    <row r="84" spans="38:42" x14ac:dyDescent="0.25">
      <c r="AL84" s="54">
        <v>1.8200000519999999</v>
      </c>
      <c r="AM84" s="5">
        <v>0</v>
      </c>
      <c r="AO84" s="8">
        <f t="shared" si="5"/>
        <v>1.8200000519999999</v>
      </c>
      <c r="AP84" s="5">
        <f t="shared" si="6"/>
        <v>0</v>
      </c>
    </row>
    <row r="85" spans="38:42" x14ac:dyDescent="0.25">
      <c r="AL85" s="54">
        <v>1.8300000430000001</v>
      </c>
      <c r="AM85" s="5">
        <v>0.5</v>
      </c>
      <c r="AO85" s="8">
        <f t="shared" si="5"/>
        <v>1.8300000430000001</v>
      </c>
      <c r="AP85" s="5">
        <f t="shared" si="6"/>
        <v>0.5</v>
      </c>
    </row>
    <row r="86" spans="38:42" x14ac:dyDescent="0.25">
      <c r="AL86" s="54">
        <v>1.960000038</v>
      </c>
      <c r="AM86" s="5">
        <v>0</v>
      </c>
      <c r="AO86" s="8">
        <f t="shared" si="5"/>
        <v>1.960000038</v>
      </c>
      <c r="AP86" s="5">
        <f t="shared" si="6"/>
        <v>0</v>
      </c>
    </row>
    <row r="87" spans="38:42" x14ac:dyDescent="0.25">
      <c r="AL87" s="54">
        <v>2.0999999049999998</v>
      </c>
      <c r="AM87" s="5">
        <v>0.5</v>
      </c>
      <c r="AO87" s="8">
        <f t="shared" si="5"/>
        <v>2.0999999049999998</v>
      </c>
      <c r="AP87" s="5">
        <f t="shared" si="6"/>
        <v>0.5</v>
      </c>
    </row>
    <row r="88" spans="38:42" x14ac:dyDescent="0.25">
      <c r="AL88" s="54">
        <v>2.2699999809999998</v>
      </c>
      <c r="AM88" s="5">
        <v>0</v>
      </c>
      <c r="AO88" s="8">
        <f t="shared" si="5"/>
        <v>2.2699999809999998</v>
      </c>
      <c r="AP88" s="5">
        <f t="shared" si="6"/>
        <v>0</v>
      </c>
    </row>
    <row r="89" spans="38:42" x14ac:dyDescent="0.25">
      <c r="AL89" s="54">
        <v>2.290000021</v>
      </c>
      <c r="AM89" s="5">
        <v>0</v>
      </c>
      <c r="AO89" s="8">
        <f t="shared" si="5"/>
        <v>2.290000021</v>
      </c>
      <c r="AP89" s="5">
        <f t="shared" si="6"/>
        <v>0</v>
      </c>
    </row>
    <row r="90" spans="38:42" x14ac:dyDescent="0.25">
      <c r="AL90" s="54">
        <v>2.3200000520000001</v>
      </c>
      <c r="AM90" s="5">
        <v>1</v>
      </c>
      <c r="AO90" s="8">
        <f t="shared" si="5"/>
        <v>2.3200000520000001</v>
      </c>
      <c r="AP90" s="5">
        <f t="shared" si="6"/>
        <v>1</v>
      </c>
    </row>
    <row r="91" spans="38:42" x14ac:dyDescent="0.25">
      <c r="AL91" s="54">
        <v>2.3499999640000002</v>
      </c>
      <c r="AM91" s="5">
        <v>0</v>
      </c>
      <c r="AO91" s="8">
        <f t="shared" si="5"/>
        <v>2.3499999640000002</v>
      </c>
      <c r="AP91" s="5">
        <f t="shared" si="6"/>
        <v>0</v>
      </c>
    </row>
    <row r="92" spans="38:42" x14ac:dyDescent="0.25">
      <c r="AL92" s="54">
        <v>2.3599998950000001</v>
      </c>
      <c r="AM92" s="5">
        <v>1</v>
      </c>
      <c r="AO92" s="8">
        <f t="shared" si="5"/>
        <v>2.3599998950000001</v>
      </c>
      <c r="AP92" s="5">
        <f t="shared" si="6"/>
        <v>1</v>
      </c>
    </row>
    <row r="93" spans="38:42" x14ac:dyDescent="0.25">
      <c r="AL93" s="54">
        <v>2.369999886</v>
      </c>
      <c r="AM93" s="5">
        <v>0</v>
      </c>
      <c r="AO93" s="8">
        <f t="shared" si="5"/>
        <v>2.369999886</v>
      </c>
      <c r="AP93" s="5">
        <f t="shared" si="6"/>
        <v>0</v>
      </c>
    </row>
    <row r="94" spans="38:42" x14ac:dyDescent="0.25">
      <c r="AL94" s="54">
        <v>2.420000076</v>
      </c>
      <c r="AM94" s="5">
        <v>0</v>
      </c>
      <c r="AO94" s="8">
        <f t="shared" si="5"/>
        <v>2.420000076</v>
      </c>
      <c r="AP94" s="5">
        <f t="shared" si="6"/>
        <v>0</v>
      </c>
    </row>
    <row r="95" spans="38:42" x14ac:dyDescent="0.25">
      <c r="AL95" s="54">
        <v>2.6099998950000001</v>
      </c>
      <c r="AM95" s="5">
        <v>0</v>
      </c>
      <c r="AO95" s="8">
        <f t="shared" si="5"/>
        <v>2.6099998950000001</v>
      </c>
      <c r="AP95" s="5">
        <f t="shared" si="6"/>
        <v>0</v>
      </c>
    </row>
    <row r="96" spans="38:42" x14ac:dyDescent="0.25">
      <c r="AL96" s="54">
        <v>2.619999886</v>
      </c>
      <c r="AM96" s="5">
        <v>1</v>
      </c>
      <c r="AO96" s="8">
        <f t="shared" si="5"/>
        <v>2.619999886</v>
      </c>
      <c r="AP96" s="5">
        <f t="shared" si="6"/>
        <v>1</v>
      </c>
    </row>
    <row r="97" spans="38:42" x14ac:dyDescent="0.25">
      <c r="AL97" s="54">
        <v>2.619999945</v>
      </c>
      <c r="AM97" s="5">
        <v>0</v>
      </c>
      <c r="AO97" s="8">
        <f t="shared" si="5"/>
        <v>2.619999945</v>
      </c>
      <c r="AP97" s="5">
        <f t="shared" si="6"/>
        <v>0</v>
      </c>
    </row>
    <row r="98" spans="38:42" x14ac:dyDescent="0.25">
      <c r="AL98" s="54">
        <v>2.6200000050000001</v>
      </c>
      <c r="AM98" s="5">
        <v>1</v>
      </c>
      <c r="AO98" s="8">
        <f t="shared" si="5"/>
        <v>2.6200000050000001</v>
      </c>
      <c r="AP98" s="5">
        <f t="shared" si="6"/>
        <v>1</v>
      </c>
    </row>
    <row r="99" spans="38:42" x14ac:dyDescent="0.25">
      <c r="AL99" s="54">
        <v>2.6299999949999999</v>
      </c>
      <c r="AM99" s="5">
        <v>1</v>
      </c>
      <c r="AO99" s="8">
        <f t="shared" si="5"/>
        <v>2.6299999949999999</v>
      </c>
      <c r="AP99" s="5">
        <f t="shared" si="6"/>
        <v>1</v>
      </c>
    </row>
    <row r="100" spans="38:42" x14ac:dyDescent="0.25">
      <c r="AL100" s="54">
        <v>2.6500000950000002</v>
      </c>
      <c r="AM100" s="5">
        <v>1</v>
      </c>
      <c r="AO100" s="8">
        <f t="shared" si="5"/>
        <v>2.6500000950000002</v>
      </c>
      <c r="AP100" s="5">
        <f t="shared" si="6"/>
        <v>1</v>
      </c>
    </row>
    <row r="101" spans="38:42" x14ac:dyDescent="0.25">
      <c r="AL101" s="54">
        <v>2.6699999569999999</v>
      </c>
      <c r="AM101" s="5">
        <v>0</v>
      </c>
      <c r="AO101" s="8">
        <f t="shared" si="5"/>
        <v>2.6699999569999999</v>
      </c>
      <c r="AP101" s="5">
        <f t="shared" si="6"/>
        <v>0</v>
      </c>
    </row>
    <row r="102" spans="38:42" x14ac:dyDescent="0.25">
      <c r="AL102" s="54">
        <v>2.6800000669999999</v>
      </c>
      <c r="AM102" s="5">
        <v>0</v>
      </c>
      <c r="AO102" s="8">
        <f t="shared" si="5"/>
        <v>2.6800000669999999</v>
      </c>
      <c r="AP102" s="5">
        <f t="shared" si="6"/>
        <v>0</v>
      </c>
    </row>
    <row r="103" spans="38:42" x14ac:dyDescent="0.25">
      <c r="AL103" s="54">
        <v>2.6900000569999998</v>
      </c>
      <c r="AM103" s="5">
        <v>1</v>
      </c>
      <c r="AO103" s="8">
        <f t="shared" si="5"/>
        <v>2.6900000569999998</v>
      </c>
      <c r="AP103" s="5">
        <f t="shared" si="6"/>
        <v>1</v>
      </c>
    </row>
    <row r="104" spans="38:42" x14ac:dyDescent="0.25">
      <c r="AL104" s="54">
        <v>2.7200000289999999</v>
      </c>
      <c r="AM104" s="5">
        <v>0</v>
      </c>
      <c r="AO104" s="8">
        <f t="shared" si="5"/>
        <v>2.7200000289999999</v>
      </c>
      <c r="AP104" s="5">
        <f t="shared" si="6"/>
        <v>0</v>
      </c>
    </row>
    <row r="105" spans="38:42" x14ac:dyDescent="0.25">
      <c r="AL105" s="54">
        <v>2.7300000190000002</v>
      </c>
      <c r="AM105" s="5">
        <v>1</v>
      </c>
      <c r="AO105" s="8">
        <f t="shared" si="5"/>
        <v>2.7300000190000002</v>
      </c>
      <c r="AP105" s="5">
        <f t="shared" si="6"/>
        <v>1</v>
      </c>
    </row>
    <row r="106" spans="38:42" x14ac:dyDescent="0.25">
      <c r="AL106" s="54">
        <v>2.75</v>
      </c>
      <c r="AM106" s="5">
        <v>1</v>
      </c>
      <c r="AO106" s="8">
        <f t="shared" si="5"/>
        <v>2.75</v>
      </c>
      <c r="AP106" s="5">
        <f t="shared" si="6"/>
        <v>1</v>
      </c>
    </row>
    <row r="107" spans="38:42" x14ac:dyDescent="0.25">
      <c r="AL107" s="54">
        <v>2.7799999710000001</v>
      </c>
      <c r="AM107" s="5">
        <v>1</v>
      </c>
      <c r="AO107" s="8">
        <f t="shared" si="5"/>
        <v>2.7799999710000001</v>
      </c>
      <c r="AP107" s="5">
        <f t="shared" si="6"/>
        <v>1</v>
      </c>
    </row>
    <row r="108" spans="38:42" x14ac:dyDescent="0.25">
      <c r="AL108" s="54">
        <v>2.7999999519999998</v>
      </c>
      <c r="AM108" s="5">
        <v>1</v>
      </c>
      <c r="AO108" s="8">
        <f t="shared" si="5"/>
        <v>2.7999999519999998</v>
      </c>
      <c r="AP108" s="5">
        <f t="shared" si="6"/>
        <v>1</v>
      </c>
    </row>
    <row r="109" spans="38:42" x14ac:dyDescent="0.25">
      <c r="AL109" s="54">
        <v>2.8099999430000002</v>
      </c>
      <c r="AM109" s="5">
        <v>0</v>
      </c>
      <c r="AO109" s="8">
        <f t="shared" si="5"/>
        <v>2.8099999430000002</v>
      </c>
      <c r="AP109" s="5">
        <f t="shared" si="6"/>
        <v>0</v>
      </c>
    </row>
    <row r="110" spans="38:42" x14ac:dyDescent="0.25">
      <c r="AL110" s="54">
        <v>2.8399999139999998</v>
      </c>
      <c r="AM110" s="5">
        <v>1</v>
      </c>
      <c r="AO110" s="8">
        <f t="shared" si="5"/>
        <v>2.8399999139999998</v>
      </c>
      <c r="AP110" s="5">
        <f t="shared" si="6"/>
        <v>1</v>
      </c>
    </row>
    <row r="111" spans="38:42" x14ac:dyDescent="0.25">
      <c r="AL111" s="54">
        <v>2.869999945</v>
      </c>
      <c r="AM111" s="5">
        <v>0</v>
      </c>
      <c r="AO111" s="8">
        <f t="shared" si="5"/>
        <v>2.869999945</v>
      </c>
      <c r="AP111" s="5">
        <f t="shared" si="6"/>
        <v>0</v>
      </c>
    </row>
    <row r="112" spans="38:42" x14ac:dyDescent="0.25">
      <c r="AL112" s="54">
        <v>2.8900001049999999</v>
      </c>
      <c r="AM112" s="5">
        <v>0</v>
      </c>
      <c r="AO112" s="8">
        <f t="shared" si="5"/>
        <v>2.8900001049999999</v>
      </c>
      <c r="AP112" s="5">
        <f t="shared" si="6"/>
        <v>0</v>
      </c>
    </row>
    <row r="113" spans="38:42" x14ac:dyDescent="0.25">
      <c r="AL113" s="54">
        <v>2.9000000950000002</v>
      </c>
      <c r="AM113" s="5">
        <v>1</v>
      </c>
      <c r="AO113" s="8">
        <f t="shared" si="5"/>
        <v>2.9000000950000002</v>
      </c>
      <c r="AP113" s="5">
        <f t="shared" si="6"/>
        <v>1</v>
      </c>
    </row>
    <row r="114" spans="38:42" x14ac:dyDescent="0.25">
      <c r="AL114" s="54">
        <v>2.9399999380000001</v>
      </c>
      <c r="AM114" s="5">
        <v>1</v>
      </c>
      <c r="AO114" s="8">
        <f t="shared" si="5"/>
        <v>2.9399999380000001</v>
      </c>
      <c r="AP114" s="5">
        <f t="shared" si="6"/>
        <v>1</v>
      </c>
    </row>
    <row r="115" spans="38:42" x14ac:dyDescent="0.25">
      <c r="AL115" s="54">
        <v>2.9500000480000002</v>
      </c>
      <c r="AM115" s="5">
        <v>0</v>
      </c>
      <c r="AO115" s="8">
        <f t="shared" si="5"/>
        <v>2.9500000480000002</v>
      </c>
      <c r="AP115" s="5">
        <f t="shared" si="6"/>
        <v>0</v>
      </c>
    </row>
    <row r="116" spans="38:42" x14ac:dyDescent="0.25">
      <c r="AL116" s="54">
        <v>2.960000038</v>
      </c>
      <c r="AM116" s="5">
        <v>0.5</v>
      </c>
      <c r="AO116" s="8">
        <f t="shared" si="5"/>
        <v>2.960000038</v>
      </c>
      <c r="AP116" s="5">
        <f t="shared" si="6"/>
        <v>0.5</v>
      </c>
    </row>
    <row r="117" spans="38:42" x14ac:dyDescent="0.25">
      <c r="AL117" s="54">
        <v>2.9800000190000002</v>
      </c>
      <c r="AM117" s="5">
        <v>0.5</v>
      </c>
      <c r="AO117" s="8">
        <f t="shared" si="5"/>
        <v>2.9800000190000002</v>
      </c>
      <c r="AP117" s="5">
        <f t="shared" si="6"/>
        <v>0.5</v>
      </c>
    </row>
    <row r="118" spans="38:42" x14ac:dyDescent="0.25">
      <c r="AL118" s="54">
        <v>3.0099999899999998</v>
      </c>
      <c r="AM118" s="5">
        <v>0</v>
      </c>
      <c r="AO118" s="8">
        <f t="shared" si="5"/>
        <v>3.0099999899999998</v>
      </c>
      <c r="AP118" s="5">
        <f t="shared" si="6"/>
        <v>0</v>
      </c>
    </row>
    <row r="119" spans="38:42" x14ac:dyDescent="0.25">
      <c r="AL119" s="54">
        <v>3.0499999519999998</v>
      </c>
      <c r="AM119" s="5">
        <v>0</v>
      </c>
      <c r="AO119" s="8">
        <f t="shared" si="5"/>
        <v>3.0499999519999998</v>
      </c>
      <c r="AP119" s="5">
        <f t="shared" si="6"/>
        <v>0</v>
      </c>
    </row>
    <row r="120" spans="38:42" x14ac:dyDescent="0.25">
      <c r="AL120" s="54">
        <v>3.0599999430000002</v>
      </c>
      <c r="AM120" s="5">
        <v>1</v>
      </c>
      <c r="AO120" s="8">
        <f t="shared" si="5"/>
        <v>3.0599999430000002</v>
      </c>
      <c r="AP120" s="5">
        <f t="shared" si="6"/>
        <v>1</v>
      </c>
    </row>
    <row r="121" spans="38:42" x14ac:dyDescent="0.25">
      <c r="AL121" s="54">
        <v>3.0899999139999998</v>
      </c>
      <c r="AM121" s="5">
        <v>0</v>
      </c>
      <c r="AO121" s="8">
        <f t="shared" si="5"/>
        <v>3.0899999139999998</v>
      </c>
      <c r="AP121" s="5">
        <f t="shared" si="6"/>
        <v>0</v>
      </c>
    </row>
    <row r="122" spans="38:42" x14ac:dyDescent="0.25">
      <c r="AL122" s="54">
        <v>3.0900000329999999</v>
      </c>
      <c r="AM122" s="5">
        <v>0.5</v>
      </c>
      <c r="AO122" s="8">
        <f t="shared" si="5"/>
        <v>3.0900000329999999</v>
      </c>
      <c r="AP122" s="5">
        <f t="shared" si="6"/>
        <v>0.5</v>
      </c>
    </row>
    <row r="123" spans="38:42" x14ac:dyDescent="0.25">
      <c r="AL123" s="54">
        <v>3.1400001049999999</v>
      </c>
      <c r="AM123" s="5">
        <v>0</v>
      </c>
      <c r="AO123" s="8">
        <f t="shared" si="5"/>
        <v>3.1400001049999999</v>
      </c>
      <c r="AP123" s="5">
        <f t="shared" si="6"/>
        <v>0</v>
      </c>
    </row>
    <row r="124" spans="38:42" x14ac:dyDescent="0.25">
      <c r="AL124" s="54">
        <v>3.1499999760000001</v>
      </c>
      <c r="AM124" s="5">
        <v>0</v>
      </c>
      <c r="AO124" s="8">
        <f t="shared" si="5"/>
        <v>3.1499999760000001</v>
      </c>
      <c r="AP124" s="5">
        <f t="shared" si="6"/>
        <v>0</v>
      </c>
    </row>
    <row r="125" spans="38:42" x14ac:dyDescent="0.25">
      <c r="AL125" s="54">
        <v>3.1500000950000002</v>
      </c>
      <c r="AM125" s="5">
        <v>1</v>
      </c>
      <c r="AO125" s="8">
        <f t="shared" si="5"/>
        <v>3.1500000950000002</v>
      </c>
      <c r="AP125" s="5">
        <f t="shared" si="6"/>
        <v>1</v>
      </c>
    </row>
    <row r="126" spans="38:42" x14ac:dyDescent="0.25">
      <c r="AL126" s="54">
        <v>3.1599999670000001</v>
      </c>
      <c r="AM126" s="5">
        <v>0</v>
      </c>
      <c r="AO126" s="8">
        <f t="shared" si="5"/>
        <v>3.1599999670000001</v>
      </c>
      <c r="AP126" s="5">
        <f t="shared" si="6"/>
        <v>0</v>
      </c>
    </row>
    <row r="127" spans="38:42" x14ac:dyDescent="0.25">
      <c r="AL127" s="54">
        <v>3.1800000669999999</v>
      </c>
      <c r="AM127" s="5">
        <v>1</v>
      </c>
      <c r="AO127" s="8">
        <f t="shared" si="5"/>
        <v>3.1800000669999999</v>
      </c>
      <c r="AP127" s="5">
        <f t="shared" si="6"/>
        <v>1</v>
      </c>
    </row>
    <row r="128" spans="38:42" x14ac:dyDescent="0.25">
      <c r="AL128" s="54">
        <v>3.1899999380000001</v>
      </c>
      <c r="AM128" s="5">
        <v>0</v>
      </c>
      <c r="AO128" s="8">
        <f t="shared" si="5"/>
        <v>3.1899999380000001</v>
      </c>
      <c r="AP128" s="5">
        <f t="shared" si="6"/>
        <v>0</v>
      </c>
    </row>
    <row r="129" spans="38:42" x14ac:dyDescent="0.25">
      <c r="AL129" s="54">
        <v>3.1900000569999998</v>
      </c>
      <c r="AM129" s="5">
        <v>0</v>
      </c>
      <c r="AO129" s="8">
        <f t="shared" si="5"/>
        <v>3.1900000569999998</v>
      </c>
      <c r="AP129" s="5">
        <f t="shared" si="6"/>
        <v>0</v>
      </c>
    </row>
    <row r="130" spans="38:42" x14ac:dyDescent="0.25">
      <c r="AL130" s="54">
        <v>3.199999928</v>
      </c>
      <c r="AM130" s="5">
        <v>0.5</v>
      </c>
      <c r="AO130" s="8">
        <f t="shared" si="5"/>
        <v>3.199999928</v>
      </c>
      <c r="AP130" s="5">
        <f t="shared" si="6"/>
        <v>0.5</v>
      </c>
    </row>
    <row r="131" spans="38:42" x14ac:dyDescent="0.25">
      <c r="AL131" s="54">
        <v>3.2000000480000002</v>
      </c>
      <c r="AM131" s="5">
        <v>1</v>
      </c>
      <c r="AO131" s="8">
        <f t="shared" si="5"/>
        <v>3.2000000480000002</v>
      </c>
      <c r="AP131" s="5">
        <f t="shared" si="6"/>
        <v>1</v>
      </c>
    </row>
    <row r="132" spans="38:42" x14ac:dyDescent="0.25">
      <c r="AL132" s="54">
        <v>3.210000038</v>
      </c>
      <c r="AM132" s="5">
        <v>1</v>
      </c>
      <c r="AO132" s="8">
        <f t="shared" si="5"/>
        <v>3.210000038</v>
      </c>
      <c r="AP132" s="5">
        <f t="shared" si="6"/>
        <v>1</v>
      </c>
    </row>
    <row r="133" spans="38:42" x14ac:dyDescent="0.25">
      <c r="AL133" s="54">
        <v>3.2400000100000002</v>
      </c>
      <c r="AM133" s="5">
        <v>0</v>
      </c>
      <c r="AO133" s="8">
        <f t="shared" si="5"/>
        <v>3.2400000100000002</v>
      </c>
      <c r="AP133" s="5">
        <f t="shared" si="6"/>
        <v>0</v>
      </c>
    </row>
    <row r="134" spans="38:42" x14ac:dyDescent="0.25">
      <c r="AL134" s="54">
        <v>3.25</v>
      </c>
      <c r="AM134" s="5">
        <v>1</v>
      </c>
      <c r="AO134" s="8">
        <f t="shared" si="5"/>
        <v>3.25</v>
      </c>
      <c r="AP134" s="5">
        <f t="shared" si="6"/>
        <v>1</v>
      </c>
    </row>
    <row r="135" spans="38:42" x14ac:dyDescent="0.25">
      <c r="AL135" s="54">
        <v>3.3100000619999999</v>
      </c>
      <c r="AM135" s="5">
        <v>1</v>
      </c>
      <c r="AO135" s="8">
        <f t="shared" si="5"/>
        <v>3.3100000619999999</v>
      </c>
      <c r="AP135" s="5">
        <f t="shared" si="6"/>
        <v>1</v>
      </c>
    </row>
    <row r="136" spans="38:42" x14ac:dyDescent="0.25">
      <c r="AL136" s="54">
        <v>3.3199999330000001</v>
      </c>
      <c r="AM136" s="5">
        <v>0</v>
      </c>
      <c r="AO136" s="8">
        <f t="shared" si="5"/>
        <v>3.3199999330000001</v>
      </c>
      <c r="AP136" s="5">
        <f t="shared" si="6"/>
        <v>0</v>
      </c>
    </row>
    <row r="137" spans="38:42" x14ac:dyDescent="0.25">
      <c r="AL137" s="54">
        <v>3.340000093</v>
      </c>
      <c r="AM137" s="5">
        <v>1</v>
      </c>
      <c r="AO137" s="8">
        <f t="shared" si="5"/>
        <v>3.340000093</v>
      </c>
      <c r="AP137" s="5">
        <f t="shared" si="6"/>
        <v>1</v>
      </c>
    </row>
    <row r="138" spans="38:42" x14ac:dyDescent="0.25">
      <c r="AL138" s="54">
        <v>3.4000000950000002</v>
      </c>
      <c r="AM138" s="5">
        <v>0</v>
      </c>
      <c r="AO138" s="8">
        <f t="shared" ref="AO138:AO201" si="7">AL138</f>
        <v>3.4000000950000002</v>
      </c>
      <c r="AP138" s="5">
        <f t="shared" ref="AP138:AP201" si="8">AM138</f>
        <v>0</v>
      </c>
    </row>
    <row r="139" spans="38:42" x14ac:dyDescent="0.25">
      <c r="AL139" s="54">
        <v>3.579999924</v>
      </c>
      <c r="AM139" s="5">
        <v>1</v>
      </c>
      <c r="AO139" s="8">
        <f t="shared" si="7"/>
        <v>3.579999924</v>
      </c>
      <c r="AP139" s="5">
        <f t="shared" si="8"/>
        <v>1</v>
      </c>
    </row>
    <row r="140" spans="38:42" x14ac:dyDescent="0.25">
      <c r="AL140" s="54">
        <v>3.5999999049999998</v>
      </c>
      <c r="AM140" s="5">
        <v>0</v>
      </c>
      <c r="AO140" s="8">
        <f t="shared" si="7"/>
        <v>3.5999999049999998</v>
      </c>
      <c r="AP140" s="5">
        <f t="shared" si="8"/>
        <v>0</v>
      </c>
    </row>
    <row r="141" spans="38:42" x14ac:dyDescent="0.25">
      <c r="AL141" s="54">
        <v>3.7099999189999999</v>
      </c>
      <c r="AM141" s="5">
        <v>0</v>
      </c>
      <c r="AO141" s="8">
        <f t="shared" si="7"/>
        <v>3.7099999189999999</v>
      </c>
      <c r="AP141" s="5">
        <f t="shared" si="8"/>
        <v>0</v>
      </c>
    </row>
    <row r="142" spans="38:42" x14ac:dyDescent="0.25">
      <c r="AL142" s="54">
        <v>3.7200000289999999</v>
      </c>
      <c r="AM142" s="5">
        <v>1</v>
      </c>
      <c r="AO142" s="8">
        <f t="shared" si="7"/>
        <v>3.7200000289999999</v>
      </c>
      <c r="AP142" s="5">
        <f t="shared" si="8"/>
        <v>1</v>
      </c>
    </row>
    <row r="143" spans="38:42" x14ac:dyDescent="0.25">
      <c r="AL143" s="54">
        <v>3.7499998809999999</v>
      </c>
      <c r="AM143" s="5">
        <v>0</v>
      </c>
      <c r="AO143" s="8">
        <f t="shared" si="7"/>
        <v>3.7499998809999999</v>
      </c>
      <c r="AP143" s="5">
        <f t="shared" si="8"/>
        <v>0</v>
      </c>
    </row>
    <row r="144" spans="38:42" x14ac:dyDescent="0.25">
      <c r="AL144" s="54">
        <v>3.75</v>
      </c>
      <c r="AM144" s="5">
        <v>0</v>
      </c>
      <c r="AO144" s="8">
        <f t="shared" si="7"/>
        <v>3.75</v>
      </c>
      <c r="AP144" s="5">
        <f t="shared" si="8"/>
        <v>0</v>
      </c>
    </row>
    <row r="145" spans="38:42" x14ac:dyDescent="0.25">
      <c r="AL145" s="54">
        <v>3.7699999809999998</v>
      </c>
      <c r="AM145" s="5">
        <v>1</v>
      </c>
      <c r="AO145" s="8">
        <f t="shared" si="7"/>
        <v>3.7699999809999998</v>
      </c>
      <c r="AP145" s="5">
        <f t="shared" si="8"/>
        <v>1</v>
      </c>
    </row>
    <row r="146" spans="38:42" x14ac:dyDescent="0.25">
      <c r="AL146" s="54">
        <v>3.800000072</v>
      </c>
      <c r="AM146" s="5">
        <v>0</v>
      </c>
      <c r="AO146" s="8">
        <f t="shared" si="7"/>
        <v>3.800000072</v>
      </c>
      <c r="AP146" s="5">
        <f t="shared" si="8"/>
        <v>0</v>
      </c>
    </row>
    <row r="147" spans="38:42" x14ac:dyDescent="0.25">
      <c r="AL147" s="54">
        <v>3.8199999330000001</v>
      </c>
      <c r="AM147" s="5">
        <v>0</v>
      </c>
      <c r="AO147" s="8">
        <f t="shared" si="7"/>
        <v>3.8199999330000001</v>
      </c>
      <c r="AP147" s="5">
        <f t="shared" si="8"/>
        <v>0</v>
      </c>
    </row>
    <row r="148" spans="38:42" x14ac:dyDescent="0.25">
      <c r="AL148" s="54">
        <v>3.829999924</v>
      </c>
      <c r="AM148" s="5">
        <v>0</v>
      </c>
      <c r="AO148" s="8">
        <f t="shared" si="7"/>
        <v>3.829999924</v>
      </c>
      <c r="AP148" s="5">
        <f t="shared" si="8"/>
        <v>0</v>
      </c>
    </row>
    <row r="149" spans="38:42" x14ac:dyDescent="0.25">
      <c r="AL149" s="54">
        <v>3.8400000329999999</v>
      </c>
      <c r="AM149" s="5">
        <v>0</v>
      </c>
      <c r="AO149" s="8">
        <f t="shared" si="7"/>
        <v>3.8400000329999999</v>
      </c>
      <c r="AP149" s="5">
        <f t="shared" si="8"/>
        <v>0</v>
      </c>
    </row>
    <row r="150" spans="38:42" x14ac:dyDescent="0.25">
      <c r="AL150" s="54">
        <v>3.9199999569999999</v>
      </c>
      <c r="AM150" s="5">
        <v>0</v>
      </c>
      <c r="AO150" s="8">
        <f t="shared" si="7"/>
        <v>3.9199999569999999</v>
      </c>
      <c r="AP150" s="5">
        <f t="shared" si="8"/>
        <v>0</v>
      </c>
    </row>
    <row r="151" spans="38:42" x14ac:dyDescent="0.25">
      <c r="AL151" s="54">
        <v>3.9500000480000002</v>
      </c>
      <c r="AM151" s="5">
        <v>1</v>
      </c>
      <c r="AO151" s="8">
        <f t="shared" si="7"/>
        <v>3.9500000480000002</v>
      </c>
      <c r="AP151" s="5">
        <f t="shared" si="8"/>
        <v>1</v>
      </c>
    </row>
    <row r="152" spans="38:42" x14ac:dyDescent="0.25">
      <c r="AL152" s="54">
        <v>3.9599999189999999</v>
      </c>
      <c r="AM152" s="5">
        <v>0</v>
      </c>
      <c r="AO152" s="8">
        <f t="shared" si="7"/>
        <v>3.9599999189999999</v>
      </c>
      <c r="AP152" s="5">
        <f t="shared" si="8"/>
        <v>0</v>
      </c>
    </row>
    <row r="153" spans="38:42" x14ac:dyDescent="0.25">
      <c r="AL153" s="54">
        <v>3.9800000190000002</v>
      </c>
      <c r="AM153" s="5">
        <v>0</v>
      </c>
      <c r="AO153" s="8">
        <f t="shared" si="7"/>
        <v>3.9800000190000002</v>
      </c>
      <c r="AP153" s="5">
        <f t="shared" si="8"/>
        <v>0</v>
      </c>
    </row>
    <row r="154" spans="38:42" x14ac:dyDescent="0.25">
      <c r="AL154" s="54">
        <v>4.0199999809999998</v>
      </c>
      <c r="AM154" s="5">
        <v>0</v>
      </c>
      <c r="AO154" s="8">
        <f t="shared" si="7"/>
        <v>4.0199999809999998</v>
      </c>
      <c r="AP154" s="5">
        <f t="shared" si="8"/>
        <v>0</v>
      </c>
    </row>
    <row r="155" spans="38:42" x14ac:dyDescent="0.25">
      <c r="AL155" s="54">
        <v>4.0500000719999996</v>
      </c>
      <c r="AM155" s="5">
        <v>0</v>
      </c>
      <c r="AO155" s="8">
        <f t="shared" si="7"/>
        <v>4.0500000719999996</v>
      </c>
      <c r="AP155" s="5">
        <f t="shared" si="8"/>
        <v>0</v>
      </c>
    </row>
    <row r="156" spans="38:42" x14ac:dyDescent="0.25">
      <c r="AL156" s="54">
        <v>4.0500001909999996</v>
      </c>
      <c r="AM156" s="5">
        <v>1</v>
      </c>
      <c r="AO156" s="8">
        <f t="shared" si="7"/>
        <v>4.0500001909999996</v>
      </c>
      <c r="AP156" s="5">
        <f t="shared" si="8"/>
        <v>1</v>
      </c>
    </row>
    <row r="157" spans="38:42" x14ac:dyDescent="0.25">
      <c r="AL157" s="54">
        <v>4.079999924</v>
      </c>
      <c r="AM157" s="5">
        <v>0.5</v>
      </c>
      <c r="AO157" s="8">
        <f t="shared" si="7"/>
        <v>4.079999924</v>
      </c>
      <c r="AP157" s="5">
        <f t="shared" si="8"/>
        <v>0.5</v>
      </c>
    </row>
    <row r="158" spans="38:42" x14ac:dyDescent="0.25">
      <c r="AL158" s="54">
        <v>4.0900000329999999</v>
      </c>
      <c r="AM158" s="5">
        <v>0</v>
      </c>
      <c r="AO158" s="8">
        <f t="shared" si="7"/>
        <v>4.0900000329999999</v>
      </c>
      <c r="AP158" s="5">
        <f t="shared" si="8"/>
        <v>0</v>
      </c>
    </row>
    <row r="159" spans="38:42" x14ac:dyDescent="0.25">
      <c r="AL159" s="54">
        <v>4.1300001139999996</v>
      </c>
      <c r="AM159" s="5">
        <v>1</v>
      </c>
      <c r="AO159" s="8">
        <f t="shared" si="7"/>
        <v>4.1300001139999996</v>
      </c>
      <c r="AP159" s="5">
        <f t="shared" si="8"/>
        <v>1</v>
      </c>
    </row>
    <row r="160" spans="38:42" x14ac:dyDescent="0.25">
      <c r="AL160" s="54">
        <v>4.1800000669999999</v>
      </c>
      <c r="AM160" s="5">
        <v>0</v>
      </c>
      <c r="AO160" s="8">
        <f t="shared" si="7"/>
        <v>4.1800000669999999</v>
      </c>
      <c r="AP160" s="5">
        <f t="shared" si="8"/>
        <v>0</v>
      </c>
    </row>
    <row r="161" spans="38:42" x14ac:dyDescent="0.25">
      <c r="AL161" s="54">
        <v>4.2100000380000004</v>
      </c>
      <c r="AM161" s="5">
        <v>0</v>
      </c>
      <c r="AO161" s="8">
        <f t="shared" si="7"/>
        <v>4.2100000380000004</v>
      </c>
      <c r="AP161" s="5">
        <f t="shared" si="8"/>
        <v>0</v>
      </c>
    </row>
    <row r="162" spans="38:42" x14ac:dyDescent="0.25">
      <c r="AL162" s="54">
        <v>4.2200000290000004</v>
      </c>
      <c r="AM162" s="5">
        <v>1</v>
      </c>
      <c r="AO162" s="8">
        <f t="shared" si="7"/>
        <v>4.2200000290000004</v>
      </c>
      <c r="AP162" s="5">
        <f t="shared" si="8"/>
        <v>1</v>
      </c>
    </row>
    <row r="163" spans="38:42" x14ac:dyDescent="0.25">
      <c r="AL163" s="54">
        <v>4.25</v>
      </c>
      <c r="AM163" s="5">
        <v>0</v>
      </c>
      <c r="AO163" s="8">
        <f t="shared" si="7"/>
        <v>4.25</v>
      </c>
      <c r="AP163" s="5">
        <f t="shared" si="8"/>
        <v>0</v>
      </c>
    </row>
    <row r="164" spans="38:42" x14ac:dyDescent="0.25">
      <c r="AL164" s="54">
        <v>4.2599999899999998</v>
      </c>
      <c r="AM164" s="5">
        <v>0</v>
      </c>
      <c r="AO164" s="8">
        <f t="shared" si="7"/>
        <v>4.2599999899999998</v>
      </c>
      <c r="AP164" s="5">
        <f t="shared" si="8"/>
        <v>0</v>
      </c>
    </row>
    <row r="165" spans="38:42" x14ac:dyDescent="0.25">
      <c r="AL165" s="54">
        <v>4.2699998619999997</v>
      </c>
      <c r="AM165" s="5">
        <v>0</v>
      </c>
      <c r="AO165" s="8">
        <f t="shared" si="7"/>
        <v>4.2699998619999997</v>
      </c>
      <c r="AP165" s="5">
        <f t="shared" si="8"/>
        <v>0</v>
      </c>
    </row>
    <row r="166" spans="38:42" x14ac:dyDescent="0.25">
      <c r="AL166" s="54">
        <v>4.2899999619999996</v>
      </c>
      <c r="AM166" s="5">
        <v>1</v>
      </c>
      <c r="AO166" s="8">
        <f t="shared" si="7"/>
        <v>4.2899999619999996</v>
      </c>
      <c r="AP166" s="5">
        <f t="shared" si="8"/>
        <v>1</v>
      </c>
    </row>
    <row r="167" spans="38:42" x14ac:dyDescent="0.25">
      <c r="AL167" s="54">
        <v>4.3000001909999996</v>
      </c>
      <c r="AM167" s="5">
        <v>0</v>
      </c>
      <c r="AO167" s="8">
        <f t="shared" si="7"/>
        <v>4.3000001909999996</v>
      </c>
      <c r="AP167" s="5">
        <f t="shared" si="8"/>
        <v>0</v>
      </c>
    </row>
    <row r="168" spans="38:42" x14ac:dyDescent="0.25">
      <c r="AL168" s="54">
        <v>4.329999924</v>
      </c>
      <c r="AM168" s="5">
        <v>2</v>
      </c>
      <c r="AO168" s="8">
        <f t="shared" si="7"/>
        <v>4.329999924</v>
      </c>
      <c r="AP168" s="5">
        <f t="shared" si="8"/>
        <v>2</v>
      </c>
    </row>
    <row r="169" spans="38:42" x14ac:dyDescent="0.25">
      <c r="AL169" s="54">
        <v>4.3700000049999996</v>
      </c>
      <c r="AM169" s="5">
        <v>0</v>
      </c>
      <c r="AO169" s="8">
        <f t="shared" si="7"/>
        <v>4.3700000049999996</v>
      </c>
      <c r="AP169" s="5">
        <f t="shared" si="8"/>
        <v>0</v>
      </c>
    </row>
    <row r="170" spans="38:42" x14ac:dyDescent="0.25">
      <c r="AL170" s="54">
        <v>4.4299998279999997</v>
      </c>
      <c r="AM170" s="5">
        <v>0</v>
      </c>
      <c r="AO170" s="8">
        <f t="shared" si="7"/>
        <v>4.4299998279999997</v>
      </c>
      <c r="AP170" s="5">
        <f t="shared" si="8"/>
        <v>0</v>
      </c>
    </row>
    <row r="171" spans="38:42" x14ac:dyDescent="0.25">
      <c r="AL171" s="54">
        <v>4.4400000569999998</v>
      </c>
      <c r="AM171" s="5">
        <v>0</v>
      </c>
      <c r="AO171" s="8">
        <f t="shared" si="7"/>
        <v>4.4400000569999998</v>
      </c>
      <c r="AP171" s="5">
        <f t="shared" si="8"/>
        <v>0</v>
      </c>
    </row>
    <row r="172" spans="38:42" x14ac:dyDescent="0.25">
      <c r="AL172" s="54">
        <v>4.4499998090000004</v>
      </c>
      <c r="AM172" s="5">
        <v>0</v>
      </c>
      <c r="AO172" s="8">
        <f t="shared" si="7"/>
        <v>4.4499998090000004</v>
      </c>
      <c r="AP172" s="5">
        <f t="shared" si="8"/>
        <v>0</v>
      </c>
    </row>
    <row r="173" spans="38:42" x14ac:dyDescent="0.25">
      <c r="AL173" s="54">
        <v>4.4499999280000004</v>
      </c>
      <c r="AM173" s="5">
        <v>0</v>
      </c>
      <c r="AO173" s="8">
        <f t="shared" si="7"/>
        <v>4.4499999280000004</v>
      </c>
      <c r="AP173" s="5">
        <f t="shared" si="8"/>
        <v>0</v>
      </c>
    </row>
    <row r="174" spans="38:42" x14ac:dyDescent="0.25">
      <c r="AL174" s="54">
        <v>4.5299999709999996</v>
      </c>
      <c r="AM174" s="5">
        <v>1</v>
      </c>
      <c r="AO174" s="8">
        <f t="shared" si="7"/>
        <v>4.5299999709999996</v>
      </c>
      <c r="AP174" s="5">
        <f t="shared" si="8"/>
        <v>1</v>
      </c>
    </row>
    <row r="175" spans="38:42" x14ac:dyDescent="0.25">
      <c r="AL175" s="54">
        <v>4.5500001909999996</v>
      </c>
      <c r="AM175" s="5">
        <v>0</v>
      </c>
      <c r="AO175" s="8">
        <f t="shared" si="7"/>
        <v>4.5500001909999996</v>
      </c>
      <c r="AP175" s="5">
        <f t="shared" si="8"/>
        <v>0</v>
      </c>
    </row>
    <row r="176" spans="38:42" x14ac:dyDescent="0.25">
      <c r="AL176" s="54">
        <v>4.5600000620000003</v>
      </c>
      <c r="AM176" s="5">
        <v>1</v>
      </c>
      <c r="AO176" s="8">
        <f t="shared" si="7"/>
        <v>4.5600000620000003</v>
      </c>
      <c r="AP176" s="5">
        <f t="shared" si="8"/>
        <v>1</v>
      </c>
    </row>
    <row r="177" spans="38:42" x14ac:dyDescent="0.25">
      <c r="AL177" s="54">
        <v>4.5699999330000001</v>
      </c>
      <c r="AM177" s="5">
        <v>1</v>
      </c>
      <c r="AO177" s="8">
        <f t="shared" si="7"/>
        <v>4.5699999330000001</v>
      </c>
      <c r="AP177" s="5">
        <f t="shared" si="8"/>
        <v>1</v>
      </c>
    </row>
    <row r="178" spans="38:42" x14ac:dyDescent="0.25">
      <c r="AL178" s="54">
        <v>4.5900000329999999</v>
      </c>
      <c r="AM178" s="5">
        <v>1</v>
      </c>
      <c r="AO178" s="8">
        <f t="shared" si="7"/>
        <v>4.5900000329999999</v>
      </c>
      <c r="AP178" s="5">
        <f t="shared" si="8"/>
        <v>1</v>
      </c>
    </row>
    <row r="179" spans="38:42" x14ac:dyDescent="0.25">
      <c r="AL179" s="54">
        <v>4.5900001530000001</v>
      </c>
      <c r="AM179" s="5">
        <v>0</v>
      </c>
      <c r="AO179" s="8">
        <f t="shared" si="7"/>
        <v>4.5900001530000001</v>
      </c>
      <c r="AP179" s="5">
        <f t="shared" si="8"/>
        <v>0</v>
      </c>
    </row>
    <row r="180" spans="38:42" x14ac:dyDescent="0.25">
      <c r="AL180" s="54">
        <v>4.6000000239999999</v>
      </c>
      <c r="AM180" s="5">
        <v>1</v>
      </c>
      <c r="AO180" s="8">
        <f t="shared" si="7"/>
        <v>4.6000000239999999</v>
      </c>
      <c r="AP180" s="5">
        <f t="shared" si="8"/>
        <v>1</v>
      </c>
    </row>
    <row r="181" spans="38:42" x14ac:dyDescent="0.25">
      <c r="AL181" s="54">
        <v>4.6199998860000004</v>
      </c>
      <c r="AM181" s="5">
        <v>0</v>
      </c>
      <c r="AO181" s="8">
        <f t="shared" si="7"/>
        <v>4.6199998860000004</v>
      </c>
      <c r="AP181" s="5">
        <f t="shared" si="8"/>
        <v>0</v>
      </c>
    </row>
    <row r="182" spans="38:42" x14ac:dyDescent="0.25">
      <c r="AL182" s="54">
        <v>4.6300001139999996</v>
      </c>
      <c r="AM182" s="5">
        <v>1</v>
      </c>
      <c r="AO182" s="8">
        <f t="shared" si="7"/>
        <v>4.6300001139999996</v>
      </c>
      <c r="AP182" s="5">
        <f t="shared" si="8"/>
        <v>1</v>
      </c>
    </row>
    <row r="183" spans="38:42" x14ac:dyDescent="0.25">
      <c r="AL183" s="54">
        <v>4.6599998469999999</v>
      </c>
      <c r="AM183" s="5">
        <v>1</v>
      </c>
      <c r="AO183" s="8">
        <f t="shared" si="7"/>
        <v>4.6599998469999999</v>
      </c>
      <c r="AP183" s="5">
        <f t="shared" si="8"/>
        <v>1</v>
      </c>
    </row>
    <row r="184" spans="38:42" x14ac:dyDescent="0.25">
      <c r="AL184" s="54">
        <v>4.7300000190000002</v>
      </c>
      <c r="AM184" s="5">
        <v>1</v>
      </c>
      <c r="AO184" s="8">
        <f t="shared" si="7"/>
        <v>4.7300000190000002</v>
      </c>
      <c r="AP184" s="5">
        <f t="shared" si="8"/>
        <v>1</v>
      </c>
    </row>
    <row r="185" spans="38:42" x14ac:dyDescent="0.25">
      <c r="AL185" s="54">
        <v>4.7699999809999998</v>
      </c>
      <c r="AM185" s="5">
        <v>0</v>
      </c>
      <c r="AO185" s="8">
        <f t="shared" si="7"/>
        <v>4.7699999809999998</v>
      </c>
      <c r="AP185" s="5">
        <f t="shared" si="8"/>
        <v>0</v>
      </c>
    </row>
    <row r="186" spans="38:42" x14ac:dyDescent="0.25">
      <c r="AL186" s="54">
        <v>4.8200000520000001</v>
      </c>
      <c r="AM186" s="5">
        <v>1</v>
      </c>
      <c r="AO186" s="8">
        <f t="shared" si="7"/>
        <v>4.8200000520000001</v>
      </c>
      <c r="AP186" s="5">
        <f t="shared" si="8"/>
        <v>1</v>
      </c>
    </row>
    <row r="187" spans="38:42" x14ac:dyDescent="0.25">
      <c r="AL187" s="54">
        <v>4.9400000569999998</v>
      </c>
      <c r="AM187" s="5">
        <v>1</v>
      </c>
      <c r="AO187" s="8">
        <f t="shared" si="7"/>
        <v>4.9400000569999998</v>
      </c>
      <c r="AP187" s="5">
        <f t="shared" si="8"/>
        <v>1</v>
      </c>
    </row>
    <row r="188" spans="38:42" x14ac:dyDescent="0.25">
      <c r="AL188" s="54">
        <v>4.98999989</v>
      </c>
      <c r="AM188" s="5">
        <v>1</v>
      </c>
      <c r="AO188" s="8">
        <f t="shared" si="7"/>
        <v>4.98999989</v>
      </c>
      <c r="AP188" s="5">
        <f t="shared" si="8"/>
        <v>1</v>
      </c>
    </row>
    <row r="189" spans="38:42" x14ac:dyDescent="0.25">
      <c r="AL189" s="54">
        <v>5.1400001050000004</v>
      </c>
      <c r="AM189" s="5">
        <v>1</v>
      </c>
      <c r="AO189" s="8">
        <f t="shared" si="7"/>
        <v>5.1400001050000004</v>
      </c>
      <c r="AP189" s="5">
        <f t="shared" si="8"/>
        <v>1</v>
      </c>
    </row>
    <row r="190" spans="38:42" x14ac:dyDescent="0.25">
      <c r="AL190" s="54">
        <v>5.2100000380000004</v>
      </c>
      <c r="AM190" s="5">
        <v>1</v>
      </c>
      <c r="AO190" s="8">
        <f t="shared" si="7"/>
        <v>5.2100000380000004</v>
      </c>
      <c r="AP190" s="5">
        <f t="shared" si="8"/>
        <v>1</v>
      </c>
    </row>
    <row r="191" spans="38:42" x14ac:dyDescent="0.25">
      <c r="AL191" s="54">
        <v>5.2200000290000004</v>
      </c>
      <c r="AM191" s="5">
        <v>0</v>
      </c>
      <c r="AO191" s="8">
        <f t="shared" si="7"/>
        <v>5.2200000290000004</v>
      </c>
      <c r="AP191" s="5">
        <f t="shared" si="8"/>
        <v>0</v>
      </c>
    </row>
    <row r="192" spans="38:42" x14ac:dyDescent="0.25">
      <c r="AL192" s="54">
        <v>5.2799999709999996</v>
      </c>
      <c r="AM192" s="5">
        <v>1</v>
      </c>
      <c r="AO192" s="8">
        <f t="shared" si="7"/>
        <v>5.2799999709999996</v>
      </c>
      <c r="AP192" s="5">
        <f t="shared" si="8"/>
        <v>1</v>
      </c>
    </row>
    <row r="193" spans="38:42" x14ac:dyDescent="0.25">
      <c r="AL193" s="54">
        <v>5.3499999049999998</v>
      </c>
      <c r="AM193" s="5">
        <v>0</v>
      </c>
      <c r="AO193" s="8">
        <f t="shared" si="7"/>
        <v>5.3499999049999998</v>
      </c>
      <c r="AP193" s="5">
        <f t="shared" si="8"/>
        <v>0</v>
      </c>
    </row>
    <row r="194" spans="38:42" x14ac:dyDescent="0.25">
      <c r="AL194" s="54">
        <v>5.3899998660000001</v>
      </c>
      <c r="AM194" s="5">
        <v>0.5</v>
      </c>
      <c r="AO194" s="8">
        <f t="shared" si="7"/>
        <v>5.3899998660000001</v>
      </c>
      <c r="AP194" s="5">
        <f t="shared" si="8"/>
        <v>0.5</v>
      </c>
    </row>
    <row r="195" spans="38:42" x14ac:dyDescent="0.25">
      <c r="AL195" s="54">
        <v>5.4399999379999997</v>
      </c>
      <c r="AM195" s="5">
        <v>0</v>
      </c>
      <c r="AO195" s="8">
        <f t="shared" si="7"/>
        <v>5.4399999379999997</v>
      </c>
      <c r="AP195" s="5">
        <f t="shared" si="8"/>
        <v>0</v>
      </c>
    </row>
    <row r="196" spans="38:42" x14ac:dyDescent="0.25">
      <c r="AL196" s="54">
        <v>5.4600000380000004</v>
      </c>
      <c r="AM196" s="5">
        <v>1</v>
      </c>
      <c r="AO196" s="8">
        <f t="shared" si="7"/>
        <v>5.4600000380000004</v>
      </c>
      <c r="AP196" s="5">
        <f t="shared" si="8"/>
        <v>1</v>
      </c>
    </row>
    <row r="197" spans="38:42" x14ac:dyDescent="0.25">
      <c r="AL197" s="54">
        <v>5.4900000100000002</v>
      </c>
      <c r="AM197" s="5">
        <v>1</v>
      </c>
      <c r="AO197" s="8">
        <f t="shared" si="7"/>
        <v>5.4900000100000002</v>
      </c>
      <c r="AP197" s="5">
        <f t="shared" si="8"/>
        <v>1</v>
      </c>
    </row>
    <row r="198" spans="38:42" x14ac:dyDescent="0.25">
      <c r="AL198" s="54">
        <v>5.5200000999999999</v>
      </c>
      <c r="AM198" s="5">
        <v>0</v>
      </c>
      <c r="AO198" s="8">
        <f t="shared" si="7"/>
        <v>5.5200000999999999</v>
      </c>
      <c r="AP198" s="5">
        <f t="shared" si="8"/>
        <v>0</v>
      </c>
    </row>
    <row r="199" spans="38:42" x14ac:dyDescent="0.25">
      <c r="AL199" s="54">
        <v>5.5800000430000001</v>
      </c>
      <c r="AM199" s="5">
        <v>0</v>
      </c>
      <c r="AO199" s="8">
        <f t="shared" si="7"/>
        <v>5.5800000430000001</v>
      </c>
      <c r="AP199" s="5">
        <f t="shared" si="8"/>
        <v>0</v>
      </c>
    </row>
    <row r="200" spans="38:42" x14ac:dyDescent="0.25">
      <c r="AL200" s="54">
        <v>5.5900001530000001</v>
      </c>
      <c r="AM200" s="5">
        <v>0</v>
      </c>
      <c r="AO200" s="8">
        <f t="shared" si="7"/>
        <v>5.5900001530000001</v>
      </c>
      <c r="AP200" s="5">
        <f t="shared" si="8"/>
        <v>0</v>
      </c>
    </row>
    <row r="201" spans="38:42" x14ac:dyDescent="0.25">
      <c r="AL201" s="54">
        <v>5.6299999950000004</v>
      </c>
      <c r="AM201" s="5">
        <v>1</v>
      </c>
      <c r="AO201" s="8">
        <f t="shared" si="7"/>
        <v>5.6299999950000004</v>
      </c>
      <c r="AP201" s="5">
        <f t="shared" si="8"/>
        <v>1</v>
      </c>
    </row>
    <row r="202" spans="38:42" x14ac:dyDescent="0.25">
      <c r="AL202" s="54">
        <v>5.7300000190000002</v>
      </c>
      <c r="AM202" s="5">
        <v>1</v>
      </c>
      <c r="AO202" s="8">
        <f t="shared" ref="AO202:AO265" si="9">AL202</f>
        <v>5.7300000190000002</v>
      </c>
      <c r="AP202" s="5">
        <f t="shared" ref="AP202:AP265" si="10">AM202</f>
        <v>1</v>
      </c>
    </row>
    <row r="203" spans="38:42" x14ac:dyDescent="0.25">
      <c r="AL203" s="54">
        <v>5.75</v>
      </c>
      <c r="AM203" s="5">
        <v>0</v>
      </c>
      <c r="AO203" s="8">
        <f t="shared" si="9"/>
        <v>5.75</v>
      </c>
      <c r="AP203" s="5">
        <f t="shared" si="10"/>
        <v>0</v>
      </c>
    </row>
    <row r="204" spans="38:42" x14ac:dyDescent="0.25">
      <c r="AL204" s="54">
        <v>5.7699999809999998</v>
      </c>
      <c r="AM204" s="5">
        <v>0</v>
      </c>
      <c r="AO204" s="8">
        <f t="shared" si="9"/>
        <v>5.7699999809999998</v>
      </c>
      <c r="AP204" s="5">
        <f t="shared" si="10"/>
        <v>0</v>
      </c>
    </row>
    <row r="205" spans="38:42" x14ac:dyDescent="0.25">
      <c r="AL205" s="54">
        <v>5.7799998520000004</v>
      </c>
      <c r="AM205" s="5">
        <v>0</v>
      </c>
      <c r="AO205" s="8">
        <f t="shared" si="9"/>
        <v>5.7799998520000004</v>
      </c>
      <c r="AP205" s="5">
        <f t="shared" si="10"/>
        <v>0</v>
      </c>
    </row>
    <row r="206" spans="38:42" x14ac:dyDescent="0.25">
      <c r="AL206" s="54">
        <v>5.7899999019999999</v>
      </c>
      <c r="AM206" s="5">
        <v>0</v>
      </c>
      <c r="AO206" s="8">
        <f t="shared" si="9"/>
        <v>5.7899999019999999</v>
      </c>
      <c r="AP206" s="5">
        <f t="shared" si="10"/>
        <v>0</v>
      </c>
    </row>
    <row r="207" spans="38:42" x14ac:dyDescent="0.25">
      <c r="AL207" s="54">
        <v>5.9099999670000001</v>
      </c>
      <c r="AM207" s="5">
        <v>1</v>
      </c>
      <c r="AO207" s="8">
        <f t="shared" si="9"/>
        <v>5.9099999670000001</v>
      </c>
      <c r="AP207" s="5">
        <f t="shared" si="10"/>
        <v>1</v>
      </c>
    </row>
    <row r="208" spans="38:42" x14ac:dyDescent="0.25">
      <c r="AL208" s="54">
        <v>5.9299999479999999</v>
      </c>
      <c r="AM208" s="5">
        <v>0</v>
      </c>
      <c r="AO208" s="8">
        <f t="shared" si="9"/>
        <v>5.9299999479999999</v>
      </c>
      <c r="AP208" s="5">
        <f t="shared" si="10"/>
        <v>0</v>
      </c>
    </row>
    <row r="209" spans="38:42" x14ac:dyDescent="0.25">
      <c r="AL209" s="54">
        <v>6.0199999809999998</v>
      </c>
      <c r="AM209" s="5">
        <v>0</v>
      </c>
      <c r="AO209" s="8">
        <f t="shared" si="9"/>
        <v>6.0199999809999998</v>
      </c>
      <c r="AP209" s="5">
        <f t="shared" si="10"/>
        <v>0</v>
      </c>
    </row>
    <row r="210" spans="38:42" x14ac:dyDescent="0.25">
      <c r="AL210" s="54">
        <v>6.0299998520000004</v>
      </c>
      <c r="AM210" s="5">
        <v>0</v>
      </c>
      <c r="AO210" s="8">
        <f t="shared" si="9"/>
        <v>6.0299998520000004</v>
      </c>
      <c r="AP210" s="5">
        <f t="shared" si="10"/>
        <v>0</v>
      </c>
    </row>
    <row r="211" spans="38:42" x14ac:dyDescent="0.25">
      <c r="AL211" s="54">
        <v>6.0399999619999996</v>
      </c>
      <c r="AM211" s="5">
        <v>0</v>
      </c>
      <c r="AO211" s="8">
        <f t="shared" si="9"/>
        <v>6.0399999619999996</v>
      </c>
      <c r="AP211" s="5">
        <f t="shared" si="10"/>
        <v>0</v>
      </c>
    </row>
    <row r="212" spans="38:42" x14ac:dyDescent="0.25">
      <c r="AL212" s="54">
        <v>6.0500001909999996</v>
      </c>
      <c r="AM212" s="5">
        <v>0</v>
      </c>
      <c r="AO212" s="8">
        <f t="shared" si="9"/>
        <v>6.0500001909999996</v>
      </c>
      <c r="AP212" s="5">
        <f t="shared" si="10"/>
        <v>0</v>
      </c>
    </row>
    <row r="213" spans="38:42" x14ac:dyDescent="0.25">
      <c r="AL213" s="54">
        <v>6.079999924</v>
      </c>
      <c r="AM213" s="5">
        <v>0</v>
      </c>
      <c r="AO213" s="8">
        <f t="shared" si="9"/>
        <v>6.079999924</v>
      </c>
      <c r="AP213" s="5">
        <f t="shared" si="10"/>
        <v>0</v>
      </c>
    </row>
    <row r="214" spans="38:42" x14ac:dyDescent="0.25">
      <c r="AL214" s="54">
        <v>6.0999999049999998</v>
      </c>
      <c r="AM214" s="5">
        <v>0</v>
      </c>
      <c r="AO214" s="8">
        <f t="shared" si="9"/>
        <v>6.0999999049999998</v>
      </c>
      <c r="AP214" s="5">
        <f t="shared" si="10"/>
        <v>0</v>
      </c>
    </row>
    <row r="215" spans="38:42" x14ac:dyDescent="0.25">
      <c r="AL215" s="54">
        <v>6.1699999569999999</v>
      </c>
      <c r="AM215" s="5">
        <v>1</v>
      </c>
      <c r="AO215" s="8">
        <f t="shared" si="9"/>
        <v>6.1699999569999999</v>
      </c>
      <c r="AP215" s="5">
        <f t="shared" si="10"/>
        <v>1</v>
      </c>
    </row>
    <row r="216" spans="38:42" x14ac:dyDescent="0.25">
      <c r="AL216" s="54">
        <v>6.26000011</v>
      </c>
      <c r="AM216" s="5">
        <v>0</v>
      </c>
      <c r="AO216" s="8">
        <f t="shared" si="9"/>
        <v>6.26000011</v>
      </c>
      <c r="AP216" s="5">
        <f t="shared" si="10"/>
        <v>0</v>
      </c>
    </row>
    <row r="217" spans="38:42" x14ac:dyDescent="0.25">
      <c r="AL217" s="54">
        <v>6.2799999709999996</v>
      </c>
      <c r="AM217" s="5">
        <v>0</v>
      </c>
      <c r="AO217" s="8">
        <f t="shared" si="9"/>
        <v>6.2799999709999996</v>
      </c>
      <c r="AP217" s="5">
        <f t="shared" si="10"/>
        <v>0</v>
      </c>
    </row>
    <row r="218" spans="38:42" x14ac:dyDescent="0.25">
      <c r="AL218" s="54">
        <v>6.3400001530000001</v>
      </c>
      <c r="AM218" s="5">
        <v>1</v>
      </c>
      <c r="AO218" s="8">
        <f t="shared" si="9"/>
        <v>6.3400001530000001</v>
      </c>
      <c r="AP218" s="5">
        <f t="shared" si="10"/>
        <v>1</v>
      </c>
    </row>
    <row r="219" spans="38:42" x14ac:dyDescent="0.25">
      <c r="AL219" s="54">
        <v>6.3700000049999996</v>
      </c>
      <c r="AM219" s="5">
        <v>0</v>
      </c>
      <c r="AO219" s="8">
        <f t="shared" si="9"/>
        <v>6.3700000049999996</v>
      </c>
      <c r="AP219" s="5">
        <f t="shared" si="10"/>
        <v>0</v>
      </c>
    </row>
    <row r="220" spans="38:42" x14ac:dyDescent="0.25">
      <c r="AL220" s="54">
        <v>6.7300000190000002</v>
      </c>
      <c r="AM220" s="5">
        <v>0</v>
      </c>
      <c r="AO220" s="8">
        <f t="shared" si="9"/>
        <v>6.7300000190000002</v>
      </c>
      <c r="AP220" s="5">
        <f t="shared" si="10"/>
        <v>0</v>
      </c>
    </row>
    <row r="221" spans="38:42" x14ac:dyDescent="0.25">
      <c r="AL221" s="54">
        <v>6.7400000100000002</v>
      </c>
      <c r="AM221" s="5">
        <v>0</v>
      </c>
      <c r="AO221" s="8">
        <f t="shared" si="9"/>
        <v>6.7400000100000002</v>
      </c>
      <c r="AP221" s="5">
        <f t="shared" si="10"/>
        <v>0</v>
      </c>
    </row>
    <row r="222" spans="38:42" x14ac:dyDescent="0.25">
      <c r="AL222" s="54">
        <v>6.7799998520000004</v>
      </c>
      <c r="AM222" s="5">
        <v>0</v>
      </c>
      <c r="AO222" s="8">
        <f t="shared" si="9"/>
        <v>6.7799998520000004</v>
      </c>
      <c r="AP222" s="5">
        <f t="shared" si="10"/>
        <v>0</v>
      </c>
    </row>
    <row r="223" spans="38:42" x14ac:dyDescent="0.25">
      <c r="AL223" s="54">
        <v>6.9100000860000002</v>
      </c>
      <c r="AM223" s="5">
        <v>0</v>
      </c>
      <c r="AO223" s="8">
        <f t="shared" si="9"/>
        <v>6.9100000860000002</v>
      </c>
      <c r="AP223" s="5">
        <f t="shared" si="10"/>
        <v>0</v>
      </c>
    </row>
    <row r="224" spans="38:42" x14ac:dyDescent="0.25">
      <c r="AL224" s="54">
        <v>6.9600000380000004</v>
      </c>
      <c r="AM224" s="5">
        <v>0</v>
      </c>
      <c r="AO224" s="8">
        <f t="shared" si="9"/>
        <v>6.9600000380000004</v>
      </c>
      <c r="AP224" s="5">
        <f t="shared" si="10"/>
        <v>0</v>
      </c>
    </row>
    <row r="225" spans="38:42" x14ac:dyDescent="0.25">
      <c r="AL225" s="54">
        <v>7.1399999860000003</v>
      </c>
      <c r="AM225" s="5">
        <v>0</v>
      </c>
      <c r="AO225" s="8">
        <f t="shared" si="9"/>
        <v>7.1399999860000003</v>
      </c>
      <c r="AP225" s="5">
        <f t="shared" si="10"/>
        <v>0</v>
      </c>
    </row>
    <row r="226" spans="38:42" x14ac:dyDescent="0.25">
      <c r="AL226" s="54">
        <v>7.2200001479999996</v>
      </c>
      <c r="AM226" s="5">
        <v>0</v>
      </c>
      <c r="AO226" s="8">
        <f t="shared" si="9"/>
        <v>7.2200001479999996</v>
      </c>
      <c r="AP226" s="5">
        <f t="shared" si="10"/>
        <v>0</v>
      </c>
    </row>
    <row r="227" spans="38:42" x14ac:dyDescent="0.25">
      <c r="AL227" s="54">
        <v>7.2299997810000001</v>
      </c>
      <c r="AM227" s="5">
        <v>0</v>
      </c>
      <c r="AO227" s="8">
        <f t="shared" si="9"/>
        <v>7.2299997810000001</v>
      </c>
      <c r="AP227" s="5">
        <f t="shared" si="10"/>
        <v>0</v>
      </c>
    </row>
    <row r="228" spans="38:42" x14ac:dyDescent="0.25">
      <c r="AL228" s="54">
        <v>7.26000011</v>
      </c>
      <c r="AM228" s="5">
        <v>1</v>
      </c>
      <c r="AO228" s="8">
        <f t="shared" si="9"/>
        <v>7.26000011</v>
      </c>
      <c r="AP228" s="5">
        <f t="shared" si="10"/>
        <v>1</v>
      </c>
    </row>
    <row r="229" spans="38:42" x14ac:dyDescent="0.25">
      <c r="AL229" s="54">
        <v>7.2699999809999998</v>
      </c>
      <c r="AM229" s="5">
        <v>0</v>
      </c>
      <c r="AO229" s="8">
        <f t="shared" si="9"/>
        <v>7.2699999809999998</v>
      </c>
      <c r="AP229" s="5">
        <f t="shared" si="10"/>
        <v>0</v>
      </c>
    </row>
    <row r="230" spans="38:42" x14ac:dyDescent="0.25">
      <c r="AL230" s="54">
        <v>7.3499999049999998</v>
      </c>
      <c r="AM230" s="5">
        <v>0</v>
      </c>
      <c r="AO230" s="8">
        <f t="shared" si="9"/>
        <v>7.3499999049999998</v>
      </c>
      <c r="AP230" s="5">
        <f t="shared" si="10"/>
        <v>0</v>
      </c>
    </row>
    <row r="231" spans="38:42" x14ac:dyDescent="0.25">
      <c r="AL231" s="54">
        <v>7.3500001429999999</v>
      </c>
      <c r="AM231" s="5">
        <v>0</v>
      </c>
      <c r="AO231" s="8">
        <f t="shared" si="9"/>
        <v>7.3500001429999999</v>
      </c>
      <c r="AP231" s="5">
        <f t="shared" si="10"/>
        <v>0</v>
      </c>
    </row>
    <row r="232" spans="38:42" x14ac:dyDescent="0.25">
      <c r="AL232" s="54">
        <v>7.4800000190000002</v>
      </c>
      <c r="AM232" s="5">
        <v>0</v>
      </c>
      <c r="AO232" s="8">
        <f t="shared" si="9"/>
        <v>7.4800000190000002</v>
      </c>
      <c r="AP232" s="5">
        <f t="shared" si="10"/>
        <v>0</v>
      </c>
    </row>
    <row r="233" spans="38:42" x14ac:dyDescent="0.25">
      <c r="AL233" s="54">
        <v>7.5299998520000004</v>
      </c>
      <c r="AM233" s="5">
        <v>4</v>
      </c>
      <c r="AO233" s="8">
        <f t="shared" si="9"/>
        <v>7.5299998520000004</v>
      </c>
      <c r="AP233" s="5">
        <f t="shared" si="10"/>
        <v>4</v>
      </c>
    </row>
    <row r="234" spans="38:42" x14ac:dyDescent="0.25">
      <c r="AL234" s="54">
        <v>7.5400001999999997</v>
      </c>
      <c r="AM234" s="5">
        <v>1</v>
      </c>
      <c r="AO234" s="8">
        <f t="shared" si="9"/>
        <v>7.5400001999999997</v>
      </c>
      <c r="AP234" s="5">
        <f t="shared" si="10"/>
        <v>1</v>
      </c>
    </row>
    <row r="235" spans="38:42" x14ac:dyDescent="0.25">
      <c r="AL235" s="54">
        <v>7.7000000479999997</v>
      </c>
      <c r="AM235" s="5">
        <v>0</v>
      </c>
      <c r="AO235" s="8">
        <f t="shared" si="9"/>
        <v>7.7000000479999997</v>
      </c>
      <c r="AP235" s="5">
        <f t="shared" si="10"/>
        <v>0</v>
      </c>
    </row>
    <row r="236" spans="38:42" x14ac:dyDescent="0.25">
      <c r="AL236" s="54">
        <v>7.7100000380000004</v>
      </c>
      <c r="AM236" s="5">
        <v>1</v>
      </c>
      <c r="AO236" s="8">
        <f t="shared" si="9"/>
        <v>7.7100000380000004</v>
      </c>
      <c r="AP236" s="5">
        <f t="shared" si="10"/>
        <v>1</v>
      </c>
    </row>
    <row r="237" spans="38:42" x14ac:dyDescent="0.25">
      <c r="AL237" s="54">
        <v>7.7199999090000002</v>
      </c>
      <c r="AM237" s="5">
        <v>0</v>
      </c>
      <c r="AO237" s="8">
        <f t="shared" si="9"/>
        <v>7.7199999090000002</v>
      </c>
      <c r="AP237" s="5">
        <f t="shared" si="10"/>
        <v>0</v>
      </c>
    </row>
    <row r="238" spans="38:42" x14ac:dyDescent="0.25">
      <c r="AL238" s="54">
        <v>7.8000000719999996</v>
      </c>
      <c r="AM238" s="5">
        <v>1</v>
      </c>
      <c r="AO238" s="8">
        <f t="shared" si="9"/>
        <v>7.8000000719999996</v>
      </c>
      <c r="AP238" s="5">
        <f t="shared" si="10"/>
        <v>1</v>
      </c>
    </row>
    <row r="239" spans="38:42" x14ac:dyDescent="0.25">
      <c r="AL239" s="54">
        <v>7.8100000620000003</v>
      </c>
      <c r="AM239" s="5">
        <v>0</v>
      </c>
      <c r="AO239" s="8">
        <f t="shared" si="9"/>
        <v>7.8100000620000003</v>
      </c>
      <c r="AP239" s="5">
        <f t="shared" si="10"/>
        <v>0</v>
      </c>
    </row>
    <row r="240" spans="38:42" x14ac:dyDescent="0.25">
      <c r="AL240" s="54">
        <v>7.8799999950000004</v>
      </c>
      <c r="AM240" s="5">
        <v>1</v>
      </c>
      <c r="AO240" s="8">
        <f t="shared" si="9"/>
        <v>7.8799999950000004</v>
      </c>
      <c r="AP240" s="5">
        <f t="shared" si="10"/>
        <v>1</v>
      </c>
    </row>
    <row r="241" spans="38:42" x14ac:dyDescent="0.25">
      <c r="AL241" s="54">
        <v>7.8999999760000001</v>
      </c>
      <c r="AM241" s="5">
        <v>1</v>
      </c>
      <c r="AO241" s="8">
        <f t="shared" si="9"/>
        <v>7.8999999760000001</v>
      </c>
      <c r="AP241" s="5">
        <f t="shared" si="10"/>
        <v>1</v>
      </c>
    </row>
    <row r="242" spans="38:42" x14ac:dyDescent="0.25">
      <c r="AL242" s="54">
        <v>8.0500000719999996</v>
      </c>
      <c r="AM242" s="5">
        <v>0</v>
      </c>
      <c r="AO242" s="8">
        <f t="shared" si="9"/>
        <v>8.0500000719999996</v>
      </c>
      <c r="AP242" s="5">
        <f t="shared" si="10"/>
        <v>0</v>
      </c>
    </row>
    <row r="243" spans="38:42" x14ac:dyDescent="0.25">
      <c r="AL243" s="54">
        <v>8.1799998279999997</v>
      </c>
      <c r="AM243" s="5">
        <v>0</v>
      </c>
      <c r="AO243" s="8">
        <f t="shared" si="9"/>
        <v>8.1799998279999997</v>
      </c>
      <c r="AP243" s="5">
        <f t="shared" si="10"/>
        <v>0</v>
      </c>
    </row>
    <row r="244" spans="38:42" x14ac:dyDescent="0.25">
      <c r="AL244" s="54">
        <v>8.1899999379999997</v>
      </c>
      <c r="AM244" s="5">
        <v>0</v>
      </c>
      <c r="AO244" s="8">
        <f t="shared" si="9"/>
        <v>8.1899999379999997</v>
      </c>
      <c r="AP244" s="5">
        <f t="shared" si="10"/>
        <v>0</v>
      </c>
    </row>
    <row r="245" spans="38:42" x14ac:dyDescent="0.25">
      <c r="AL245" s="54">
        <v>8.2200002669999996</v>
      </c>
      <c r="AM245" s="5">
        <v>2</v>
      </c>
      <c r="AO245" s="8">
        <f t="shared" si="9"/>
        <v>8.2200002669999996</v>
      </c>
      <c r="AP245" s="5">
        <f t="shared" si="10"/>
        <v>2</v>
      </c>
    </row>
    <row r="246" spans="38:42" x14ac:dyDescent="0.25">
      <c r="AL246" s="54">
        <v>8.4700001480000005</v>
      </c>
      <c r="AM246" s="5">
        <v>1</v>
      </c>
      <c r="AO246" s="8">
        <f t="shared" si="9"/>
        <v>8.4700001480000005</v>
      </c>
      <c r="AP246" s="5">
        <f t="shared" si="10"/>
        <v>1</v>
      </c>
    </row>
    <row r="247" spans="38:42" x14ac:dyDescent="0.25">
      <c r="AL247" s="54">
        <v>8.5</v>
      </c>
      <c r="AM247" s="5">
        <v>0</v>
      </c>
      <c r="AO247" s="8">
        <f t="shared" si="9"/>
        <v>8.5</v>
      </c>
      <c r="AP247" s="5">
        <f t="shared" si="10"/>
        <v>0</v>
      </c>
    </row>
    <row r="248" spans="38:42" x14ac:dyDescent="0.25">
      <c r="AL248" s="54">
        <v>8.5199999809999998</v>
      </c>
      <c r="AM248" s="5">
        <v>0</v>
      </c>
      <c r="AO248" s="8">
        <f t="shared" si="9"/>
        <v>8.5199999809999998</v>
      </c>
      <c r="AP248" s="5">
        <f t="shared" si="10"/>
        <v>0</v>
      </c>
    </row>
    <row r="249" spans="38:42" x14ac:dyDescent="0.25">
      <c r="AL249" s="54">
        <v>8.5299998519999995</v>
      </c>
      <c r="AM249" s="5">
        <v>0</v>
      </c>
      <c r="AO249" s="8">
        <f t="shared" si="9"/>
        <v>8.5299998519999995</v>
      </c>
      <c r="AP249" s="5">
        <f t="shared" si="10"/>
        <v>0</v>
      </c>
    </row>
    <row r="250" spans="38:42" x14ac:dyDescent="0.25">
      <c r="AL250" s="54">
        <v>8.5499999520000003</v>
      </c>
      <c r="AM250" s="5">
        <v>0</v>
      </c>
      <c r="AO250" s="8">
        <f t="shared" si="9"/>
        <v>8.5499999520000003</v>
      </c>
      <c r="AP250" s="5">
        <f t="shared" si="10"/>
        <v>0</v>
      </c>
    </row>
    <row r="251" spans="38:42" x14ac:dyDescent="0.25">
      <c r="AL251" s="54">
        <v>8.7899999619999996</v>
      </c>
      <c r="AM251" s="5">
        <v>0</v>
      </c>
      <c r="AO251" s="8">
        <f t="shared" si="9"/>
        <v>8.7899999619999996</v>
      </c>
      <c r="AP251" s="5">
        <f t="shared" si="10"/>
        <v>0</v>
      </c>
    </row>
    <row r="252" spans="38:42" x14ac:dyDescent="0.25">
      <c r="AL252" s="54">
        <v>8.8000000719999996</v>
      </c>
      <c r="AM252" s="5">
        <v>1</v>
      </c>
      <c r="AO252" s="8">
        <f t="shared" si="9"/>
        <v>8.8000000719999996</v>
      </c>
      <c r="AP252" s="5">
        <f t="shared" si="10"/>
        <v>1</v>
      </c>
    </row>
    <row r="253" spans="38:42" x14ac:dyDescent="0.25">
      <c r="AL253" s="54">
        <v>8.8600001339999999</v>
      </c>
      <c r="AM253" s="5">
        <v>0</v>
      </c>
      <c r="AO253" s="8">
        <f t="shared" si="9"/>
        <v>8.8600001339999999</v>
      </c>
      <c r="AP253" s="5">
        <f t="shared" si="10"/>
        <v>0</v>
      </c>
    </row>
    <row r="254" spans="38:42" x14ac:dyDescent="0.25">
      <c r="AL254" s="54">
        <v>8.9100000860000002</v>
      </c>
      <c r="AM254" s="5">
        <v>2</v>
      </c>
      <c r="AO254" s="8">
        <f t="shared" si="9"/>
        <v>8.9100000860000002</v>
      </c>
      <c r="AP254" s="5">
        <f t="shared" si="10"/>
        <v>2</v>
      </c>
    </row>
    <row r="255" spans="38:42" x14ac:dyDescent="0.25">
      <c r="AL255" s="54">
        <v>9.1199998860000004</v>
      </c>
      <c r="AM255" s="5">
        <v>1</v>
      </c>
      <c r="AO255" s="8">
        <f t="shared" si="9"/>
        <v>9.1199998860000004</v>
      </c>
      <c r="AP255" s="5">
        <f t="shared" si="10"/>
        <v>1</v>
      </c>
    </row>
    <row r="256" spans="38:42" x14ac:dyDescent="0.25">
      <c r="AL256" s="54">
        <v>9.2099999189999995</v>
      </c>
      <c r="AM256" s="5">
        <v>3</v>
      </c>
      <c r="AO256" s="8">
        <f t="shared" si="9"/>
        <v>9.2099999189999995</v>
      </c>
      <c r="AP256" s="5">
        <f t="shared" si="10"/>
        <v>3</v>
      </c>
    </row>
    <row r="257" spans="38:42" x14ac:dyDescent="0.25">
      <c r="AL257" s="54">
        <v>9.2199997899999993</v>
      </c>
      <c r="AM257" s="5">
        <v>0</v>
      </c>
      <c r="AO257" s="8">
        <f t="shared" si="9"/>
        <v>9.2199997899999993</v>
      </c>
      <c r="AP257" s="5">
        <f t="shared" si="10"/>
        <v>0</v>
      </c>
    </row>
    <row r="258" spans="38:42" x14ac:dyDescent="0.25">
      <c r="AL258" s="54">
        <v>9.2200002669999996</v>
      </c>
      <c r="AM258" s="5">
        <v>0</v>
      </c>
      <c r="AO258" s="8">
        <f t="shared" si="9"/>
        <v>9.2200002669999996</v>
      </c>
      <c r="AP258" s="5">
        <f t="shared" si="10"/>
        <v>0</v>
      </c>
    </row>
    <row r="259" spans="38:42" x14ac:dyDescent="0.25">
      <c r="AL259" s="54">
        <v>9.2299998999999993</v>
      </c>
      <c r="AM259" s="5">
        <v>1</v>
      </c>
      <c r="AO259" s="8">
        <f t="shared" si="9"/>
        <v>9.2299998999999993</v>
      </c>
      <c r="AP259" s="5">
        <f t="shared" si="10"/>
        <v>1</v>
      </c>
    </row>
    <row r="260" spans="38:42" x14ac:dyDescent="0.25">
      <c r="AL260" s="54">
        <v>9.2599998709999998</v>
      </c>
      <c r="AM260" s="5">
        <v>1</v>
      </c>
      <c r="AO260" s="8">
        <f t="shared" si="9"/>
        <v>9.2599998709999998</v>
      </c>
      <c r="AP260" s="5">
        <f t="shared" si="10"/>
        <v>1</v>
      </c>
    </row>
    <row r="261" spans="38:42" x14ac:dyDescent="0.25">
      <c r="AL261" s="54">
        <v>9.3299999239999991</v>
      </c>
      <c r="AM261" s="5">
        <v>0</v>
      </c>
      <c r="AO261" s="8">
        <f t="shared" si="9"/>
        <v>9.3299999239999991</v>
      </c>
      <c r="AP261" s="5">
        <f t="shared" si="10"/>
        <v>0</v>
      </c>
    </row>
    <row r="262" spans="38:42" x14ac:dyDescent="0.25">
      <c r="AL262" s="54">
        <v>9.3400000330000008</v>
      </c>
      <c r="AM262" s="5">
        <v>0</v>
      </c>
      <c r="AO262" s="8">
        <f t="shared" si="9"/>
        <v>9.3400000330000008</v>
      </c>
      <c r="AP262" s="5">
        <f t="shared" si="10"/>
        <v>0</v>
      </c>
    </row>
    <row r="263" spans="38:42" x14ac:dyDescent="0.25">
      <c r="AL263" s="54">
        <v>9.3799999950000004</v>
      </c>
      <c r="AM263" s="5">
        <v>0</v>
      </c>
      <c r="AO263" s="8">
        <f t="shared" si="9"/>
        <v>9.3799999950000004</v>
      </c>
      <c r="AP263" s="5">
        <f t="shared" si="10"/>
        <v>0</v>
      </c>
    </row>
    <row r="264" spans="38:42" x14ac:dyDescent="0.25">
      <c r="AL264" s="54">
        <v>9.4099999669999992</v>
      </c>
      <c r="AM264" s="5">
        <v>1</v>
      </c>
      <c r="AO264" s="8">
        <f t="shared" si="9"/>
        <v>9.4099999669999992</v>
      </c>
      <c r="AP264" s="5">
        <f t="shared" si="10"/>
        <v>1</v>
      </c>
    </row>
    <row r="265" spans="38:42" x14ac:dyDescent="0.25">
      <c r="AL265" s="54">
        <v>9.4100003240000003</v>
      </c>
      <c r="AM265" s="5">
        <v>0</v>
      </c>
      <c r="AO265" s="8">
        <f t="shared" si="9"/>
        <v>9.4100003240000003</v>
      </c>
      <c r="AP265" s="5">
        <f t="shared" si="10"/>
        <v>0</v>
      </c>
    </row>
    <row r="266" spans="38:42" x14ac:dyDescent="0.25">
      <c r="AL266" s="54">
        <v>9.4199998380000007</v>
      </c>
      <c r="AM266" s="5">
        <v>0</v>
      </c>
      <c r="AO266" s="8">
        <f t="shared" ref="AO266:AO329" si="11">AL266</f>
        <v>9.4199998380000007</v>
      </c>
      <c r="AP266" s="5">
        <f t="shared" ref="AP266:AP329" si="12">AM266</f>
        <v>0</v>
      </c>
    </row>
    <row r="267" spans="38:42" x14ac:dyDescent="0.25">
      <c r="AL267" s="54">
        <v>9.4300000669999999</v>
      </c>
      <c r="AM267" s="5">
        <v>1</v>
      </c>
      <c r="AO267" s="8">
        <f t="shared" si="11"/>
        <v>9.4300000669999999</v>
      </c>
      <c r="AP267" s="5">
        <f t="shared" si="12"/>
        <v>1</v>
      </c>
    </row>
    <row r="268" spans="38:42" x14ac:dyDescent="0.25">
      <c r="AL268" s="54">
        <v>9.4400000570000007</v>
      </c>
      <c r="AM268" s="5">
        <v>0</v>
      </c>
      <c r="AO268" s="8">
        <f t="shared" si="11"/>
        <v>9.4400000570000007</v>
      </c>
      <c r="AP268" s="5">
        <f t="shared" si="12"/>
        <v>0</v>
      </c>
    </row>
    <row r="269" spans="38:42" x14ac:dyDescent="0.25">
      <c r="AL269" s="54">
        <v>9.4799998999999993</v>
      </c>
      <c r="AM269" s="5">
        <v>1</v>
      </c>
      <c r="AO269" s="8">
        <f t="shared" si="11"/>
        <v>9.4799998999999993</v>
      </c>
      <c r="AP269" s="5">
        <f t="shared" si="12"/>
        <v>1</v>
      </c>
    </row>
    <row r="270" spans="38:42" x14ac:dyDescent="0.25">
      <c r="AL270" s="54">
        <v>9.5399999619999996</v>
      </c>
      <c r="AM270" s="5">
        <v>0</v>
      </c>
      <c r="AO270" s="8">
        <f t="shared" si="11"/>
        <v>9.5399999619999996</v>
      </c>
      <c r="AP270" s="5">
        <f t="shared" si="12"/>
        <v>0</v>
      </c>
    </row>
    <row r="271" spans="38:42" x14ac:dyDescent="0.25">
      <c r="AL271" s="54">
        <v>9.5499999520000003</v>
      </c>
      <c r="AM271" s="5">
        <v>0</v>
      </c>
      <c r="AO271" s="8">
        <f t="shared" si="11"/>
        <v>9.5499999520000003</v>
      </c>
      <c r="AP271" s="5">
        <f t="shared" si="12"/>
        <v>0</v>
      </c>
    </row>
    <row r="272" spans="38:42" x14ac:dyDescent="0.25">
      <c r="AL272" s="54">
        <v>9.6099998949999996</v>
      </c>
      <c r="AM272" s="5">
        <v>0</v>
      </c>
      <c r="AO272" s="8">
        <f t="shared" si="11"/>
        <v>9.6099998949999996</v>
      </c>
      <c r="AP272" s="5">
        <f t="shared" si="12"/>
        <v>0</v>
      </c>
    </row>
    <row r="273" spans="38:42" x14ac:dyDescent="0.25">
      <c r="AL273" s="54">
        <v>9.6599998469999999</v>
      </c>
      <c r="AM273" s="5">
        <v>1</v>
      </c>
      <c r="AO273" s="8">
        <f t="shared" si="11"/>
        <v>9.6599998469999999</v>
      </c>
      <c r="AP273" s="5">
        <f t="shared" si="12"/>
        <v>1</v>
      </c>
    </row>
    <row r="274" spans="38:42" x14ac:dyDescent="0.25">
      <c r="AL274" s="54">
        <v>9.8099999429999993</v>
      </c>
      <c r="AM274" s="5">
        <v>0</v>
      </c>
      <c r="AO274" s="8">
        <f t="shared" si="11"/>
        <v>9.8099999429999993</v>
      </c>
      <c r="AP274" s="5">
        <f t="shared" si="12"/>
        <v>0</v>
      </c>
    </row>
    <row r="275" spans="38:42" x14ac:dyDescent="0.25">
      <c r="AL275" s="54">
        <v>9.9299999480000007</v>
      </c>
      <c r="AM275" s="5">
        <v>1</v>
      </c>
      <c r="AO275" s="8">
        <f t="shared" si="11"/>
        <v>9.9299999480000007</v>
      </c>
      <c r="AP275" s="5">
        <f t="shared" si="12"/>
        <v>1</v>
      </c>
    </row>
    <row r="276" spans="38:42" x14ac:dyDescent="0.25">
      <c r="AL276" s="54">
        <v>9.9700002669999996</v>
      </c>
      <c r="AM276" s="5">
        <v>1</v>
      </c>
      <c r="AO276" s="8">
        <f t="shared" si="11"/>
        <v>9.9700002669999996</v>
      </c>
      <c r="AP276" s="5">
        <f t="shared" si="12"/>
        <v>1</v>
      </c>
    </row>
    <row r="277" spans="38:42" x14ac:dyDescent="0.25">
      <c r="AL277" s="54">
        <v>10.03000009</v>
      </c>
      <c r="AM277" s="5">
        <v>1</v>
      </c>
      <c r="AO277" s="8">
        <f t="shared" si="11"/>
        <v>10.03000009</v>
      </c>
      <c r="AP277" s="5">
        <f t="shared" si="12"/>
        <v>1</v>
      </c>
    </row>
    <row r="278" spans="38:42" x14ac:dyDescent="0.25">
      <c r="AL278" s="54">
        <v>10.079999920000001</v>
      </c>
      <c r="AM278" s="5">
        <v>0</v>
      </c>
      <c r="AO278" s="8">
        <f t="shared" si="11"/>
        <v>10.079999920000001</v>
      </c>
      <c r="AP278" s="5">
        <f t="shared" si="12"/>
        <v>0</v>
      </c>
    </row>
    <row r="279" spans="38:42" x14ac:dyDescent="0.25">
      <c r="AL279" s="54">
        <v>10.229999899999999</v>
      </c>
      <c r="AM279" s="5">
        <v>1</v>
      </c>
      <c r="AO279" s="8">
        <f t="shared" si="11"/>
        <v>10.229999899999999</v>
      </c>
      <c r="AP279" s="5">
        <f t="shared" si="12"/>
        <v>1</v>
      </c>
    </row>
    <row r="280" spans="38:42" x14ac:dyDescent="0.25">
      <c r="AL280" s="54">
        <v>10.280000210000001</v>
      </c>
      <c r="AM280" s="5">
        <v>1</v>
      </c>
      <c r="AO280" s="8">
        <f t="shared" si="11"/>
        <v>10.280000210000001</v>
      </c>
      <c r="AP280" s="5">
        <f t="shared" si="12"/>
        <v>1</v>
      </c>
    </row>
    <row r="281" spans="38:42" x14ac:dyDescent="0.25">
      <c r="AL281" s="54">
        <v>10.319999810000001</v>
      </c>
      <c r="AM281" s="5">
        <v>0</v>
      </c>
      <c r="AO281" s="8">
        <f t="shared" si="11"/>
        <v>10.319999810000001</v>
      </c>
      <c r="AP281" s="5">
        <f t="shared" si="12"/>
        <v>0</v>
      </c>
    </row>
    <row r="282" spans="38:42" x14ac:dyDescent="0.25">
      <c r="AL282" s="54">
        <v>10.42999983</v>
      </c>
      <c r="AM282" s="5">
        <v>0</v>
      </c>
      <c r="AO282" s="8">
        <f t="shared" si="11"/>
        <v>10.42999983</v>
      </c>
      <c r="AP282" s="5">
        <f t="shared" si="12"/>
        <v>0</v>
      </c>
    </row>
    <row r="283" spans="38:42" x14ac:dyDescent="0.25">
      <c r="AL283" s="54">
        <v>10.54999995</v>
      </c>
      <c r="AM283" s="5">
        <v>1</v>
      </c>
      <c r="AO283" s="8">
        <f t="shared" si="11"/>
        <v>10.54999995</v>
      </c>
      <c r="AP283" s="5">
        <f t="shared" si="12"/>
        <v>1</v>
      </c>
    </row>
    <row r="284" spans="38:42" x14ac:dyDescent="0.25">
      <c r="AL284" s="54">
        <v>10.56999969</v>
      </c>
      <c r="AM284" s="5">
        <v>1</v>
      </c>
      <c r="AO284" s="8">
        <f t="shared" si="11"/>
        <v>10.56999969</v>
      </c>
      <c r="AP284" s="5">
        <f t="shared" si="12"/>
        <v>1</v>
      </c>
    </row>
    <row r="285" spans="38:42" x14ac:dyDescent="0.25">
      <c r="AL285" s="54">
        <v>10.61999977</v>
      </c>
      <c r="AM285" s="5">
        <v>1</v>
      </c>
      <c r="AO285" s="8">
        <f t="shared" si="11"/>
        <v>10.61999977</v>
      </c>
      <c r="AP285" s="5">
        <f t="shared" si="12"/>
        <v>1</v>
      </c>
    </row>
    <row r="286" spans="38:42" x14ac:dyDescent="0.25">
      <c r="AL286" s="54">
        <v>10.66000009</v>
      </c>
      <c r="AM286" s="5">
        <v>1</v>
      </c>
      <c r="AO286" s="8">
        <f t="shared" si="11"/>
        <v>10.66000009</v>
      </c>
      <c r="AP286" s="5">
        <f t="shared" si="12"/>
        <v>1</v>
      </c>
    </row>
    <row r="287" spans="38:42" x14ac:dyDescent="0.25">
      <c r="AL287" s="54">
        <v>10.77000046</v>
      </c>
      <c r="AM287" s="5">
        <v>1</v>
      </c>
      <c r="AO287" s="8">
        <f t="shared" si="11"/>
        <v>10.77000046</v>
      </c>
      <c r="AP287" s="5">
        <f t="shared" si="12"/>
        <v>1</v>
      </c>
    </row>
    <row r="288" spans="38:42" x14ac:dyDescent="0.25">
      <c r="AL288" s="54">
        <v>10.779999849999999</v>
      </c>
      <c r="AM288" s="5">
        <v>1</v>
      </c>
      <c r="AO288" s="8">
        <f t="shared" si="11"/>
        <v>10.779999849999999</v>
      </c>
      <c r="AP288" s="5">
        <f t="shared" si="12"/>
        <v>1</v>
      </c>
    </row>
    <row r="289" spans="38:42" x14ac:dyDescent="0.25">
      <c r="AL289" s="54">
        <v>10.849999670000001</v>
      </c>
      <c r="AM289" s="5">
        <v>0</v>
      </c>
      <c r="AO289" s="8">
        <f t="shared" si="11"/>
        <v>10.849999670000001</v>
      </c>
      <c r="AP289" s="5">
        <f t="shared" si="12"/>
        <v>0</v>
      </c>
    </row>
    <row r="290" spans="38:42" x14ac:dyDescent="0.25">
      <c r="AL290" s="54">
        <v>10.96000016</v>
      </c>
      <c r="AM290" s="5">
        <v>0</v>
      </c>
      <c r="AO290" s="8">
        <f t="shared" si="11"/>
        <v>10.96000016</v>
      </c>
      <c r="AP290" s="5">
        <f t="shared" si="12"/>
        <v>0</v>
      </c>
    </row>
    <row r="291" spans="38:42" x14ac:dyDescent="0.25">
      <c r="AL291" s="54">
        <v>10.96000051</v>
      </c>
      <c r="AM291" s="5">
        <v>1</v>
      </c>
      <c r="AO291" s="8">
        <f t="shared" si="11"/>
        <v>10.96000051</v>
      </c>
      <c r="AP291" s="5">
        <f t="shared" si="12"/>
        <v>1</v>
      </c>
    </row>
    <row r="292" spans="38:42" x14ac:dyDescent="0.25">
      <c r="AL292" s="54">
        <v>11.009999990000001</v>
      </c>
      <c r="AM292" s="5">
        <v>0</v>
      </c>
      <c r="AO292" s="8">
        <f t="shared" si="11"/>
        <v>11.009999990000001</v>
      </c>
      <c r="AP292" s="5">
        <f t="shared" si="12"/>
        <v>0</v>
      </c>
    </row>
    <row r="293" spans="38:42" x14ac:dyDescent="0.25">
      <c r="AL293" s="54">
        <v>11.04999971</v>
      </c>
      <c r="AM293" s="5">
        <v>0</v>
      </c>
      <c r="AO293" s="8">
        <f t="shared" si="11"/>
        <v>11.04999971</v>
      </c>
      <c r="AP293" s="5">
        <f t="shared" si="12"/>
        <v>0</v>
      </c>
    </row>
    <row r="294" spans="38:42" x14ac:dyDescent="0.25">
      <c r="AL294" s="54">
        <v>11.059999700000001</v>
      </c>
      <c r="AM294" s="5">
        <v>0</v>
      </c>
      <c r="AO294" s="8">
        <f t="shared" si="11"/>
        <v>11.059999700000001</v>
      </c>
      <c r="AP294" s="5">
        <f t="shared" si="12"/>
        <v>0</v>
      </c>
    </row>
    <row r="295" spans="38:42" x14ac:dyDescent="0.25">
      <c r="AL295" s="54">
        <v>11.11000013</v>
      </c>
      <c r="AM295" s="5">
        <v>0</v>
      </c>
      <c r="AO295" s="8">
        <f t="shared" si="11"/>
        <v>11.11000013</v>
      </c>
      <c r="AP295" s="5">
        <f t="shared" si="12"/>
        <v>0</v>
      </c>
    </row>
    <row r="296" spans="38:42" x14ac:dyDescent="0.25">
      <c r="AL296" s="54">
        <v>11.170000310000001</v>
      </c>
      <c r="AM296" s="5">
        <v>0</v>
      </c>
      <c r="AO296" s="8">
        <f t="shared" si="11"/>
        <v>11.170000310000001</v>
      </c>
      <c r="AP296" s="5">
        <f t="shared" si="12"/>
        <v>0</v>
      </c>
    </row>
    <row r="297" spans="38:42" x14ac:dyDescent="0.25">
      <c r="AL297" s="54">
        <v>11.18999994</v>
      </c>
      <c r="AM297" s="5">
        <v>0</v>
      </c>
      <c r="AO297" s="8">
        <f t="shared" si="11"/>
        <v>11.18999994</v>
      </c>
      <c r="AP297" s="5">
        <f t="shared" si="12"/>
        <v>0</v>
      </c>
    </row>
    <row r="298" spans="38:42" x14ac:dyDescent="0.25">
      <c r="AL298" s="54">
        <v>11.200000169999999</v>
      </c>
      <c r="AM298" s="5">
        <v>2</v>
      </c>
      <c r="AO298" s="8">
        <f t="shared" si="11"/>
        <v>11.200000169999999</v>
      </c>
      <c r="AP298" s="5">
        <f t="shared" si="12"/>
        <v>2</v>
      </c>
    </row>
    <row r="299" spans="38:42" x14ac:dyDescent="0.25">
      <c r="AL299" s="54">
        <v>11.42999983</v>
      </c>
      <c r="AM299" s="5">
        <v>2</v>
      </c>
      <c r="AO299" s="8">
        <f t="shared" si="11"/>
        <v>11.42999983</v>
      </c>
      <c r="AP299" s="5">
        <f t="shared" si="12"/>
        <v>2</v>
      </c>
    </row>
    <row r="300" spans="38:42" x14ac:dyDescent="0.25">
      <c r="AL300" s="54">
        <v>11.519999500000001</v>
      </c>
      <c r="AM300" s="5">
        <v>1</v>
      </c>
      <c r="AO300" s="8">
        <f t="shared" si="11"/>
        <v>11.519999500000001</v>
      </c>
      <c r="AP300" s="5">
        <f t="shared" si="12"/>
        <v>1</v>
      </c>
    </row>
    <row r="301" spans="38:42" x14ac:dyDescent="0.25">
      <c r="AL301" s="54">
        <v>11.570000050000001</v>
      </c>
      <c r="AM301" s="5">
        <v>0</v>
      </c>
      <c r="AO301" s="8">
        <f t="shared" si="11"/>
        <v>11.570000050000001</v>
      </c>
      <c r="AP301" s="5">
        <f t="shared" si="12"/>
        <v>0</v>
      </c>
    </row>
    <row r="302" spans="38:42" x14ac:dyDescent="0.25">
      <c r="AL302" s="54">
        <v>11.80000019</v>
      </c>
      <c r="AM302" s="5">
        <v>2</v>
      </c>
      <c r="AO302" s="8">
        <f t="shared" si="11"/>
        <v>11.80000019</v>
      </c>
      <c r="AP302" s="5">
        <f t="shared" si="12"/>
        <v>2</v>
      </c>
    </row>
    <row r="303" spans="38:42" x14ac:dyDescent="0.25">
      <c r="AL303" s="54">
        <v>11.94999981</v>
      </c>
      <c r="AM303" s="5">
        <v>0</v>
      </c>
      <c r="AO303" s="8">
        <f t="shared" si="11"/>
        <v>11.94999981</v>
      </c>
      <c r="AP303" s="5">
        <f t="shared" si="12"/>
        <v>0</v>
      </c>
    </row>
    <row r="304" spans="38:42" x14ac:dyDescent="0.25">
      <c r="AL304" s="54">
        <v>12.06000006</v>
      </c>
      <c r="AM304" s="5">
        <v>1</v>
      </c>
      <c r="AO304" s="8">
        <f t="shared" si="11"/>
        <v>12.06000006</v>
      </c>
      <c r="AP304" s="5">
        <f t="shared" si="12"/>
        <v>1</v>
      </c>
    </row>
    <row r="305" spans="38:42" x14ac:dyDescent="0.25">
      <c r="AL305" s="54">
        <v>12.10999984</v>
      </c>
      <c r="AM305" s="5">
        <v>0</v>
      </c>
      <c r="AO305" s="8">
        <f t="shared" si="11"/>
        <v>12.10999984</v>
      </c>
      <c r="AP305" s="5">
        <f t="shared" si="12"/>
        <v>0</v>
      </c>
    </row>
    <row r="306" spans="38:42" x14ac:dyDescent="0.25">
      <c r="AL306" s="54">
        <v>12.149999619999999</v>
      </c>
      <c r="AM306" s="5">
        <v>1</v>
      </c>
      <c r="AO306" s="8">
        <f t="shared" si="11"/>
        <v>12.149999619999999</v>
      </c>
      <c r="AP306" s="5">
        <f t="shared" si="12"/>
        <v>1</v>
      </c>
    </row>
    <row r="307" spans="38:42" x14ac:dyDescent="0.25">
      <c r="AL307" s="54">
        <v>12.369999890000001</v>
      </c>
      <c r="AM307" s="5">
        <v>1</v>
      </c>
      <c r="AO307" s="8">
        <f t="shared" si="11"/>
        <v>12.369999890000001</v>
      </c>
      <c r="AP307" s="5">
        <f t="shared" si="12"/>
        <v>1</v>
      </c>
    </row>
    <row r="308" spans="38:42" x14ac:dyDescent="0.25">
      <c r="AL308" s="54">
        <v>12.39000034</v>
      </c>
      <c r="AM308" s="5">
        <v>0</v>
      </c>
      <c r="AO308" s="8">
        <f t="shared" si="11"/>
        <v>12.39000034</v>
      </c>
      <c r="AP308" s="5">
        <f t="shared" si="12"/>
        <v>0</v>
      </c>
    </row>
    <row r="309" spans="38:42" x14ac:dyDescent="0.25">
      <c r="AL309" s="54">
        <v>12.51000035</v>
      </c>
      <c r="AM309" s="5">
        <v>0</v>
      </c>
      <c r="AO309" s="8">
        <f t="shared" si="11"/>
        <v>12.51000035</v>
      </c>
      <c r="AP309" s="5">
        <f t="shared" si="12"/>
        <v>0</v>
      </c>
    </row>
    <row r="310" spans="38:42" x14ac:dyDescent="0.25">
      <c r="AL310" s="54">
        <v>12.57000017</v>
      </c>
      <c r="AM310" s="5">
        <v>0</v>
      </c>
      <c r="AO310" s="8">
        <f t="shared" si="11"/>
        <v>12.57000017</v>
      </c>
      <c r="AP310" s="5">
        <f t="shared" si="12"/>
        <v>0</v>
      </c>
    </row>
    <row r="311" spans="38:42" x14ac:dyDescent="0.25">
      <c r="AL311" s="54">
        <v>12.580000399999999</v>
      </c>
      <c r="AM311" s="5">
        <v>1</v>
      </c>
      <c r="AO311" s="8">
        <f t="shared" si="11"/>
        <v>12.580000399999999</v>
      </c>
      <c r="AP311" s="5">
        <f t="shared" si="12"/>
        <v>1</v>
      </c>
    </row>
    <row r="312" spans="38:42" x14ac:dyDescent="0.25">
      <c r="AL312" s="54">
        <v>12.630000109999999</v>
      </c>
      <c r="AM312" s="5">
        <v>1</v>
      </c>
      <c r="AO312" s="8">
        <f t="shared" si="11"/>
        <v>12.630000109999999</v>
      </c>
      <c r="AP312" s="5">
        <f t="shared" si="12"/>
        <v>1</v>
      </c>
    </row>
    <row r="313" spans="38:42" x14ac:dyDescent="0.25">
      <c r="AL313" s="54">
        <v>12.679999949999999</v>
      </c>
      <c r="AM313" s="5">
        <v>0</v>
      </c>
      <c r="AO313" s="8">
        <f t="shared" si="11"/>
        <v>12.679999949999999</v>
      </c>
      <c r="AP313" s="5">
        <f t="shared" si="12"/>
        <v>0</v>
      </c>
    </row>
    <row r="314" spans="38:42" x14ac:dyDescent="0.25">
      <c r="AL314" s="54">
        <v>13.0400002</v>
      </c>
      <c r="AM314" s="5">
        <v>1</v>
      </c>
      <c r="AO314" s="8">
        <f t="shared" si="11"/>
        <v>13.0400002</v>
      </c>
      <c r="AP314" s="5">
        <f t="shared" si="12"/>
        <v>1</v>
      </c>
    </row>
    <row r="315" spans="38:42" x14ac:dyDescent="0.25">
      <c r="AL315" s="54">
        <v>13.05999959</v>
      </c>
      <c r="AM315" s="5">
        <v>0</v>
      </c>
      <c r="AO315" s="8">
        <f t="shared" si="11"/>
        <v>13.05999959</v>
      </c>
      <c r="AP315" s="5">
        <f t="shared" si="12"/>
        <v>0</v>
      </c>
    </row>
    <row r="316" spans="38:42" x14ac:dyDescent="0.25">
      <c r="AL316" s="54">
        <v>13.07000017</v>
      </c>
      <c r="AM316" s="5">
        <v>0</v>
      </c>
      <c r="AO316" s="8">
        <f t="shared" si="11"/>
        <v>13.07000017</v>
      </c>
      <c r="AP316" s="5">
        <f t="shared" si="12"/>
        <v>0</v>
      </c>
    </row>
    <row r="317" spans="38:42" x14ac:dyDescent="0.25">
      <c r="AL317" s="54">
        <v>13.350000380000001</v>
      </c>
      <c r="AM317" s="5">
        <v>0</v>
      </c>
      <c r="AO317" s="8">
        <f t="shared" si="11"/>
        <v>13.350000380000001</v>
      </c>
      <c r="AP317" s="5">
        <f t="shared" si="12"/>
        <v>0</v>
      </c>
    </row>
    <row r="318" spans="38:42" x14ac:dyDescent="0.25">
      <c r="AL318" s="54">
        <v>13.37</v>
      </c>
      <c r="AM318" s="5">
        <v>0</v>
      </c>
      <c r="AO318" s="8">
        <f t="shared" si="11"/>
        <v>13.37</v>
      </c>
      <c r="AP318" s="5">
        <f t="shared" si="12"/>
        <v>0</v>
      </c>
    </row>
    <row r="319" spans="38:42" x14ac:dyDescent="0.25">
      <c r="AL319" s="54">
        <v>13.40999985</v>
      </c>
      <c r="AM319" s="5">
        <v>0</v>
      </c>
      <c r="AO319" s="8">
        <f t="shared" si="11"/>
        <v>13.40999985</v>
      </c>
      <c r="AP319" s="5">
        <f t="shared" si="12"/>
        <v>0</v>
      </c>
    </row>
    <row r="320" spans="38:42" x14ac:dyDescent="0.25">
      <c r="AL320" s="54">
        <v>13.41000009</v>
      </c>
      <c r="AM320" s="5">
        <v>1</v>
      </c>
      <c r="AO320" s="8">
        <f t="shared" si="11"/>
        <v>13.41000009</v>
      </c>
      <c r="AP320" s="5">
        <f t="shared" si="12"/>
        <v>1</v>
      </c>
    </row>
    <row r="321" spans="38:42" x14ac:dyDescent="0.25">
      <c r="AL321" s="54">
        <v>13.50000036</v>
      </c>
      <c r="AM321" s="5">
        <v>1</v>
      </c>
      <c r="AO321" s="8">
        <f t="shared" si="11"/>
        <v>13.50000036</v>
      </c>
      <c r="AP321" s="5">
        <f t="shared" si="12"/>
        <v>1</v>
      </c>
    </row>
    <row r="322" spans="38:42" x14ac:dyDescent="0.25">
      <c r="AL322" s="54">
        <v>13.51000011</v>
      </c>
      <c r="AM322" s="5">
        <v>0</v>
      </c>
      <c r="AO322" s="8">
        <f t="shared" si="11"/>
        <v>13.51000011</v>
      </c>
      <c r="AP322" s="5">
        <f t="shared" si="12"/>
        <v>0</v>
      </c>
    </row>
    <row r="323" spans="38:42" x14ac:dyDescent="0.25">
      <c r="AL323" s="54">
        <v>13.559999940000001</v>
      </c>
      <c r="AM323" s="5">
        <v>0</v>
      </c>
      <c r="AO323" s="8">
        <f t="shared" si="11"/>
        <v>13.559999940000001</v>
      </c>
      <c r="AP323" s="5">
        <f t="shared" si="12"/>
        <v>0</v>
      </c>
    </row>
    <row r="324" spans="38:42" x14ac:dyDescent="0.25">
      <c r="AL324" s="54">
        <v>13.65000045</v>
      </c>
      <c r="AM324" s="5">
        <v>0</v>
      </c>
      <c r="AO324" s="8">
        <f t="shared" si="11"/>
        <v>13.65000045</v>
      </c>
      <c r="AP324" s="5">
        <f t="shared" si="12"/>
        <v>0</v>
      </c>
    </row>
    <row r="325" spans="38:42" x14ac:dyDescent="0.25">
      <c r="AL325" s="54">
        <v>13.91999972</v>
      </c>
      <c r="AM325" s="5">
        <v>2</v>
      </c>
      <c r="AO325" s="8">
        <f t="shared" si="11"/>
        <v>13.91999972</v>
      </c>
      <c r="AP325" s="5">
        <f t="shared" si="12"/>
        <v>2</v>
      </c>
    </row>
    <row r="326" spans="38:42" x14ac:dyDescent="0.25">
      <c r="AL326" s="54">
        <v>14.03999984</v>
      </c>
      <c r="AM326" s="5">
        <v>0</v>
      </c>
      <c r="AO326" s="8">
        <f t="shared" si="11"/>
        <v>14.03999984</v>
      </c>
      <c r="AP326" s="5">
        <f t="shared" si="12"/>
        <v>0</v>
      </c>
    </row>
    <row r="327" spans="38:42" x14ac:dyDescent="0.25">
      <c r="AL327" s="54">
        <v>14.06000042</v>
      </c>
      <c r="AM327" s="5">
        <v>0</v>
      </c>
      <c r="AO327" s="8">
        <f t="shared" si="11"/>
        <v>14.06000042</v>
      </c>
      <c r="AP327" s="5">
        <f t="shared" si="12"/>
        <v>0</v>
      </c>
    </row>
    <row r="328" spans="38:42" x14ac:dyDescent="0.25">
      <c r="AL328" s="54">
        <v>14.14000046</v>
      </c>
      <c r="AM328" s="5">
        <v>2</v>
      </c>
      <c r="AO328" s="8">
        <f t="shared" si="11"/>
        <v>14.14000046</v>
      </c>
      <c r="AP328" s="5">
        <f t="shared" si="12"/>
        <v>2</v>
      </c>
    </row>
    <row r="329" spans="38:42" x14ac:dyDescent="0.25">
      <c r="AL329" s="54">
        <v>14.48000044</v>
      </c>
      <c r="AM329" s="5">
        <v>1</v>
      </c>
      <c r="AO329" s="8">
        <f t="shared" si="11"/>
        <v>14.48000044</v>
      </c>
      <c r="AP329" s="5">
        <f t="shared" si="12"/>
        <v>1</v>
      </c>
    </row>
    <row r="330" spans="38:42" x14ac:dyDescent="0.25">
      <c r="AL330" s="54">
        <v>14.520000100000001</v>
      </c>
      <c r="AM330" s="5">
        <v>1</v>
      </c>
      <c r="AO330" s="8">
        <f t="shared" ref="AO330:AO393" si="13">AL330</f>
        <v>14.520000100000001</v>
      </c>
      <c r="AP330" s="5">
        <f t="shared" ref="AP330:AP393" si="14">AM330</f>
        <v>1</v>
      </c>
    </row>
    <row r="331" spans="38:42" x14ac:dyDescent="0.25">
      <c r="AL331" s="54">
        <v>14.58999991</v>
      </c>
      <c r="AM331" s="5">
        <v>1</v>
      </c>
      <c r="AO331" s="8">
        <f t="shared" si="13"/>
        <v>14.58999991</v>
      </c>
      <c r="AP331" s="5">
        <f t="shared" si="14"/>
        <v>1</v>
      </c>
    </row>
    <row r="332" spans="38:42" x14ac:dyDescent="0.25">
      <c r="AL332" s="54">
        <v>14.62999988</v>
      </c>
      <c r="AM332" s="5">
        <v>0</v>
      </c>
      <c r="AO332" s="8">
        <f t="shared" si="13"/>
        <v>14.62999988</v>
      </c>
      <c r="AP332" s="5">
        <f t="shared" si="14"/>
        <v>0</v>
      </c>
    </row>
    <row r="333" spans="38:42" x14ac:dyDescent="0.25">
      <c r="AL333" s="54">
        <v>14.830000399999999</v>
      </c>
      <c r="AM333" s="5">
        <v>0</v>
      </c>
      <c r="AO333" s="8">
        <f t="shared" si="13"/>
        <v>14.830000399999999</v>
      </c>
      <c r="AP333" s="5">
        <f t="shared" si="14"/>
        <v>0</v>
      </c>
    </row>
    <row r="334" spans="38:42" x14ac:dyDescent="0.25">
      <c r="AL334" s="54">
        <v>14.960000340000001</v>
      </c>
      <c r="AM334" s="5">
        <v>0</v>
      </c>
      <c r="AO334" s="8">
        <f t="shared" si="13"/>
        <v>14.960000340000001</v>
      </c>
      <c r="AP334" s="5">
        <f t="shared" si="14"/>
        <v>0</v>
      </c>
    </row>
    <row r="335" spans="38:42" x14ac:dyDescent="0.25">
      <c r="AL335" s="54">
        <v>15.04999995</v>
      </c>
      <c r="AM335" s="5">
        <v>0</v>
      </c>
      <c r="AO335" s="8">
        <f t="shared" si="13"/>
        <v>15.04999995</v>
      </c>
      <c r="AP335" s="5">
        <f t="shared" si="14"/>
        <v>0</v>
      </c>
    </row>
    <row r="336" spans="38:42" x14ac:dyDescent="0.25">
      <c r="AL336" s="54">
        <v>15.14999998</v>
      </c>
      <c r="AM336" s="5">
        <v>0</v>
      </c>
      <c r="AO336" s="8">
        <f t="shared" si="13"/>
        <v>15.14999998</v>
      </c>
      <c r="AP336" s="5">
        <f t="shared" si="14"/>
        <v>0</v>
      </c>
    </row>
    <row r="337" spans="38:42" x14ac:dyDescent="0.25">
      <c r="AL337" s="54">
        <v>15.539999720000001</v>
      </c>
      <c r="AM337" s="5">
        <v>0</v>
      </c>
      <c r="AO337" s="8">
        <f t="shared" si="13"/>
        <v>15.539999720000001</v>
      </c>
      <c r="AP337" s="5">
        <f t="shared" si="14"/>
        <v>0</v>
      </c>
    </row>
    <row r="338" spans="38:42" x14ac:dyDescent="0.25">
      <c r="AL338" s="54">
        <v>15.63000023</v>
      </c>
      <c r="AM338" s="5">
        <v>0</v>
      </c>
      <c r="AO338" s="8">
        <f t="shared" si="13"/>
        <v>15.63000023</v>
      </c>
      <c r="AP338" s="5">
        <f t="shared" si="14"/>
        <v>0</v>
      </c>
    </row>
    <row r="339" spans="38:42" x14ac:dyDescent="0.25">
      <c r="AL339" s="54">
        <v>15.810000179999999</v>
      </c>
      <c r="AM339" s="5">
        <v>1</v>
      </c>
      <c r="AO339" s="8">
        <f t="shared" si="13"/>
        <v>15.810000179999999</v>
      </c>
      <c r="AP339" s="5">
        <f t="shared" si="14"/>
        <v>1</v>
      </c>
    </row>
    <row r="340" spans="38:42" x14ac:dyDescent="0.25">
      <c r="AL340" s="54">
        <v>15.82000017</v>
      </c>
      <c r="AM340" s="5">
        <v>0</v>
      </c>
      <c r="AO340" s="8">
        <f t="shared" si="13"/>
        <v>15.82000017</v>
      </c>
      <c r="AP340" s="5">
        <f t="shared" si="14"/>
        <v>0</v>
      </c>
    </row>
    <row r="341" spans="38:42" x14ac:dyDescent="0.25">
      <c r="AL341" s="54">
        <v>15.91999972</v>
      </c>
      <c r="AM341" s="5">
        <v>0</v>
      </c>
      <c r="AO341" s="8">
        <f t="shared" si="13"/>
        <v>15.91999972</v>
      </c>
      <c r="AP341" s="5">
        <f t="shared" si="14"/>
        <v>0</v>
      </c>
    </row>
    <row r="342" spans="38:42" x14ac:dyDescent="0.25">
      <c r="AL342" s="54">
        <v>15.99000025</v>
      </c>
      <c r="AM342" s="5">
        <v>0</v>
      </c>
      <c r="AO342" s="8">
        <f t="shared" si="13"/>
        <v>15.99000025</v>
      </c>
      <c r="AP342" s="5">
        <f t="shared" si="14"/>
        <v>0</v>
      </c>
    </row>
    <row r="343" spans="38:42" x14ac:dyDescent="0.25">
      <c r="AL343" s="54">
        <v>16.1500001</v>
      </c>
      <c r="AM343" s="5">
        <v>0</v>
      </c>
      <c r="AO343" s="8">
        <f t="shared" si="13"/>
        <v>16.1500001</v>
      </c>
      <c r="AP343" s="5">
        <f t="shared" si="14"/>
        <v>0</v>
      </c>
    </row>
    <row r="344" spans="38:42" x14ac:dyDescent="0.25">
      <c r="AL344" s="54">
        <v>16.179999710000001</v>
      </c>
      <c r="AM344" s="5">
        <v>0</v>
      </c>
      <c r="AO344" s="8">
        <f t="shared" si="13"/>
        <v>16.179999710000001</v>
      </c>
      <c r="AP344" s="5">
        <f t="shared" si="14"/>
        <v>0</v>
      </c>
    </row>
    <row r="345" spans="38:42" x14ac:dyDescent="0.25">
      <c r="AL345" s="54">
        <v>16.269999980000001</v>
      </c>
      <c r="AM345" s="5">
        <v>0</v>
      </c>
      <c r="AO345" s="8">
        <f t="shared" si="13"/>
        <v>16.269999980000001</v>
      </c>
      <c r="AP345" s="5">
        <f t="shared" si="14"/>
        <v>0</v>
      </c>
    </row>
    <row r="346" spans="38:42" x14ac:dyDescent="0.25">
      <c r="AL346" s="54">
        <v>16.340000509999999</v>
      </c>
      <c r="AM346" s="5">
        <v>0</v>
      </c>
      <c r="AO346" s="8">
        <f t="shared" si="13"/>
        <v>16.340000509999999</v>
      </c>
      <c r="AP346" s="5">
        <f t="shared" si="14"/>
        <v>0</v>
      </c>
    </row>
    <row r="347" spans="38:42" x14ac:dyDescent="0.25">
      <c r="AL347" s="54">
        <v>16.38</v>
      </c>
      <c r="AM347" s="5">
        <v>1</v>
      </c>
      <c r="AO347" s="8">
        <f t="shared" si="13"/>
        <v>16.38</v>
      </c>
      <c r="AP347" s="5">
        <f t="shared" si="14"/>
        <v>1</v>
      </c>
    </row>
    <row r="348" spans="38:42" x14ac:dyDescent="0.25">
      <c r="AL348" s="54">
        <v>16.409999849999998</v>
      </c>
      <c r="AM348" s="5">
        <v>1</v>
      </c>
      <c r="AO348" s="8">
        <f t="shared" si="13"/>
        <v>16.409999849999998</v>
      </c>
      <c r="AP348" s="5">
        <f t="shared" si="14"/>
        <v>1</v>
      </c>
    </row>
    <row r="349" spans="38:42" x14ac:dyDescent="0.25">
      <c r="AL349" s="54">
        <v>16.470000030000001</v>
      </c>
      <c r="AM349" s="5">
        <v>1</v>
      </c>
      <c r="AO349" s="8">
        <f t="shared" si="13"/>
        <v>16.470000030000001</v>
      </c>
      <c r="AP349" s="5">
        <f t="shared" si="14"/>
        <v>1</v>
      </c>
    </row>
    <row r="350" spans="38:42" x14ac:dyDescent="0.25">
      <c r="AL350" s="54">
        <v>16.520000100000001</v>
      </c>
      <c r="AM350" s="5">
        <v>2</v>
      </c>
      <c r="AO350" s="8">
        <f t="shared" si="13"/>
        <v>16.520000100000001</v>
      </c>
      <c r="AP350" s="5">
        <f t="shared" si="14"/>
        <v>2</v>
      </c>
    </row>
    <row r="351" spans="38:42" x14ac:dyDescent="0.25">
      <c r="AL351" s="54">
        <v>16.67999983</v>
      </c>
      <c r="AM351" s="5">
        <v>0</v>
      </c>
      <c r="AO351" s="8">
        <f t="shared" si="13"/>
        <v>16.67999983</v>
      </c>
      <c r="AP351" s="5">
        <f t="shared" si="14"/>
        <v>0</v>
      </c>
    </row>
    <row r="352" spans="38:42" x14ac:dyDescent="0.25">
      <c r="AL352" s="54">
        <v>16.730000019999999</v>
      </c>
      <c r="AM352" s="5">
        <v>1</v>
      </c>
      <c r="AO352" s="8">
        <f t="shared" si="13"/>
        <v>16.730000019999999</v>
      </c>
      <c r="AP352" s="5">
        <f t="shared" si="14"/>
        <v>1</v>
      </c>
    </row>
    <row r="353" spans="38:42" x14ac:dyDescent="0.25">
      <c r="AL353" s="54">
        <v>16.939999579999999</v>
      </c>
      <c r="AM353" s="5">
        <v>1</v>
      </c>
      <c r="AO353" s="8">
        <f t="shared" si="13"/>
        <v>16.939999579999999</v>
      </c>
      <c r="AP353" s="5">
        <f t="shared" si="14"/>
        <v>1</v>
      </c>
    </row>
    <row r="354" spans="38:42" x14ac:dyDescent="0.25">
      <c r="AL354" s="54">
        <v>16.940000179999998</v>
      </c>
      <c r="AM354" s="5">
        <v>2</v>
      </c>
      <c r="AO354" s="8">
        <f t="shared" si="13"/>
        <v>16.940000179999998</v>
      </c>
      <c r="AP354" s="5">
        <f t="shared" si="14"/>
        <v>2</v>
      </c>
    </row>
    <row r="355" spans="38:42" x14ac:dyDescent="0.25">
      <c r="AL355" s="54">
        <v>17.04999995</v>
      </c>
      <c r="AM355" s="5">
        <v>0</v>
      </c>
      <c r="AO355" s="8">
        <f t="shared" si="13"/>
        <v>17.04999995</v>
      </c>
      <c r="AP355" s="5">
        <f t="shared" si="14"/>
        <v>0</v>
      </c>
    </row>
    <row r="356" spans="38:42" x14ac:dyDescent="0.25">
      <c r="AL356" s="54">
        <v>17.300000189999999</v>
      </c>
      <c r="AM356" s="5">
        <v>0</v>
      </c>
      <c r="AO356" s="8">
        <f t="shared" si="13"/>
        <v>17.300000189999999</v>
      </c>
      <c r="AP356" s="5">
        <f t="shared" si="14"/>
        <v>0</v>
      </c>
    </row>
    <row r="357" spans="38:42" x14ac:dyDescent="0.25">
      <c r="AL357" s="54">
        <v>17.300000369999999</v>
      </c>
      <c r="AM357" s="5">
        <v>0</v>
      </c>
      <c r="AO357" s="8">
        <f t="shared" si="13"/>
        <v>17.300000369999999</v>
      </c>
      <c r="AP357" s="5">
        <f t="shared" si="14"/>
        <v>0</v>
      </c>
    </row>
    <row r="358" spans="38:42" x14ac:dyDescent="0.25">
      <c r="AL358" s="54">
        <v>17.3299998</v>
      </c>
      <c r="AM358" s="5">
        <v>1</v>
      </c>
      <c r="AO358" s="8">
        <f t="shared" si="13"/>
        <v>17.3299998</v>
      </c>
      <c r="AP358" s="5">
        <f t="shared" si="14"/>
        <v>1</v>
      </c>
    </row>
    <row r="359" spans="38:42" x14ac:dyDescent="0.25">
      <c r="AL359" s="54">
        <v>17.36999965</v>
      </c>
      <c r="AM359" s="5">
        <v>1</v>
      </c>
      <c r="AO359" s="8">
        <f t="shared" si="13"/>
        <v>17.36999965</v>
      </c>
      <c r="AP359" s="5">
        <f t="shared" si="14"/>
        <v>1</v>
      </c>
    </row>
    <row r="360" spans="38:42" x14ac:dyDescent="0.25">
      <c r="AL360" s="54">
        <v>17.640000100000002</v>
      </c>
      <c r="AM360" s="5">
        <v>3</v>
      </c>
      <c r="AO360" s="8">
        <f t="shared" si="13"/>
        <v>17.640000100000002</v>
      </c>
      <c r="AP360" s="5">
        <f t="shared" si="14"/>
        <v>3</v>
      </c>
    </row>
    <row r="361" spans="38:42" x14ac:dyDescent="0.25">
      <c r="AL361" s="54">
        <v>17.670000080000001</v>
      </c>
      <c r="AM361" s="5">
        <v>2</v>
      </c>
      <c r="AO361" s="8">
        <f t="shared" si="13"/>
        <v>17.670000080000001</v>
      </c>
      <c r="AP361" s="5">
        <f t="shared" si="14"/>
        <v>2</v>
      </c>
    </row>
    <row r="362" spans="38:42" x14ac:dyDescent="0.25">
      <c r="AL362" s="54">
        <v>17.740000009999999</v>
      </c>
      <c r="AM362" s="5">
        <v>0</v>
      </c>
      <c r="AO362" s="8">
        <f t="shared" si="13"/>
        <v>17.740000009999999</v>
      </c>
      <c r="AP362" s="5">
        <f t="shared" si="14"/>
        <v>0</v>
      </c>
    </row>
    <row r="363" spans="38:42" x14ac:dyDescent="0.25">
      <c r="AL363" s="54">
        <v>17.929999949999999</v>
      </c>
      <c r="AM363" s="5">
        <v>1</v>
      </c>
      <c r="AO363" s="8">
        <f t="shared" si="13"/>
        <v>17.929999949999999</v>
      </c>
      <c r="AP363" s="5">
        <f t="shared" si="14"/>
        <v>1</v>
      </c>
    </row>
    <row r="364" spans="38:42" x14ac:dyDescent="0.25">
      <c r="AL364" s="54">
        <v>17.940000059999999</v>
      </c>
      <c r="AM364" s="5">
        <v>0</v>
      </c>
      <c r="AO364" s="8">
        <f t="shared" si="13"/>
        <v>17.940000059999999</v>
      </c>
      <c r="AP364" s="5">
        <f t="shared" si="14"/>
        <v>0</v>
      </c>
    </row>
    <row r="365" spans="38:42" x14ac:dyDescent="0.25">
      <c r="AL365" s="54">
        <v>18.019999980000001</v>
      </c>
      <c r="AM365" s="5">
        <v>0</v>
      </c>
      <c r="AO365" s="8">
        <f t="shared" si="13"/>
        <v>18.019999980000001</v>
      </c>
      <c r="AP365" s="5">
        <f t="shared" si="14"/>
        <v>0</v>
      </c>
    </row>
    <row r="366" spans="38:42" x14ac:dyDescent="0.25">
      <c r="AL366" s="54">
        <v>18.06999969</v>
      </c>
      <c r="AM366" s="5">
        <v>1</v>
      </c>
      <c r="AO366" s="8">
        <f t="shared" si="13"/>
        <v>18.06999969</v>
      </c>
      <c r="AP366" s="5">
        <f t="shared" si="14"/>
        <v>1</v>
      </c>
    </row>
    <row r="367" spans="38:42" x14ac:dyDescent="0.25">
      <c r="AL367" s="54">
        <v>18.100000380000001</v>
      </c>
      <c r="AM367" s="5">
        <v>1</v>
      </c>
      <c r="AO367" s="8">
        <f t="shared" si="13"/>
        <v>18.100000380000001</v>
      </c>
      <c r="AP367" s="5">
        <f t="shared" si="14"/>
        <v>1</v>
      </c>
    </row>
    <row r="368" spans="38:42" x14ac:dyDescent="0.25">
      <c r="AL368" s="54">
        <v>18.419999959999998</v>
      </c>
      <c r="AM368" s="5">
        <v>1</v>
      </c>
      <c r="AO368" s="8">
        <f t="shared" si="13"/>
        <v>18.419999959999998</v>
      </c>
      <c r="AP368" s="5">
        <f t="shared" si="14"/>
        <v>1</v>
      </c>
    </row>
    <row r="369" spans="38:42" x14ac:dyDescent="0.25">
      <c r="AL369" s="54">
        <v>18.470000150000001</v>
      </c>
      <c r="AM369" s="5">
        <v>0</v>
      </c>
      <c r="AO369" s="8">
        <f t="shared" si="13"/>
        <v>18.470000150000001</v>
      </c>
      <c r="AP369" s="5">
        <f t="shared" si="14"/>
        <v>0</v>
      </c>
    </row>
    <row r="370" spans="38:42" x14ac:dyDescent="0.25">
      <c r="AL370" s="54">
        <v>19.100000380000001</v>
      </c>
      <c r="AM370" s="5">
        <v>0</v>
      </c>
      <c r="AO370" s="8">
        <f t="shared" si="13"/>
        <v>19.100000380000001</v>
      </c>
      <c r="AP370" s="5">
        <f t="shared" si="14"/>
        <v>0</v>
      </c>
    </row>
    <row r="371" spans="38:42" x14ac:dyDescent="0.25">
      <c r="AL371" s="54">
        <v>19.11000001</v>
      </c>
      <c r="AM371" s="5">
        <v>1</v>
      </c>
      <c r="AO371" s="8">
        <f t="shared" si="13"/>
        <v>19.11000001</v>
      </c>
      <c r="AP371" s="5">
        <f t="shared" si="14"/>
        <v>1</v>
      </c>
    </row>
    <row r="372" spans="38:42" x14ac:dyDescent="0.25">
      <c r="AL372" s="54">
        <v>19.189999700000001</v>
      </c>
      <c r="AM372" s="5">
        <v>1</v>
      </c>
      <c r="AO372" s="8">
        <f t="shared" si="13"/>
        <v>19.189999700000001</v>
      </c>
      <c r="AP372" s="5">
        <f t="shared" si="14"/>
        <v>1</v>
      </c>
    </row>
    <row r="373" spans="38:42" x14ac:dyDescent="0.25">
      <c r="AL373" s="54">
        <v>19.279999849999999</v>
      </c>
      <c r="AM373" s="5">
        <v>0</v>
      </c>
      <c r="AO373" s="8">
        <f t="shared" si="13"/>
        <v>19.279999849999999</v>
      </c>
      <c r="AP373" s="5">
        <f t="shared" si="14"/>
        <v>0</v>
      </c>
    </row>
    <row r="374" spans="38:42" x14ac:dyDescent="0.25">
      <c r="AL374" s="54">
        <v>19.329999569999998</v>
      </c>
      <c r="AM374" s="5">
        <v>0</v>
      </c>
      <c r="AO374" s="8">
        <f t="shared" si="13"/>
        <v>19.329999569999998</v>
      </c>
      <c r="AP374" s="5">
        <f t="shared" si="14"/>
        <v>0</v>
      </c>
    </row>
    <row r="375" spans="38:42" x14ac:dyDescent="0.25">
      <c r="AL375" s="54">
        <v>19.359999899999998</v>
      </c>
      <c r="AM375" s="5">
        <v>2</v>
      </c>
      <c r="AO375" s="8">
        <f t="shared" si="13"/>
        <v>19.359999899999998</v>
      </c>
      <c r="AP375" s="5">
        <f t="shared" si="14"/>
        <v>2</v>
      </c>
    </row>
    <row r="376" spans="38:42" x14ac:dyDescent="0.25">
      <c r="AL376" s="54">
        <v>19.47999978</v>
      </c>
      <c r="AM376" s="5">
        <v>0</v>
      </c>
      <c r="AO376" s="8">
        <f t="shared" si="13"/>
        <v>19.47999978</v>
      </c>
      <c r="AP376" s="5">
        <f t="shared" si="14"/>
        <v>0</v>
      </c>
    </row>
    <row r="377" spans="38:42" x14ac:dyDescent="0.25">
      <c r="AL377" s="54">
        <v>19.569999809999999</v>
      </c>
      <c r="AM377" s="5">
        <v>0</v>
      </c>
      <c r="AO377" s="8">
        <f t="shared" si="13"/>
        <v>19.569999809999999</v>
      </c>
      <c r="AP377" s="5">
        <f t="shared" si="14"/>
        <v>0</v>
      </c>
    </row>
    <row r="378" spans="38:42" x14ac:dyDescent="0.25">
      <c r="AL378" s="54">
        <v>19.580000160000001</v>
      </c>
      <c r="AM378" s="5">
        <v>0</v>
      </c>
      <c r="AO378" s="8">
        <f t="shared" si="13"/>
        <v>19.580000160000001</v>
      </c>
      <c r="AP378" s="5">
        <f t="shared" si="14"/>
        <v>0</v>
      </c>
    </row>
    <row r="379" spans="38:42" x14ac:dyDescent="0.25">
      <c r="AL379" s="54">
        <v>19.659999490000001</v>
      </c>
      <c r="AM379" s="5">
        <v>0</v>
      </c>
      <c r="AO379" s="8">
        <f t="shared" si="13"/>
        <v>19.659999490000001</v>
      </c>
      <c r="AP379" s="5">
        <f t="shared" si="14"/>
        <v>0</v>
      </c>
    </row>
    <row r="380" spans="38:42" x14ac:dyDescent="0.25">
      <c r="AL380" s="54">
        <v>19.820000050000001</v>
      </c>
      <c r="AM380" s="5">
        <v>1</v>
      </c>
      <c r="AO380" s="8">
        <f t="shared" si="13"/>
        <v>19.820000050000001</v>
      </c>
      <c r="AP380" s="5">
        <f t="shared" si="14"/>
        <v>1</v>
      </c>
    </row>
    <row r="381" spans="38:42" x14ac:dyDescent="0.25">
      <c r="AL381" s="54">
        <v>19.88000035</v>
      </c>
      <c r="AM381" s="5">
        <v>0</v>
      </c>
      <c r="AO381" s="8">
        <f t="shared" si="13"/>
        <v>19.88000035</v>
      </c>
      <c r="AP381" s="5">
        <f t="shared" si="14"/>
        <v>0</v>
      </c>
    </row>
    <row r="382" spans="38:42" x14ac:dyDescent="0.25">
      <c r="AL382" s="54">
        <v>20.050000189999999</v>
      </c>
      <c r="AM382" s="5">
        <v>0</v>
      </c>
      <c r="AO382" s="8">
        <f t="shared" si="13"/>
        <v>20.050000189999999</v>
      </c>
      <c r="AP382" s="5">
        <f t="shared" si="14"/>
        <v>0</v>
      </c>
    </row>
    <row r="383" spans="38:42" x14ac:dyDescent="0.25">
      <c r="AL383" s="54">
        <v>20.17999983</v>
      </c>
      <c r="AM383" s="5">
        <v>1</v>
      </c>
      <c r="AO383" s="8">
        <f t="shared" si="13"/>
        <v>20.17999983</v>
      </c>
      <c r="AP383" s="5">
        <f t="shared" si="14"/>
        <v>1</v>
      </c>
    </row>
    <row r="384" spans="38:42" x14ac:dyDescent="0.25">
      <c r="AL384" s="54">
        <v>20.209999400000001</v>
      </c>
      <c r="AM384" s="5">
        <v>1</v>
      </c>
      <c r="AO384" s="8">
        <f t="shared" si="13"/>
        <v>20.209999400000001</v>
      </c>
      <c r="AP384" s="5">
        <f t="shared" si="14"/>
        <v>1</v>
      </c>
    </row>
    <row r="385" spans="38:42" x14ac:dyDescent="0.25">
      <c r="AL385" s="54">
        <v>20.290000320000001</v>
      </c>
      <c r="AM385" s="5">
        <v>3</v>
      </c>
      <c r="AO385" s="8">
        <f t="shared" si="13"/>
        <v>20.290000320000001</v>
      </c>
      <c r="AP385" s="5">
        <f t="shared" si="14"/>
        <v>3</v>
      </c>
    </row>
    <row r="386" spans="38:42" x14ac:dyDescent="0.25">
      <c r="AL386" s="54">
        <v>20.299999830000001</v>
      </c>
      <c r="AM386" s="5">
        <v>1</v>
      </c>
      <c r="AO386" s="8">
        <f t="shared" si="13"/>
        <v>20.299999830000001</v>
      </c>
      <c r="AP386" s="5">
        <f t="shared" si="14"/>
        <v>1</v>
      </c>
    </row>
    <row r="387" spans="38:42" x14ac:dyDescent="0.25">
      <c r="AL387" s="54">
        <v>20.519999980000001</v>
      </c>
      <c r="AM387" s="5">
        <v>0</v>
      </c>
      <c r="AO387" s="8">
        <f t="shared" si="13"/>
        <v>20.519999980000001</v>
      </c>
      <c r="AP387" s="5">
        <f t="shared" si="14"/>
        <v>0</v>
      </c>
    </row>
    <row r="388" spans="38:42" x14ac:dyDescent="0.25">
      <c r="AL388" s="54">
        <v>20.590000270000001</v>
      </c>
      <c r="AM388" s="5">
        <v>0</v>
      </c>
      <c r="AO388" s="8">
        <f t="shared" si="13"/>
        <v>20.590000270000001</v>
      </c>
      <c r="AP388" s="5">
        <f t="shared" si="14"/>
        <v>0</v>
      </c>
    </row>
    <row r="389" spans="38:42" x14ac:dyDescent="0.25">
      <c r="AL389" s="54">
        <v>21.10999966</v>
      </c>
      <c r="AM389" s="5">
        <v>1</v>
      </c>
      <c r="AO389" s="8">
        <f t="shared" si="13"/>
        <v>21.10999966</v>
      </c>
      <c r="AP389" s="5">
        <f t="shared" si="14"/>
        <v>1</v>
      </c>
    </row>
    <row r="390" spans="38:42" x14ac:dyDescent="0.25">
      <c r="AL390" s="54">
        <v>21.260000229999999</v>
      </c>
      <c r="AM390" s="5">
        <v>0</v>
      </c>
      <c r="AO390" s="8">
        <f t="shared" si="13"/>
        <v>21.260000229999999</v>
      </c>
      <c r="AP390" s="5">
        <f t="shared" si="14"/>
        <v>0</v>
      </c>
    </row>
    <row r="391" spans="38:42" x14ac:dyDescent="0.25">
      <c r="AL391" s="54">
        <v>21.849999789999998</v>
      </c>
      <c r="AM391" s="5">
        <v>1</v>
      </c>
      <c r="AO391" s="8">
        <f t="shared" si="13"/>
        <v>21.849999789999998</v>
      </c>
      <c r="AP391" s="5">
        <f t="shared" si="14"/>
        <v>1</v>
      </c>
    </row>
    <row r="392" spans="38:42" x14ac:dyDescent="0.25">
      <c r="AL392" s="54">
        <v>22.049999710000002</v>
      </c>
      <c r="AM392" s="5">
        <v>0</v>
      </c>
      <c r="AO392" s="8">
        <f t="shared" si="13"/>
        <v>22.049999710000002</v>
      </c>
      <c r="AP392" s="5">
        <f t="shared" si="14"/>
        <v>0</v>
      </c>
    </row>
    <row r="393" spans="38:42" x14ac:dyDescent="0.25">
      <c r="AL393" s="54">
        <v>22.12000012</v>
      </c>
      <c r="AM393" s="5">
        <v>0</v>
      </c>
      <c r="AO393" s="8">
        <f t="shared" si="13"/>
        <v>22.12000012</v>
      </c>
      <c r="AP393" s="5">
        <f t="shared" si="14"/>
        <v>0</v>
      </c>
    </row>
    <row r="394" spans="38:42" x14ac:dyDescent="0.25">
      <c r="AL394" s="54">
        <v>22.320000050000001</v>
      </c>
      <c r="AM394" s="5">
        <v>0</v>
      </c>
      <c r="AO394" s="8">
        <f t="shared" ref="AO394:AO457" si="15">AL394</f>
        <v>22.320000050000001</v>
      </c>
      <c r="AP394" s="5">
        <f t="shared" ref="AP394:AP457" si="16">AM394</f>
        <v>0</v>
      </c>
    </row>
    <row r="395" spans="38:42" x14ac:dyDescent="0.25">
      <c r="AL395" s="54">
        <v>22.42999983</v>
      </c>
      <c r="AM395" s="5">
        <v>1</v>
      </c>
      <c r="AO395" s="8">
        <f t="shared" si="15"/>
        <v>22.42999983</v>
      </c>
      <c r="AP395" s="5">
        <f t="shared" si="16"/>
        <v>1</v>
      </c>
    </row>
    <row r="396" spans="38:42" x14ac:dyDescent="0.25">
      <c r="AL396" s="54">
        <v>22.670000309999999</v>
      </c>
      <c r="AM396" s="5">
        <v>1</v>
      </c>
      <c r="AO396" s="8">
        <f t="shared" si="15"/>
        <v>22.670000309999999</v>
      </c>
      <c r="AP396" s="5">
        <f t="shared" si="16"/>
        <v>1</v>
      </c>
    </row>
    <row r="397" spans="38:42" x14ac:dyDescent="0.25">
      <c r="AL397" s="54">
        <v>22.860000249999999</v>
      </c>
      <c r="AM397" s="5">
        <v>0</v>
      </c>
      <c r="AO397" s="8">
        <f t="shared" si="15"/>
        <v>22.860000249999999</v>
      </c>
      <c r="AP397" s="5">
        <f t="shared" si="16"/>
        <v>0</v>
      </c>
    </row>
    <row r="398" spans="38:42" x14ac:dyDescent="0.25">
      <c r="AL398" s="54">
        <v>23.209999799999999</v>
      </c>
      <c r="AM398" s="5">
        <v>0</v>
      </c>
      <c r="AO398" s="8">
        <f t="shared" si="15"/>
        <v>23.209999799999999</v>
      </c>
      <c r="AP398" s="5">
        <f t="shared" si="16"/>
        <v>0</v>
      </c>
    </row>
    <row r="399" spans="38:42" x14ac:dyDescent="0.25">
      <c r="AL399" s="54">
        <v>23.339999679999998</v>
      </c>
      <c r="AM399" s="5">
        <v>0</v>
      </c>
      <c r="AO399" s="8">
        <f t="shared" si="15"/>
        <v>23.339999679999998</v>
      </c>
      <c r="AP399" s="5">
        <f t="shared" si="16"/>
        <v>0</v>
      </c>
    </row>
    <row r="400" spans="38:42" x14ac:dyDescent="0.25">
      <c r="AL400" s="54">
        <v>23.649999619999999</v>
      </c>
      <c r="AM400" s="5">
        <v>0</v>
      </c>
      <c r="AO400" s="8">
        <f t="shared" si="15"/>
        <v>23.649999619999999</v>
      </c>
      <c r="AP400" s="5">
        <f t="shared" si="16"/>
        <v>0</v>
      </c>
    </row>
    <row r="401" spans="38:42" x14ac:dyDescent="0.25">
      <c r="AL401" s="54">
        <v>23.699999569999999</v>
      </c>
      <c r="AM401" s="5">
        <v>0</v>
      </c>
      <c r="AO401" s="8">
        <f t="shared" si="15"/>
        <v>23.699999569999999</v>
      </c>
      <c r="AP401" s="5">
        <f t="shared" si="16"/>
        <v>0</v>
      </c>
    </row>
    <row r="402" spans="38:42" x14ac:dyDescent="0.25">
      <c r="AL402" s="54">
        <v>23.730000260000001</v>
      </c>
      <c r="AM402" s="5">
        <v>2</v>
      </c>
      <c r="AO402" s="8">
        <f t="shared" si="15"/>
        <v>23.730000260000001</v>
      </c>
      <c r="AP402" s="5">
        <f t="shared" si="16"/>
        <v>2</v>
      </c>
    </row>
    <row r="403" spans="38:42" x14ac:dyDescent="0.25">
      <c r="AL403" s="54">
        <v>23.970000389999999</v>
      </c>
      <c r="AM403" s="5">
        <v>1</v>
      </c>
      <c r="AO403" s="8">
        <f t="shared" si="15"/>
        <v>23.970000389999999</v>
      </c>
      <c r="AP403" s="5">
        <f t="shared" si="16"/>
        <v>1</v>
      </c>
    </row>
    <row r="404" spans="38:42" x14ac:dyDescent="0.25">
      <c r="AL404" s="54">
        <v>24.179999949999999</v>
      </c>
      <c r="AM404" s="5">
        <v>1</v>
      </c>
      <c r="AO404" s="8">
        <f t="shared" si="15"/>
        <v>24.179999949999999</v>
      </c>
      <c r="AP404" s="5">
        <f t="shared" si="16"/>
        <v>1</v>
      </c>
    </row>
    <row r="405" spans="38:42" x14ac:dyDescent="0.25">
      <c r="AL405" s="54">
        <v>24.190000300000001</v>
      </c>
      <c r="AM405" s="5">
        <v>1</v>
      </c>
      <c r="AO405" s="8">
        <f t="shared" si="15"/>
        <v>24.190000300000001</v>
      </c>
      <c r="AP405" s="5">
        <f t="shared" si="16"/>
        <v>1</v>
      </c>
    </row>
    <row r="406" spans="38:42" x14ac:dyDescent="0.25">
      <c r="AL406" s="54">
        <v>24.220000150000001</v>
      </c>
      <c r="AM406" s="5">
        <v>0</v>
      </c>
      <c r="AO406" s="8">
        <f t="shared" si="15"/>
        <v>24.220000150000001</v>
      </c>
      <c r="AP406" s="5">
        <f t="shared" si="16"/>
        <v>0</v>
      </c>
    </row>
    <row r="407" spans="38:42" x14ac:dyDescent="0.25">
      <c r="AL407" s="54">
        <v>24.330000160000001</v>
      </c>
      <c r="AM407" s="5">
        <v>0</v>
      </c>
      <c r="AO407" s="8">
        <f t="shared" si="15"/>
        <v>24.330000160000001</v>
      </c>
      <c r="AP407" s="5">
        <f t="shared" si="16"/>
        <v>0</v>
      </c>
    </row>
    <row r="408" spans="38:42" x14ac:dyDescent="0.25">
      <c r="AL408" s="54">
        <v>24.480000019999999</v>
      </c>
      <c r="AM408" s="5">
        <v>0</v>
      </c>
      <c r="AO408" s="8">
        <f t="shared" si="15"/>
        <v>24.480000019999999</v>
      </c>
      <c r="AP408" s="5">
        <f t="shared" si="16"/>
        <v>0</v>
      </c>
    </row>
    <row r="409" spans="38:42" x14ac:dyDescent="0.25">
      <c r="AL409" s="54">
        <v>24.56999969</v>
      </c>
      <c r="AM409" s="5">
        <v>1</v>
      </c>
      <c r="AO409" s="8">
        <f t="shared" si="15"/>
        <v>24.56999969</v>
      </c>
      <c r="AP409" s="5">
        <f t="shared" si="16"/>
        <v>1</v>
      </c>
    </row>
    <row r="410" spans="38:42" x14ac:dyDescent="0.25">
      <c r="AL410" s="54">
        <v>24.780000210000001</v>
      </c>
      <c r="AM410" s="5">
        <v>1</v>
      </c>
      <c r="AO410" s="8">
        <f t="shared" si="15"/>
        <v>24.780000210000001</v>
      </c>
      <c r="AP410" s="5">
        <f t="shared" si="16"/>
        <v>1</v>
      </c>
    </row>
    <row r="411" spans="38:42" x14ac:dyDescent="0.25">
      <c r="AL411" s="54">
        <v>25.010000229999999</v>
      </c>
      <c r="AM411" s="5">
        <v>0</v>
      </c>
      <c r="AO411" s="8">
        <f t="shared" si="15"/>
        <v>25.010000229999999</v>
      </c>
      <c r="AP411" s="5">
        <f t="shared" si="16"/>
        <v>0</v>
      </c>
    </row>
    <row r="412" spans="38:42" x14ac:dyDescent="0.25">
      <c r="AL412" s="54">
        <v>25.220000389999999</v>
      </c>
      <c r="AM412" s="5">
        <v>1</v>
      </c>
      <c r="AO412" s="8">
        <f t="shared" si="15"/>
        <v>25.220000389999999</v>
      </c>
      <c r="AP412" s="5">
        <f t="shared" si="16"/>
        <v>1</v>
      </c>
    </row>
    <row r="413" spans="38:42" x14ac:dyDescent="0.25">
      <c r="AL413" s="54">
        <v>25.26000011</v>
      </c>
      <c r="AM413" s="5">
        <v>1</v>
      </c>
      <c r="AO413" s="8">
        <f t="shared" si="15"/>
        <v>25.26000011</v>
      </c>
      <c r="AP413" s="5">
        <f t="shared" si="16"/>
        <v>1</v>
      </c>
    </row>
    <row r="414" spans="38:42" x14ac:dyDescent="0.25">
      <c r="AL414" s="54">
        <v>25.419999359999998</v>
      </c>
      <c r="AM414" s="5">
        <v>1</v>
      </c>
      <c r="AO414" s="8">
        <f t="shared" si="15"/>
        <v>25.419999359999998</v>
      </c>
      <c r="AP414" s="5">
        <f t="shared" si="16"/>
        <v>1</v>
      </c>
    </row>
    <row r="415" spans="38:42" x14ac:dyDescent="0.25">
      <c r="AL415" s="54">
        <v>25.459999679999999</v>
      </c>
      <c r="AM415" s="5">
        <v>0</v>
      </c>
      <c r="AO415" s="8">
        <f t="shared" si="15"/>
        <v>25.459999679999999</v>
      </c>
      <c r="AP415" s="5">
        <f t="shared" si="16"/>
        <v>0</v>
      </c>
    </row>
    <row r="416" spans="38:42" x14ac:dyDescent="0.25">
      <c r="AL416" s="54">
        <v>25.459999979999999</v>
      </c>
      <c r="AM416" s="5">
        <v>0</v>
      </c>
      <c r="AO416" s="8">
        <f t="shared" si="15"/>
        <v>25.459999979999999</v>
      </c>
      <c r="AP416" s="5">
        <f t="shared" si="16"/>
        <v>0</v>
      </c>
    </row>
    <row r="417" spans="38:42" x14ac:dyDescent="0.25">
      <c r="AL417" s="54">
        <v>25.520000459999999</v>
      </c>
      <c r="AM417" s="5">
        <v>0</v>
      </c>
      <c r="AO417" s="8">
        <f t="shared" si="15"/>
        <v>25.520000459999999</v>
      </c>
      <c r="AP417" s="5">
        <f t="shared" si="16"/>
        <v>0</v>
      </c>
    </row>
    <row r="418" spans="38:42" x14ac:dyDescent="0.25">
      <c r="AL418" s="54">
        <v>25.750000239999999</v>
      </c>
      <c r="AM418" s="5">
        <v>1</v>
      </c>
      <c r="AO418" s="8">
        <f t="shared" si="15"/>
        <v>25.750000239999999</v>
      </c>
      <c r="AP418" s="5">
        <f t="shared" si="16"/>
        <v>1</v>
      </c>
    </row>
    <row r="419" spans="38:42" x14ac:dyDescent="0.25">
      <c r="AL419" s="54">
        <v>25.86000001</v>
      </c>
      <c r="AM419" s="5">
        <v>0</v>
      </c>
      <c r="AO419" s="8">
        <f t="shared" si="15"/>
        <v>25.86000001</v>
      </c>
      <c r="AP419" s="5">
        <f t="shared" si="16"/>
        <v>0</v>
      </c>
    </row>
    <row r="420" spans="38:42" x14ac:dyDescent="0.25">
      <c r="AL420" s="54">
        <v>26.530000449999999</v>
      </c>
      <c r="AM420" s="5">
        <v>0</v>
      </c>
      <c r="AO420" s="8">
        <f t="shared" si="15"/>
        <v>26.530000449999999</v>
      </c>
      <c r="AP420" s="5">
        <f t="shared" si="16"/>
        <v>0</v>
      </c>
    </row>
    <row r="421" spans="38:42" x14ac:dyDescent="0.25">
      <c r="AL421" s="54">
        <v>26.569999459999998</v>
      </c>
      <c r="AM421" s="5">
        <v>1</v>
      </c>
      <c r="AO421" s="8">
        <f t="shared" si="15"/>
        <v>26.569999459999998</v>
      </c>
      <c r="AP421" s="5">
        <f t="shared" si="16"/>
        <v>1</v>
      </c>
    </row>
    <row r="422" spans="38:42" x14ac:dyDescent="0.25">
      <c r="AL422" s="54">
        <v>26.819999809999999</v>
      </c>
      <c r="AM422" s="5">
        <v>1</v>
      </c>
      <c r="AO422" s="8">
        <f t="shared" si="15"/>
        <v>26.819999809999999</v>
      </c>
      <c r="AP422" s="5">
        <f t="shared" si="16"/>
        <v>1</v>
      </c>
    </row>
    <row r="423" spans="38:42" x14ac:dyDescent="0.25">
      <c r="AL423" s="54">
        <v>27.299999830000001</v>
      </c>
      <c r="AM423" s="5">
        <v>0</v>
      </c>
      <c r="AO423" s="8">
        <f t="shared" si="15"/>
        <v>27.299999830000001</v>
      </c>
      <c r="AP423" s="5">
        <f t="shared" si="16"/>
        <v>0</v>
      </c>
    </row>
    <row r="424" spans="38:42" x14ac:dyDescent="0.25">
      <c r="AL424" s="54">
        <v>27.329999690000001</v>
      </c>
      <c r="AM424" s="5">
        <v>1</v>
      </c>
      <c r="AO424" s="8">
        <f t="shared" si="15"/>
        <v>27.329999690000001</v>
      </c>
      <c r="AP424" s="5">
        <f t="shared" si="16"/>
        <v>1</v>
      </c>
    </row>
    <row r="425" spans="38:42" x14ac:dyDescent="0.25">
      <c r="AL425" s="54">
        <v>27.729999540000001</v>
      </c>
      <c r="AM425" s="5">
        <v>1</v>
      </c>
      <c r="AO425" s="8">
        <f t="shared" si="15"/>
        <v>27.729999540000001</v>
      </c>
      <c r="AP425" s="5">
        <f t="shared" si="16"/>
        <v>1</v>
      </c>
    </row>
    <row r="426" spans="38:42" x14ac:dyDescent="0.25">
      <c r="AL426" s="54">
        <v>27.799999239999998</v>
      </c>
      <c r="AM426" s="5">
        <v>0</v>
      </c>
      <c r="AO426" s="8">
        <f t="shared" si="15"/>
        <v>27.799999239999998</v>
      </c>
      <c r="AP426" s="5">
        <f t="shared" si="16"/>
        <v>0</v>
      </c>
    </row>
    <row r="427" spans="38:42" x14ac:dyDescent="0.25">
      <c r="AL427" s="54">
        <v>28.049999589999999</v>
      </c>
      <c r="AM427" s="5">
        <v>1</v>
      </c>
      <c r="AO427" s="8">
        <f t="shared" si="15"/>
        <v>28.049999589999999</v>
      </c>
      <c r="AP427" s="5">
        <f t="shared" si="16"/>
        <v>1</v>
      </c>
    </row>
    <row r="428" spans="38:42" x14ac:dyDescent="0.25">
      <c r="AL428" s="54">
        <v>28.470000030000001</v>
      </c>
      <c r="AM428" s="5">
        <v>0</v>
      </c>
      <c r="AO428" s="8">
        <f t="shared" si="15"/>
        <v>28.470000030000001</v>
      </c>
      <c r="AP428" s="5">
        <f t="shared" si="16"/>
        <v>0</v>
      </c>
    </row>
    <row r="429" spans="38:42" x14ac:dyDescent="0.25">
      <c r="AL429" s="54">
        <v>28.5</v>
      </c>
      <c r="AM429" s="5">
        <v>0</v>
      </c>
      <c r="AO429" s="8">
        <f t="shared" si="15"/>
        <v>28.5</v>
      </c>
      <c r="AP429" s="5">
        <f t="shared" si="16"/>
        <v>0</v>
      </c>
    </row>
    <row r="430" spans="38:42" x14ac:dyDescent="0.25">
      <c r="AL430" s="54">
        <v>28.719999550000001</v>
      </c>
      <c r="AM430" s="5">
        <v>1</v>
      </c>
      <c r="AO430" s="8">
        <f t="shared" si="15"/>
        <v>28.719999550000001</v>
      </c>
      <c r="AP430" s="5">
        <f t="shared" si="16"/>
        <v>1</v>
      </c>
    </row>
    <row r="431" spans="38:42" x14ac:dyDescent="0.25">
      <c r="AL431" s="54">
        <v>28.85000002</v>
      </c>
      <c r="AM431" s="5">
        <v>1</v>
      </c>
      <c r="AO431" s="8">
        <f t="shared" si="15"/>
        <v>28.85000002</v>
      </c>
      <c r="AP431" s="5">
        <f t="shared" si="16"/>
        <v>1</v>
      </c>
    </row>
    <row r="432" spans="38:42" x14ac:dyDescent="0.25">
      <c r="AL432" s="54">
        <v>29.309999820000002</v>
      </c>
      <c r="AM432" s="5">
        <v>1</v>
      </c>
      <c r="AO432" s="8">
        <f t="shared" si="15"/>
        <v>29.309999820000002</v>
      </c>
      <c r="AP432" s="5">
        <f t="shared" si="16"/>
        <v>1</v>
      </c>
    </row>
    <row r="433" spans="38:42" x14ac:dyDescent="0.25">
      <c r="AL433" s="54">
        <v>29.310000179999999</v>
      </c>
      <c r="AM433" s="5">
        <v>0</v>
      </c>
      <c r="AO433" s="8">
        <f t="shared" si="15"/>
        <v>29.310000179999999</v>
      </c>
      <c r="AP433" s="5">
        <f t="shared" si="16"/>
        <v>0</v>
      </c>
    </row>
    <row r="434" spans="38:42" x14ac:dyDescent="0.25">
      <c r="AL434" s="54">
        <v>29.379999399999999</v>
      </c>
      <c r="AM434" s="5">
        <v>1</v>
      </c>
      <c r="AO434" s="8">
        <f t="shared" si="15"/>
        <v>29.379999399999999</v>
      </c>
      <c r="AP434" s="5">
        <f t="shared" si="16"/>
        <v>1</v>
      </c>
    </row>
    <row r="435" spans="38:42" x14ac:dyDescent="0.25">
      <c r="AL435" s="54">
        <v>29.53999937</v>
      </c>
      <c r="AM435" s="5">
        <v>1</v>
      </c>
      <c r="AO435" s="8">
        <f t="shared" si="15"/>
        <v>29.53999937</v>
      </c>
      <c r="AP435" s="5">
        <f t="shared" si="16"/>
        <v>1</v>
      </c>
    </row>
    <row r="436" spans="38:42" x14ac:dyDescent="0.25">
      <c r="AL436" s="54">
        <v>29.670000080000001</v>
      </c>
      <c r="AM436" s="5">
        <v>0</v>
      </c>
      <c r="AO436" s="8">
        <f t="shared" si="15"/>
        <v>29.670000080000001</v>
      </c>
      <c r="AP436" s="5">
        <f t="shared" si="16"/>
        <v>0</v>
      </c>
    </row>
    <row r="437" spans="38:42" x14ac:dyDescent="0.25">
      <c r="AL437" s="54">
        <v>29.750000480000001</v>
      </c>
      <c r="AM437" s="5">
        <v>2</v>
      </c>
      <c r="AO437" s="8">
        <f t="shared" si="15"/>
        <v>29.750000480000001</v>
      </c>
      <c r="AP437" s="5">
        <f t="shared" si="16"/>
        <v>2</v>
      </c>
    </row>
    <row r="438" spans="38:42" x14ac:dyDescent="0.25">
      <c r="AL438" s="54">
        <v>29.91000021</v>
      </c>
      <c r="AM438" s="5">
        <v>1</v>
      </c>
      <c r="AO438" s="8">
        <f t="shared" si="15"/>
        <v>29.91000021</v>
      </c>
      <c r="AP438" s="5">
        <f t="shared" si="16"/>
        <v>1</v>
      </c>
    </row>
    <row r="439" spans="38:42" x14ac:dyDescent="0.25">
      <c r="AL439" s="54">
        <v>30.080000760000001</v>
      </c>
      <c r="AM439" s="5">
        <v>0</v>
      </c>
      <c r="AO439" s="8">
        <f t="shared" si="15"/>
        <v>30.080000760000001</v>
      </c>
      <c r="AP439" s="5">
        <f t="shared" si="16"/>
        <v>0</v>
      </c>
    </row>
    <row r="440" spans="38:42" x14ac:dyDescent="0.25">
      <c r="AL440" s="54">
        <v>30.15000057</v>
      </c>
      <c r="AM440" s="5">
        <v>2</v>
      </c>
      <c r="AO440" s="8">
        <f t="shared" si="15"/>
        <v>30.15000057</v>
      </c>
      <c r="AP440" s="5">
        <f t="shared" si="16"/>
        <v>2</v>
      </c>
    </row>
    <row r="441" spans="38:42" x14ac:dyDescent="0.25">
      <c r="AL441" s="54">
        <v>30.26000011</v>
      </c>
      <c r="AM441" s="5">
        <v>0</v>
      </c>
      <c r="AO441" s="8">
        <f t="shared" si="15"/>
        <v>30.26000011</v>
      </c>
      <c r="AP441" s="5">
        <f t="shared" si="16"/>
        <v>0</v>
      </c>
    </row>
    <row r="442" spans="38:42" x14ac:dyDescent="0.25">
      <c r="AL442" s="54">
        <v>30.479999899999999</v>
      </c>
      <c r="AM442" s="5">
        <v>1</v>
      </c>
      <c r="AO442" s="8">
        <f t="shared" si="15"/>
        <v>30.479999899999999</v>
      </c>
      <c r="AP442" s="5">
        <f t="shared" si="16"/>
        <v>1</v>
      </c>
    </row>
    <row r="443" spans="38:42" x14ac:dyDescent="0.25">
      <c r="AL443" s="54">
        <v>30.840000270000001</v>
      </c>
      <c r="AM443" s="5">
        <v>1</v>
      </c>
      <c r="AO443" s="8">
        <f t="shared" si="15"/>
        <v>30.840000270000001</v>
      </c>
      <c r="AP443" s="5">
        <f t="shared" si="16"/>
        <v>1</v>
      </c>
    </row>
    <row r="444" spans="38:42" x14ac:dyDescent="0.25">
      <c r="AL444" s="54">
        <v>31.009999629999999</v>
      </c>
      <c r="AM444" s="5">
        <v>1</v>
      </c>
      <c r="AO444" s="8">
        <f t="shared" si="15"/>
        <v>31.009999629999999</v>
      </c>
      <c r="AP444" s="5">
        <f t="shared" si="16"/>
        <v>1</v>
      </c>
    </row>
    <row r="445" spans="38:42" x14ac:dyDescent="0.25">
      <c r="AL445" s="54">
        <v>31.029999969999999</v>
      </c>
      <c r="AM445" s="5">
        <v>0</v>
      </c>
      <c r="AO445" s="8">
        <f t="shared" si="15"/>
        <v>31.029999969999999</v>
      </c>
      <c r="AP445" s="5">
        <f t="shared" si="16"/>
        <v>0</v>
      </c>
    </row>
    <row r="446" spans="38:42" x14ac:dyDescent="0.25">
      <c r="AL446" s="54">
        <v>31.28999949</v>
      </c>
      <c r="AM446" s="5">
        <v>0</v>
      </c>
      <c r="AO446" s="8">
        <f t="shared" si="15"/>
        <v>31.28999949</v>
      </c>
      <c r="AP446" s="5">
        <f t="shared" si="16"/>
        <v>0</v>
      </c>
    </row>
    <row r="447" spans="38:42" x14ac:dyDescent="0.25">
      <c r="AL447" s="54">
        <v>31.540000200000001</v>
      </c>
      <c r="AM447" s="5">
        <v>3</v>
      </c>
      <c r="AO447" s="8">
        <f t="shared" si="15"/>
        <v>31.540000200000001</v>
      </c>
      <c r="AP447" s="5">
        <f t="shared" si="16"/>
        <v>3</v>
      </c>
    </row>
    <row r="448" spans="38:42" x14ac:dyDescent="0.25">
      <c r="AL448" s="54">
        <v>31.709999799999999</v>
      </c>
      <c r="AM448" s="5">
        <v>0</v>
      </c>
      <c r="AO448" s="8">
        <f t="shared" si="15"/>
        <v>31.709999799999999</v>
      </c>
      <c r="AP448" s="5">
        <f t="shared" si="16"/>
        <v>0</v>
      </c>
    </row>
    <row r="449" spans="38:42" x14ac:dyDescent="0.25">
      <c r="AL449" s="54">
        <v>32.090000150000002</v>
      </c>
      <c r="AM449" s="5">
        <v>1</v>
      </c>
      <c r="AO449" s="8">
        <f t="shared" si="15"/>
        <v>32.090000150000002</v>
      </c>
      <c r="AP449" s="5">
        <f t="shared" si="16"/>
        <v>1</v>
      </c>
    </row>
    <row r="450" spans="38:42" x14ac:dyDescent="0.25">
      <c r="AL450" s="54">
        <v>32.240000250000001</v>
      </c>
      <c r="AM450" s="5">
        <v>1</v>
      </c>
      <c r="AO450" s="8">
        <f t="shared" si="15"/>
        <v>32.240000250000001</v>
      </c>
      <c r="AP450" s="5">
        <f t="shared" si="16"/>
        <v>1</v>
      </c>
    </row>
    <row r="451" spans="38:42" x14ac:dyDescent="0.25">
      <c r="AL451" s="54">
        <v>32.289999960000003</v>
      </c>
      <c r="AM451" s="5">
        <v>0</v>
      </c>
      <c r="AO451" s="8">
        <f t="shared" si="15"/>
        <v>32.289999960000003</v>
      </c>
      <c r="AP451" s="5">
        <f t="shared" si="16"/>
        <v>0</v>
      </c>
    </row>
    <row r="452" spans="38:42" x14ac:dyDescent="0.25">
      <c r="AL452" s="54">
        <v>32.309999939999997</v>
      </c>
      <c r="AM452" s="5">
        <v>1</v>
      </c>
      <c r="AO452" s="8">
        <f t="shared" si="15"/>
        <v>32.309999939999997</v>
      </c>
      <c r="AP452" s="5">
        <f t="shared" si="16"/>
        <v>1</v>
      </c>
    </row>
    <row r="453" spans="38:42" x14ac:dyDescent="0.25">
      <c r="AL453" s="54">
        <v>32.679999950000003</v>
      </c>
      <c r="AM453" s="5">
        <v>0</v>
      </c>
      <c r="AO453" s="8">
        <f t="shared" si="15"/>
        <v>32.679999950000003</v>
      </c>
      <c r="AP453" s="5">
        <f t="shared" si="16"/>
        <v>0</v>
      </c>
    </row>
    <row r="454" spans="38:42" x14ac:dyDescent="0.25">
      <c r="AL454" s="54">
        <v>32.97999978</v>
      </c>
      <c r="AM454" s="5">
        <v>0</v>
      </c>
      <c r="AO454" s="8">
        <f t="shared" si="15"/>
        <v>32.97999978</v>
      </c>
      <c r="AP454" s="5">
        <f t="shared" si="16"/>
        <v>0</v>
      </c>
    </row>
    <row r="455" spans="38:42" x14ac:dyDescent="0.25">
      <c r="AL455" s="54">
        <v>33.039999369999997</v>
      </c>
      <c r="AM455" s="5">
        <v>1</v>
      </c>
      <c r="AO455" s="8">
        <f t="shared" si="15"/>
        <v>33.039999369999997</v>
      </c>
      <c r="AP455" s="5">
        <f t="shared" si="16"/>
        <v>1</v>
      </c>
    </row>
    <row r="456" spans="38:42" x14ac:dyDescent="0.25">
      <c r="AL456" s="54">
        <v>33.14000034</v>
      </c>
      <c r="AM456" s="5">
        <v>1</v>
      </c>
      <c r="AO456" s="8">
        <f t="shared" si="15"/>
        <v>33.14000034</v>
      </c>
      <c r="AP456" s="5">
        <f t="shared" si="16"/>
        <v>1</v>
      </c>
    </row>
    <row r="457" spans="38:42" x14ac:dyDescent="0.25">
      <c r="AL457" s="54">
        <v>33.199999329999997</v>
      </c>
      <c r="AM457" s="5">
        <v>0</v>
      </c>
      <c r="AO457" s="8">
        <f t="shared" si="15"/>
        <v>33.199999329999997</v>
      </c>
      <c r="AP457" s="5">
        <f t="shared" si="16"/>
        <v>0</v>
      </c>
    </row>
    <row r="458" spans="38:42" x14ac:dyDescent="0.25">
      <c r="AL458" s="54">
        <v>33.229999419999999</v>
      </c>
      <c r="AM458" s="5">
        <v>1</v>
      </c>
      <c r="AO458" s="8">
        <f t="shared" ref="AO458:AO521" si="17">AL458</f>
        <v>33.229999419999999</v>
      </c>
      <c r="AP458" s="5">
        <f t="shared" ref="AP458:AP521" si="18">AM458</f>
        <v>1</v>
      </c>
    </row>
    <row r="459" spans="38:42" x14ac:dyDescent="0.25">
      <c r="AL459" s="54">
        <v>33.330000040000002</v>
      </c>
      <c r="AM459" s="5">
        <v>2</v>
      </c>
      <c r="AO459" s="8">
        <f t="shared" si="17"/>
        <v>33.330000040000002</v>
      </c>
      <c r="AP459" s="5">
        <f t="shared" si="18"/>
        <v>2</v>
      </c>
    </row>
    <row r="460" spans="38:42" x14ac:dyDescent="0.25">
      <c r="AL460" s="54">
        <v>33.3499999</v>
      </c>
      <c r="AM460" s="5">
        <v>0</v>
      </c>
      <c r="AO460" s="8">
        <f t="shared" si="17"/>
        <v>33.3499999</v>
      </c>
      <c r="AP460" s="5">
        <f t="shared" si="18"/>
        <v>0</v>
      </c>
    </row>
    <row r="461" spans="38:42" x14ac:dyDescent="0.25">
      <c r="AL461" s="54">
        <v>33.46999907</v>
      </c>
      <c r="AM461" s="5">
        <v>2</v>
      </c>
      <c r="AO461" s="8">
        <f t="shared" si="17"/>
        <v>33.46999907</v>
      </c>
      <c r="AP461" s="5">
        <f t="shared" si="18"/>
        <v>2</v>
      </c>
    </row>
    <row r="462" spans="38:42" x14ac:dyDescent="0.25">
      <c r="AL462" s="54">
        <v>33.470000390000003</v>
      </c>
      <c r="AM462" s="5">
        <v>1</v>
      </c>
      <c r="AO462" s="8">
        <f t="shared" si="17"/>
        <v>33.470000390000003</v>
      </c>
      <c r="AP462" s="5">
        <f t="shared" si="18"/>
        <v>1</v>
      </c>
    </row>
    <row r="463" spans="38:42" x14ac:dyDescent="0.25">
      <c r="AL463" s="54">
        <v>33.659999970000001</v>
      </c>
      <c r="AM463" s="5">
        <v>0</v>
      </c>
      <c r="AO463" s="8">
        <f t="shared" si="17"/>
        <v>33.659999970000001</v>
      </c>
      <c r="AP463" s="5">
        <f t="shared" si="18"/>
        <v>0</v>
      </c>
    </row>
    <row r="464" spans="38:42" x14ac:dyDescent="0.25">
      <c r="AL464" s="54">
        <v>33.71000051</v>
      </c>
      <c r="AM464" s="5">
        <v>0</v>
      </c>
      <c r="AO464" s="8">
        <f t="shared" si="17"/>
        <v>33.71000051</v>
      </c>
      <c r="AP464" s="5">
        <f t="shared" si="18"/>
        <v>0</v>
      </c>
    </row>
    <row r="465" spans="38:42" x14ac:dyDescent="0.25">
      <c r="AL465" s="54">
        <v>33.899999979999997</v>
      </c>
      <c r="AM465" s="5">
        <v>1</v>
      </c>
      <c r="AO465" s="8">
        <f t="shared" si="17"/>
        <v>33.899999979999997</v>
      </c>
      <c r="AP465" s="5">
        <f t="shared" si="18"/>
        <v>1</v>
      </c>
    </row>
    <row r="466" spans="38:42" x14ac:dyDescent="0.25">
      <c r="AL466" s="54">
        <v>33.930000309999997</v>
      </c>
      <c r="AM466" s="5">
        <v>1</v>
      </c>
      <c r="AO466" s="8">
        <f t="shared" si="17"/>
        <v>33.930000309999997</v>
      </c>
      <c r="AP466" s="5">
        <f t="shared" si="18"/>
        <v>1</v>
      </c>
    </row>
    <row r="467" spans="38:42" x14ac:dyDescent="0.25">
      <c r="AL467" s="54">
        <v>34.030000149999999</v>
      </c>
      <c r="AM467" s="5">
        <v>0</v>
      </c>
      <c r="AO467" s="8">
        <f t="shared" si="17"/>
        <v>34.030000149999999</v>
      </c>
      <c r="AP467" s="5">
        <f t="shared" si="18"/>
        <v>0</v>
      </c>
    </row>
    <row r="468" spans="38:42" x14ac:dyDescent="0.25">
      <c r="AL468" s="54">
        <v>34.070000890000003</v>
      </c>
      <c r="AM468" s="5">
        <v>0</v>
      </c>
      <c r="AO468" s="8">
        <f t="shared" si="17"/>
        <v>34.070000890000003</v>
      </c>
      <c r="AP468" s="5">
        <f t="shared" si="18"/>
        <v>0</v>
      </c>
    </row>
    <row r="469" spans="38:42" x14ac:dyDescent="0.25">
      <c r="AL469" s="54">
        <v>34.1500001</v>
      </c>
      <c r="AM469" s="5">
        <v>0</v>
      </c>
      <c r="AO469" s="8">
        <f t="shared" si="17"/>
        <v>34.1500001</v>
      </c>
      <c r="AP469" s="5">
        <f t="shared" si="18"/>
        <v>0</v>
      </c>
    </row>
    <row r="470" spans="38:42" x14ac:dyDescent="0.25">
      <c r="AL470" s="54">
        <v>34.190000060000003</v>
      </c>
      <c r="AM470" s="5">
        <v>0</v>
      </c>
      <c r="AO470" s="8">
        <f t="shared" si="17"/>
        <v>34.190000060000003</v>
      </c>
      <c r="AP470" s="5">
        <f t="shared" si="18"/>
        <v>0</v>
      </c>
    </row>
    <row r="471" spans="38:42" x14ac:dyDescent="0.25">
      <c r="AL471" s="54">
        <v>34.229999720000002</v>
      </c>
      <c r="AM471" s="5">
        <v>1</v>
      </c>
      <c r="AO471" s="8">
        <f t="shared" si="17"/>
        <v>34.229999720000002</v>
      </c>
      <c r="AP471" s="5">
        <f t="shared" si="18"/>
        <v>1</v>
      </c>
    </row>
    <row r="472" spans="38:42" x14ac:dyDescent="0.25">
      <c r="AL472" s="54">
        <v>34.230000259999997</v>
      </c>
      <c r="AM472" s="5">
        <v>1</v>
      </c>
      <c r="AO472" s="8">
        <f t="shared" si="17"/>
        <v>34.230000259999997</v>
      </c>
      <c r="AP472" s="5">
        <f t="shared" si="18"/>
        <v>1</v>
      </c>
    </row>
    <row r="473" spans="38:42" x14ac:dyDescent="0.25">
      <c r="AL473" s="54">
        <v>34.390000460000003</v>
      </c>
      <c r="AM473" s="5">
        <v>1</v>
      </c>
      <c r="AO473" s="8">
        <f t="shared" si="17"/>
        <v>34.390000460000003</v>
      </c>
      <c r="AP473" s="5">
        <f t="shared" si="18"/>
        <v>1</v>
      </c>
    </row>
    <row r="474" spans="38:42" x14ac:dyDescent="0.25">
      <c r="AL474" s="54">
        <v>34.440000120000001</v>
      </c>
      <c r="AM474" s="5">
        <v>0</v>
      </c>
      <c r="AO474" s="8">
        <f t="shared" si="17"/>
        <v>34.440000120000001</v>
      </c>
      <c r="AP474" s="5">
        <f t="shared" si="18"/>
        <v>0</v>
      </c>
    </row>
    <row r="475" spans="38:42" x14ac:dyDescent="0.25">
      <c r="AL475" s="54">
        <v>34.869999649999997</v>
      </c>
      <c r="AM475" s="5">
        <v>2</v>
      </c>
      <c r="AO475" s="8">
        <f t="shared" si="17"/>
        <v>34.869999649999997</v>
      </c>
      <c r="AP475" s="5">
        <f t="shared" si="18"/>
        <v>2</v>
      </c>
    </row>
    <row r="476" spans="38:42" x14ac:dyDescent="0.25">
      <c r="AL476" s="54">
        <v>35.059999820000002</v>
      </c>
      <c r="AM476" s="5">
        <v>1</v>
      </c>
      <c r="AO476" s="8">
        <f t="shared" si="17"/>
        <v>35.059999820000002</v>
      </c>
      <c r="AP476" s="5">
        <f t="shared" si="18"/>
        <v>1</v>
      </c>
    </row>
    <row r="477" spans="38:42" x14ac:dyDescent="0.25">
      <c r="AL477" s="54">
        <v>35.309999939999997</v>
      </c>
      <c r="AM477" s="5">
        <v>12</v>
      </c>
      <c r="AO477" s="8">
        <f t="shared" si="17"/>
        <v>35.309999939999997</v>
      </c>
      <c r="AP477" s="5">
        <f t="shared" si="18"/>
        <v>12</v>
      </c>
    </row>
    <row r="478" spans="38:42" x14ac:dyDescent="0.25">
      <c r="AL478" s="54">
        <v>35.540000319999997</v>
      </c>
      <c r="AM478" s="5">
        <v>1</v>
      </c>
      <c r="AO478" s="8">
        <f t="shared" si="17"/>
        <v>35.540000319999997</v>
      </c>
      <c r="AP478" s="5">
        <f t="shared" si="18"/>
        <v>1</v>
      </c>
    </row>
    <row r="479" spans="38:42" x14ac:dyDescent="0.25">
      <c r="AL479" s="54">
        <v>35.67999983</v>
      </c>
      <c r="AM479" s="5">
        <v>0</v>
      </c>
      <c r="AO479" s="8">
        <f t="shared" si="17"/>
        <v>35.67999983</v>
      </c>
      <c r="AP479" s="5">
        <f t="shared" si="18"/>
        <v>0</v>
      </c>
    </row>
    <row r="480" spans="38:42" x14ac:dyDescent="0.25">
      <c r="AL480" s="54">
        <v>35.730000259999997</v>
      </c>
      <c r="AM480" s="5">
        <v>1</v>
      </c>
      <c r="AO480" s="8">
        <f t="shared" si="17"/>
        <v>35.730000259999997</v>
      </c>
      <c r="AP480" s="5">
        <f t="shared" si="18"/>
        <v>1</v>
      </c>
    </row>
    <row r="481" spans="38:42" x14ac:dyDescent="0.25">
      <c r="AL481" s="54">
        <v>35.799999479999997</v>
      </c>
      <c r="AM481" s="5">
        <v>0</v>
      </c>
      <c r="AO481" s="8">
        <f t="shared" si="17"/>
        <v>35.799999479999997</v>
      </c>
      <c r="AP481" s="5">
        <f t="shared" si="18"/>
        <v>0</v>
      </c>
    </row>
    <row r="482" spans="38:42" x14ac:dyDescent="0.25">
      <c r="AL482" s="54">
        <v>36.01000071</v>
      </c>
      <c r="AM482" s="5">
        <v>2</v>
      </c>
      <c r="AO482" s="8">
        <f t="shared" si="17"/>
        <v>36.01000071</v>
      </c>
      <c r="AP482" s="5">
        <f t="shared" si="18"/>
        <v>2</v>
      </c>
    </row>
    <row r="483" spans="38:42" x14ac:dyDescent="0.25">
      <c r="AL483" s="54">
        <v>36.130000350000003</v>
      </c>
      <c r="AM483" s="5">
        <v>0</v>
      </c>
      <c r="AO483" s="8">
        <f t="shared" si="17"/>
        <v>36.130000350000003</v>
      </c>
      <c r="AP483" s="5">
        <f t="shared" si="18"/>
        <v>0</v>
      </c>
    </row>
    <row r="484" spans="38:42" x14ac:dyDescent="0.25">
      <c r="AL484" s="54">
        <v>36.170000549999997</v>
      </c>
      <c r="AM484" s="5">
        <v>0</v>
      </c>
      <c r="AO484" s="8">
        <f t="shared" si="17"/>
        <v>36.170000549999997</v>
      </c>
      <c r="AP484" s="5">
        <f t="shared" si="18"/>
        <v>0</v>
      </c>
    </row>
    <row r="485" spans="38:42" x14ac:dyDescent="0.25">
      <c r="AL485" s="54">
        <v>36.229999300000003</v>
      </c>
      <c r="AM485" s="5">
        <v>0</v>
      </c>
      <c r="AO485" s="8">
        <f t="shared" si="17"/>
        <v>36.229999300000003</v>
      </c>
      <c r="AP485" s="5">
        <f t="shared" si="18"/>
        <v>0</v>
      </c>
    </row>
    <row r="486" spans="38:42" x14ac:dyDescent="0.25">
      <c r="AL486" s="54">
        <v>36.240000250000001</v>
      </c>
      <c r="AM486" s="5">
        <v>0</v>
      </c>
      <c r="AO486" s="8">
        <f t="shared" si="17"/>
        <v>36.240000250000001</v>
      </c>
      <c r="AP486" s="5">
        <f t="shared" si="18"/>
        <v>0</v>
      </c>
    </row>
    <row r="487" spans="38:42" x14ac:dyDescent="0.25">
      <c r="AL487" s="54">
        <v>36.440000300000001</v>
      </c>
      <c r="AM487" s="5">
        <v>1</v>
      </c>
      <c r="AO487" s="8">
        <f t="shared" si="17"/>
        <v>36.440000300000001</v>
      </c>
      <c r="AP487" s="5">
        <f t="shared" si="18"/>
        <v>1</v>
      </c>
    </row>
    <row r="488" spans="38:42" x14ac:dyDescent="0.25">
      <c r="AL488" s="54">
        <v>36.480000500000003</v>
      </c>
      <c r="AM488" s="5">
        <v>1</v>
      </c>
      <c r="AO488" s="8">
        <f t="shared" si="17"/>
        <v>36.480000500000003</v>
      </c>
      <c r="AP488" s="5">
        <f t="shared" si="18"/>
        <v>1</v>
      </c>
    </row>
    <row r="489" spans="38:42" x14ac:dyDescent="0.25">
      <c r="AL489" s="54">
        <v>36.530000209999997</v>
      </c>
      <c r="AM489" s="5">
        <v>1</v>
      </c>
      <c r="AO489" s="8">
        <f t="shared" si="17"/>
        <v>36.530000209999997</v>
      </c>
      <c r="AP489" s="5">
        <f t="shared" si="18"/>
        <v>1</v>
      </c>
    </row>
    <row r="490" spans="38:42" x14ac:dyDescent="0.25">
      <c r="AL490" s="54">
        <v>36.600000379999997</v>
      </c>
      <c r="AM490" s="5">
        <v>1</v>
      </c>
      <c r="AO490" s="8">
        <f t="shared" si="17"/>
        <v>36.600000379999997</v>
      </c>
      <c r="AP490" s="5">
        <f t="shared" si="18"/>
        <v>1</v>
      </c>
    </row>
    <row r="491" spans="38:42" x14ac:dyDescent="0.25">
      <c r="AL491" s="54">
        <v>36.779999609999997</v>
      </c>
      <c r="AM491" s="5">
        <v>0</v>
      </c>
      <c r="AO491" s="8">
        <f t="shared" si="17"/>
        <v>36.779999609999997</v>
      </c>
      <c r="AP491" s="5">
        <f t="shared" si="18"/>
        <v>0</v>
      </c>
    </row>
    <row r="492" spans="38:42" x14ac:dyDescent="0.25">
      <c r="AL492" s="54">
        <v>37.130000109999997</v>
      </c>
      <c r="AM492" s="5">
        <v>1</v>
      </c>
      <c r="AO492" s="8">
        <f t="shared" si="17"/>
        <v>37.130000109999997</v>
      </c>
      <c r="AP492" s="5">
        <f t="shared" si="18"/>
        <v>1</v>
      </c>
    </row>
    <row r="493" spans="38:42" x14ac:dyDescent="0.25">
      <c r="AL493" s="54">
        <v>37.259999989999997</v>
      </c>
      <c r="AM493" s="5">
        <v>1</v>
      </c>
      <c r="AO493" s="8">
        <f t="shared" si="17"/>
        <v>37.259999989999997</v>
      </c>
      <c r="AP493" s="5">
        <f t="shared" si="18"/>
        <v>1</v>
      </c>
    </row>
    <row r="494" spans="38:42" x14ac:dyDescent="0.25">
      <c r="AL494" s="54">
        <v>37.320001240000003</v>
      </c>
      <c r="AM494" s="5">
        <v>1</v>
      </c>
      <c r="AO494" s="8">
        <f t="shared" si="17"/>
        <v>37.320001240000003</v>
      </c>
      <c r="AP494" s="5">
        <f t="shared" si="18"/>
        <v>1</v>
      </c>
    </row>
    <row r="495" spans="38:42" x14ac:dyDescent="0.25">
      <c r="AL495" s="54">
        <v>37.399999620000003</v>
      </c>
      <c r="AM495" s="5">
        <v>4</v>
      </c>
      <c r="AO495" s="8">
        <f t="shared" si="17"/>
        <v>37.399999620000003</v>
      </c>
      <c r="AP495" s="5">
        <f t="shared" si="18"/>
        <v>4</v>
      </c>
    </row>
    <row r="496" spans="38:42" x14ac:dyDescent="0.25">
      <c r="AL496" s="54">
        <v>37.5999999</v>
      </c>
      <c r="AM496" s="5">
        <v>0</v>
      </c>
      <c r="AO496" s="8">
        <f t="shared" si="17"/>
        <v>37.5999999</v>
      </c>
      <c r="AP496" s="5">
        <f t="shared" si="18"/>
        <v>0</v>
      </c>
    </row>
    <row r="497" spans="38:42" x14ac:dyDescent="0.25">
      <c r="AL497" s="54">
        <v>37.830000159999997</v>
      </c>
      <c r="AM497" s="5">
        <v>0</v>
      </c>
      <c r="AO497" s="8">
        <f t="shared" si="17"/>
        <v>37.830000159999997</v>
      </c>
      <c r="AP497" s="5">
        <f t="shared" si="18"/>
        <v>0</v>
      </c>
    </row>
    <row r="498" spans="38:42" x14ac:dyDescent="0.25">
      <c r="AL498" s="54">
        <v>37.849999789999998</v>
      </c>
      <c r="AM498" s="5">
        <v>1</v>
      </c>
      <c r="AO498" s="8">
        <f t="shared" si="17"/>
        <v>37.849999789999998</v>
      </c>
      <c r="AP498" s="5">
        <f t="shared" si="18"/>
        <v>1</v>
      </c>
    </row>
    <row r="499" spans="38:42" x14ac:dyDescent="0.25">
      <c r="AL499" s="54">
        <v>38.029999609999997</v>
      </c>
      <c r="AM499" s="5">
        <v>1</v>
      </c>
      <c r="AO499" s="8">
        <f t="shared" si="17"/>
        <v>38.029999609999997</v>
      </c>
      <c r="AP499" s="5">
        <f t="shared" si="18"/>
        <v>1</v>
      </c>
    </row>
    <row r="500" spans="38:42" x14ac:dyDescent="0.25">
      <c r="AL500" s="54">
        <v>38.139999930000002</v>
      </c>
      <c r="AM500" s="5">
        <v>3</v>
      </c>
      <c r="AO500" s="8">
        <f t="shared" si="17"/>
        <v>38.139999930000002</v>
      </c>
      <c r="AP500" s="5">
        <f t="shared" si="18"/>
        <v>3</v>
      </c>
    </row>
    <row r="501" spans="38:42" x14ac:dyDescent="0.25">
      <c r="AL501" s="54">
        <v>38.180000069999998</v>
      </c>
      <c r="AM501" s="5">
        <v>1</v>
      </c>
      <c r="AO501" s="8">
        <f t="shared" si="17"/>
        <v>38.180000069999998</v>
      </c>
      <c r="AP501" s="5">
        <f t="shared" si="18"/>
        <v>1</v>
      </c>
    </row>
    <row r="502" spans="38:42" x14ac:dyDescent="0.25">
      <c r="AL502" s="54">
        <v>38.350000620000003</v>
      </c>
      <c r="AM502" s="5">
        <v>1</v>
      </c>
      <c r="AO502" s="8">
        <f t="shared" si="17"/>
        <v>38.350000620000003</v>
      </c>
      <c r="AP502" s="5">
        <f t="shared" si="18"/>
        <v>1</v>
      </c>
    </row>
    <row r="503" spans="38:42" x14ac:dyDescent="0.25">
      <c r="AL503" s="54">
        <v>38.360000130000003</v>
      </c>
      <c r="AM503" s="5">
        <v>3</v>
      </c>
      <c r="AO503" s="8">
        <f t="shared" si="17"/>
        <v>38.360000130000003</v>
      </c>
      <c r="AP503" s="5">
        <f t="shared" si="18"/>
        <v>3</v>
      </c>
    </row>
    <row r="504" spans="38:42" x14ac:dyDescent="0.25">
      <c r="AL504" s="54">
        <v>38.389999750000001</v>
      </c>
      <c r="AM504" s="5">
        <v>1</v>
      </c>
      <c r="AO504" s="8">
        <f t="shared" si="17"/>
        <v>38.389999750000001</v>
      </c>
      <c r="AP504" s="5">
        <f t="shared" si="18"/>
        <v>1</v>
      </c>
    </row>
    <row r="505" spans="38:42" x14ac:dyDescent="0.25">
      <c r="AL505" s="54">
        <v>38.420000430000002</v>
      </c>
      <c r="AM505" s="5">
        <v>0</v>
      </c>
      <c r="AO505" s="8">
        <f t="shared" si="17"/>
        <v>38.420000430000002</v>
      </c>
      <c r="AP505" s="5">
        <f t="shared" si="18"/>
        <v>0</v>
      </c>
    </row>
    <row r="506" spans="38:42" x14ac:dyDescent="0.25">
      <c r="AL506" s="54">
        <v>38.440000769999997</v>
      </c>
      <c r="AM506" s="5">
        <v>4</v>
      </c>
      <c r="AO506" s="8">
        <f t="shared" si="17"/>
        <v>38.440000769999997</v>
      </c>
      <c r="AP506" s="5">
        <f t="shared" si="18"/>
        <v>4</v>
      </c>
    </row>
    <row r="507" spans="38:42" x14ac:dyDescent="0.25">
      <c r="AL507" s="54">
        <v>38.500000829999998</v>
      </c>
      <c r="AM507" s="5">
        <v>0</v>
      </c>
      <c r="AO507" s="8">
        <f t="shared" si="17"/>
        <v>38.500000829999998</v>
      </c>
      <c r="AP507" s="5">
        <f t="shared" si="18"/>
        <v>0</v>
      </c>
    </row>
    <row r="508" spans="38:42" x14ac:dyDescent="0.25">
      <c r="AL508" s="54">
        <v>38.549999360000001</v>
      </c>
      <c r="AM508" s="5">
        <v>1</v>
      </c>
      <c r="AO508" s="8">
        <f t="shared" si="17"/>
        <v>38.549999360000001</v>
      </c>
      <c r="AP508" s="5">
        <f t="shared" si="18"/>
        <v>1</v>
      </c>
    </row>
    <row r="509" spans="38:42" x14ac:dyDescent="0.25">
      <c r="AL509" s="54">
        <v>38.589999679999998</v>
      </c>
      <c r="AM509" s="5">
        <v>1</v>
      </c>
      <c r="AO509" s="8">
        <f t="shared" si="17"/>
        <v>38.589999679999998</v>
      </c>
      <c r="AP509" s="5">
        <f t="shared" si="18"/>
        <v>1</v>
      </c>
    </row>
    <row r="510" spans="38:42" x14ac:dyDescent="0.25">
      <c r="AL510" s="54">
        <v>38.629999759999997</v>
      </c>
      <c r="AM510" s="5">
        <v>1</v>
      </c>
      <c r="AO510" s="8">
        <f t="shared" si="17"/>
        <v>38.629999759999997</v>
      </c>
      <c r="AP510" s="5">
        <f t="shared" si="18"/>
        <v>1</v>
      </c>
    </row>
    <row r="511" spans="38:42" x14ac:dyDescent="0.25">
      <c r="AL511" s="54">
        <v>38.63999999</v>
      </c>
      <c r="AM511" s="5">
        <v>1</v>
      </c>
      <c r="AO511" s="8">
        <f t="shared" si="17"/>
        <v>38.63999999</v>
      </c>
      <c r="AP511" s="5">
        <f t="shared" si="18"/>
        <v>1</v>
      </c>
    </row>
    <row r="512" spans="38:42" x14ac:dyDescent="0.25">
      <c r="AL512" s="54">
        <v>38.940000410000003</v>
      </c>
      <c r="AM512" s="5">
        <v>0</v>
      </c>
      <c r="AO512" s="8">
        <f t="shared" si="17"/>
        <v>38.940000410000003</v>
      </c>
      <c r="AP512" s="5">
        <f t="shared" si="18"/>
        <v>0</v>
      </c>
    </row>
    <row r="513" spans="38:42" x14ac:dyDescent="0.25">
      <c r="AL513" s="54">
        <v>39.049999479999997</v>
      </c>
      <c r="AM513" s="5">
        <v>0</v>
      </c>
      <c r="AO513" s="8">
        <f t="shared" si="17"/>
        <v>39.049999479999997</v>
      </c>
      <c r="AP513" s="5">
        <f t="shared" si="18"/>
        <v>0</v>
      </c>
    </row>
    <row r="514" spans="38:42" x14ac:dyDescent="0.25">
      <c r="AL514" s="54">
        <v>39.230000259999997</v>
      </c>
      <c r="AM514" s="5">
        <v>0</v>
      </c>
      <c r="AO514" s="8">
        <f t="shared" si="17"/>
        <v>39.230000259999997</v>
      </c>
      <c r="AP514" s="5">
        <f t="shared" si="18"/>
        <v>0</v>
      </c>
    </row>
    <row r="515" spans="38:42" x14ac:dyDescent="0.25">
      <c r="AL515" s="54">
        <v>39.25000095</v>
      </c>
      <c r="AM515" s="5">
        <v>1</v>
      </c>
      <c r="AO515" s="8">
        <f t="shared" si="17"/>
        <v>39.25000095</v>
      </c>
      <c r="AP515" s="5">
        <f t="shared" si="18"/>
        <v>1</v>
      </c>
    </row>
    <row r="516" spans="38:42" x14ac:dyDescent="0.25">
      <c r="AL516" s="54">
        <v>39.42999983</v>
      </c>
      <c r="AM516" s="5">
        <v>0</v>
      </c>
      <c r="AO516" s="8">
        <f t="shared" si="17"/>
        <v>39.42999983</v>
      </c>
      <c r="AP516" s="5">
        <f t="shared" si="18"/>
        <v>0</v>
      </c>
    </row>
    <row r="517" spans="38:42" x14ac:dyDescent="0.25">
      <c r="AL517" s="54">
        <v>39.440000060000003</v>
      </c>
      <c r="AM517" s="5">
        <v>0</v>
      </c>
      <c r="AO517" s="8">
        <f t="shared" si="17"/>
        <v>39.440000060000003</v>
      </c>
      <c r="AP517" s="5">
        <f t="shared" si="18"/>
        <v>0</v>
      </c>
    </row>
    <row r="518" spans="38:42" x14ac:dyDescent="0.25">
      <c r="AL518" s="54">
        <v>39.520000699999997</v>
      </c>
      <c r="AM518" s="5">
        <v>0</v>
      </c>
      <c r="AO518" s="8">
        <f t="shared" si="17"/>
        <v>39.520000699999997</v>
      </c>
      <c r="AP518" s="5">
        <f t="shared" si="18"/>
        <v>0</v>
      </c>
    </row>
    <row r="519" spans="38:42" x14ac:dyDescent="0.25">
      <c r="AL519" s="54">
        <v>39.72999978</v>
      </c>
      <c r="AM519" s="5">
        <v>1</v>
      </c>
      <c r="AO519" s="8">
        <f t="shared" si="17"/>
        <v>39.72999978</v>
      </c>
      <c r="AP519" s="5">
        <f t="shared" si="18"/>
        <v>1</v>
      </c>
    </row>
    <row r="520" spans="38:42" x14ac:dyDescent="0.25">
      <c r="AL520" s="54">
        <v>39.85999966</v>
      </c>
      <c r="AM520" s="5">
        <v>0</v>
      </c>
      <c r="AO520" s="8">
        <f t="shared" si="17"/>
        <v>39.85999966</v>
      </c>
      <c r="AP520" s="5">
        <f t="shared" si="18"/>
        <v>0</v>
      </c>
    </row>
    <row r="521" spans="38:42" x14ac:dyDescent="0.25">
      <c r="AL521" s="54">
        <v>40.020000930000002</v>
      </c>
      <c r="AM521" s="5">
        <v>1</v>
      </c>
      <c r="AO521" s="8">
        <f t="shared" si="17"/>
        <v>40.020000930000002</v>
      </c>
      <c r="AP521" s="5">
        <f t="shared" si="18"/>
        <v>1</v>
      </c>
    </row>
    <row r="522" spans="38:42" x14ac:dyDescent="0.25">
      <c r="AL522" s="54">
        <v>40.28999949</v>
      </c>
      <c r="AM522" s="5">
        <v>0</v>
      </c>
      <c r="AO522" s="8">
        <f t="shared" ref="AO522:AO585" si="19">AL522</f>
        <v>40.28999949</v>
      </c>
      <c r="AP522" s="5">
        <f t="shared" ref="AP522:AP585" si="20">AM522</f>
        <v>0</v>
      </c>
    </row>
    <row r="523" spans="38:42" x14ac:dyDescent="0.25">
      <c r="AL523" s="54">
        <v>40.370000240000003</v>
      </c>
      <c r="AM523" s="5">
        <v>1</v>
      </c>
      <c r="AO523" s="8">
        <f t="shared" si="19"/>
        <v>40.370000240000003</v>
      </c>
      <c r="AP523" s="5">
        <f t="shared" si="20"/>
        <v>1</v>
      </c>
    </row>
    <row r="524" spans="38:42" x14ac:dyDescent="0.25">
      <c r="AL524" s="54">
        <v>40.730000619999998</v>
      </c>
      <c r="AM524" s="5">
        <v>0</v>
      </c>
      <c r="AO524" s="8">
        <f t="shared" si="19"/>
        <v>40.730000619999998</v>
      </c>
      <c r="AP524" s="5">
        <f t="shared" si="20"/>
        <v>0</v>
      </c>
    </row>
    <row r="525" spans="38:42" x14ac:dyDescent="0.25">
      <c r="AL525" s="54">
        <v>40.75999951</v>
      </c>
      <c r="AM525" s="5">
        <v>0</v>
      </c>
      <c r="AO525" s="8">
        <f t="shared" si="19"/>
        <v>40.75999951</v>
      </c>
      <c r="AP525" s="5">
        <f t="shared" si="20"/>
        <v>0</v>
      </c>
    </row>
    <row r="526" spans="38:42" x14ac:dyDescent="0.25">
      <c r="AL526" s="54">
        <v>40.77000022</v>
      </c>
      <c r="AM526" s="5">
        <v>0</v>
      </c>
      <c r="AO526" s="8">
        <f t="shared" si="19"/>
        <v>40.77000022</v>
      </c>
      <c r="AP526" s="5">
        <f t="shared" si="20"/>
        <v>0</v>
      </c>
    </row>
    <row r="527" spans="38:42" x14ac:dyDescent="0.25">
      <c r="AL527" s="54">
        <v>40.87999928</v>
      </c>
      <c r="AM527" s="5">
        <v>2</v>
      </c>
      <c r="AO527" s="8">
        <f t="shared" si="19"/>
        <v>40.87999928</v>
      </c>
      <c r="AP527" s="5">
        <f t="shared" si="20"/>
        <v>2</v>
      </c>
    </row>
    <row r="528" spans="38:42" x14ac:dyDescent="0.25">
      <c r="AL528" s="54">
        <v>40.930000069999998</v>
      </c>
      <c r="AM528" s="5">
        <v>1</v>
      </c>
      <c r="AO528" s="8">
        <f t="shared" si="19"/>
        <v>40.930000069999998</v>
      </c>
      <c r="AP528" s="5">
        <f t="shared" si="20"/>
        <v>1</v>
      </c>
    </row>
    <row r="529" spans="38:42" x14ac:dyDescent="0.25">
      <c r="AL529" s="54">
        <v>40.960000399999998</v>
      </c>
      <c r="AM529" s="5">
        <v>0</v>
      </c>
      <c r="AO529" s="8">
        <f t="shared" si="19"/>
        <v>40.960000399999998</v>
      </c>
      <c r="AP529" s="5">
        <f t="shared" si="20"/>
        <v>0</v>
      </c>
    </row>
    <row r="530" spans="38:42" x14ac:dyDescent="0.25">
      <c r="AL530" s="54">
        <v>41.290000679999999</v>
      </c>
      <c r="AM530" s="5">
        <v>0</v>
      </c>
      <c r="AO530" s="8">
        <f t="shared" si="19"/>
        <v>41.290000679999999</v>
      </c>
      <c r="AP530" s="5">
        <f t="shared" si="20"/>
        <v>0</v>
      </c>
    </row>
    <row r="531" spans="38:42" x14ac:dyDescent="0.25">
      <c r="AL531" s="54">
        <v>41.420000080000001</v>
      </c>
      <c r="AM531" s="5">
        <v>1</v>
      </c>
      <c r="AO531" s="8">
        <f t="shared" si="19"/>
        <v>41.420000080000001</v>
      </c>
      <c r="AP531" s="5">
        <f t="shared" si="20"/>
        <v>1</v>
      </c>
    </row>
    <row r="532" spans="38:42" x14ac:dyDescent="0.25">
      <c r="AL532" s="54">
        <v>41.63</v>
      </c>
      <c r="AM532" s="5">
        <v>1</v>
      </c>
      <c r="AO532" s="8">
        <f t="shared" si="19"/>
        <v>41.63</v>
      </c>
      <c r="AP532" s="5">
        <f t="shared" si="20"/>
        <v>1</v>
      </c>
    </row>
    <row r="533" spans="38:42" x14ac:dyDescent="0.25">
      <c r="AL533" s="54">
        <v>41.71999967</v>
      </c>
      <c r="AM533" s="5">
        <v>1</v>
      </c>
      <c r="AO533" s="8">
        <f t="shared" si="19"/>
        <v>41.71999967</v>
      </c>
      <c r="AP533" s="5">
        <f t="shared" si="20"/>
        <v>1</v>
      </c>
    </row>
    <row r="534" spans="38:42" x14ac:dyDescent="0.25">
      <c r="AL534" s="54">
        <v>41.969999430000001</v>
      </c>
      <c r="AM534" s="5">
        <v>0</v>
      </c>
      <c r="AO534" s="8">
        <f t="shared" si="19"/>
        <v>41.969999430000001</v>
      </c>
      <c r="AP534" s="5">
        <f t="shared" si="20"/>
        <v>0</v>
      </c>
    </row>
    <row r="535" spans="38:42" x14ac:dyDescent="0.25">
      <c r="AL535" s="54">
        <v>42.080000159999997</v>
      </c>
      <c r="AM535" s="5">
        <v>0</v>
      </c>
      <c r="AO535" s="8">
        <f t="shared" si="19"/>
        <v>42.080000159999997</v>
      </c>
      <c r="AP535" s="5">
        <f t="shared" si="20"/>
        <v>0</v>
      </c>
    </row>
    <row r="536" spans="38:42" x14ac:dyDescent="0.25">
      <c r="AL536" s="54">
        <v>42.370000359999999</v>
      </c>
      <c r="AM536" s="5">
        <v>1</v>
      </c>
      <c r="AO536" s="8">
        <f t="shared" si="19"/>
        <v>42.370000359999999</v>
      </c>
      <c r="AP536" s="5">
        <f t="shared" si="20"/>
        <v>1</v>
      </c>
    </row>
    <row r="537" spans="38:42" x14ac:dyDescent="0.25">
      <c r="AL537" s="54">
        <v>42.410000320000002</v>
      </c>
      <c r="AM537" s="5">
        <v>1</v>
      </c>
      <c r="AO537" s="8">
        <f t="shared" si="19"/>
        <v>42.410000320000002</v>
      </c>
      <c r="AP537" s="5">
        <f t="shared" si="20"/>
        <v>1</v>
      </c>
    </row>
    <row r="538" spans="38:42" x14ac:dyDescent="0.25">
      <c r="AL538" s="54">
        <v>42.629999759999997</v>
      </c>
      <c r="AM538" s="5">
        <v>0</v>
      </c>
      <c r="AO538" s="8">
        <f t="shared" si="19"/>
        <v>42.629999759999997</v>
      </c>
      <c r="AP538" s="5">
        <f t="shared" si="20"/>
        <v>0</v>
      </c>
    </row>
    <row r="539" spans="38:42" x14ac:dyDescent="0.25">
      <c r="AL539" s="54">
        <v>43.010000349999999</v>
      </c>
      <c r="AM539" s="5">
        <v>0</v>
      </c>
      <c r="AO539" s="8">
        <f t="shared" si="19"/>
        <v>43.010000349999999</v>
      </c>
      <c r="AP539" s="5">
        <f t="shared" si="20"/>
        <v>0</v>
      </c>
    </row>
    <row r="540" spans="38:42" x14ac:dyDescent="0.25">
      <c r="AL540" s="54">
        <v>44.14000034</v>
      </c>
      <c r="AM540" s="5">
        <v>0</v>
      </c>
      <c r="AO540" s="8">
        <f t="shared" si="19"/>
        <v>44.14000034</v>
      </c>
      <c r="AP540" s="5">
        <f t="shared" si="20"/>
        <v>0</v>
      </c>
    </row>
    <row r="541" spans="38:42" x14ac:dyDescent="0.25">
      <c r="AL541" s="54">
        <v>44.219999549999997</v>
      </c>
      <c r="AM541" s="5">
        <v>2</v>
      </c>
      <c r="AO541" s="8">
        <f t="shared" si="19"/>
        <v>44.219999549999997</v>
      </c>
      <c r="AP541" s="5">
        <f t="shared" si="20"/>
        <v>2</v>
      </c>
    </row>
    <row r="542" spans="38:42" x14ac:dyDescent="0.25">
      <c r="AL542" s="54">
        <v>46.430000069999998</v>
      </c>
      <c r="AM542" s="5">
        <v>1</v>
      </c>
      <c r="AO542" s="8">
        <f t="shared" si="19"/>
        <v>46.430000069999998</v>
      </c>
      <c r="AP542" s="5">
        <f t="shared" si="20"/>
        <v>1</v>
      </c>
    </row>
    <row r="543" spans="38:42" x14ac:dyDescent="0.25">
      <c r="AL543" s="54">
        <v>46.630000109999997</v>
      </c>
      <c r="AM543" s="5">
        <v>0</v>
      </c>
      <c r="AO543" s="8">
        <f t="shared" si="19"/>
        <v>46.630000109999997</v>
      </c>
      <c r="AP543" s="5">
        <f t="shared" si="20"/>
        <v>0</v>
      </c>
    </row>
    <row r="544" spans="38:42" x14ac:dyDescent="0.25">
      <c r="AL544" s="54">
        <v>46.649999260000001</v>
      </c>
      <c r="AM544" s="5">
        <v>1</v>
      </c>
      <c r="AO544" s="8">
        <f t="shared" si="19"/>
        <v>46.649999260000001</v>
      </c>
      <c r="AP544" s="5">
        <f t="shared" si="20"/>
        <v>1</v>
      </c>
    </row>
    <row r="545" spans="38:42" x14ac:dyDescent="0.25">
      <c r="AL545" s="54">
        <v>46.669999359999998</v>
      </c>
      <c r="AM545" s="5">
        <v>3</v>
      </c>
      <c r="AO545" s="8">
        <f t="shared" si="19"/>
        <v>46.669999359999998</v>
      </c>
      <c r="AP545" s="5">
        <f t="shared" si="20"/>
        <v>3</v>
      </c>
    </row>
    <row r="546" spans="38:42" x14ac:dyDescent="0.25">
      <c r="AL546" s="54">
        <v>46.779999969999999</v>
      </c>
      <c r="AM546" s="5">
        <v>2</v>
      </c>
      <c r="AO546" s="8">
        <f t="shared" si="19"/>
        <v>46.779999969999999</v>
      </c>
      <c r="AP546" s="5">
        <f t="shared" si="20"/>
        <v>2</v>
      </c>
    </row>
    <row r="547" spans="38:42" x14ac:dyDescent="0.25">
      <c r="AL547" s="54">
        <v>46.790000200000001</v>
      </c>
      <c r="AM547" s="5">
        <v>1</v>
      </c>
      <c r="AO547" s="8">
        <f t="shared" si="19"/>
        <v>46.790000200000001</v>
      </c>
      <c r="AP547" s="5">
        <f t="shared" si="20"/>
        <v>1</v>
      </c>
    </row>
    <row r="548" spans="38:42" x14ac:dyDescent="0.25">
      <c r="AL548" s="54">
        <v>46.920001859999999</v>
      </c>
      <c r="AM548" s="5">
        <v>0</v>
      </c>
      <c r="AO548" s="8">
        <f t="shared" si="19"/>
        <v>46.920001859999999</v>
      </c>
      <c r="AP548" s="5">
        <f t="shared" si="20"/>
        <v>0</v>
      </c>
    </row>
    <row r="549" spans="38:42" x14ac:dyDescent="0.25">
      <c r="AL549" s="54">
        <v>47.690000060000003</v>
      </c>
      <c r="AM549" s="5">
        <v>1</v>
      </c>
      <c r="AO549" s="8">
        <f t="shared" si="19"/>
        <v>47.690000060000003</v>
      </c>
      <c r="AP549" s="5">
        <f t="shared" si="20"/>
        <v>1</v>
      </c>
    </row>
    <row r="550" spans="38:42" x14ac:dyDescent="0.25">
      <c r="AL550" s="54">
        <v>47.789999129999998</v>
      </c>
      <c r="AM550" s="5">
        <v>0</v>
      </c>
      <c r="AO550" s="8">
        <f t="shared" si="19"/>
        <v>47.789999129999998</v>
      </c>
      <c r="AP550" s="5">
        <f t="shared" si="20"/>
        <v>0</v>
      </c>
    </row>
    <row r="551" spans="38:42" x14ac:dyDescent="0.25">
      <c r="AL551" s="54">
        <v>47.879999519999998</v>
      </c>
      <c r="AM551" s="5">
        <v>1</v>
      </c>
      <c r="AO551" s="8">
        <f t="shared" si="19"/>
        <v>47.879999519999998</v>
      </c>
      <c r="AP551" s="5">
        <f t="shared" si="20"/>
        <v>1</v>
      </c>
    </row>
    <row r="552" spans="38:42" x14ac:dyDescent="0.25">
      <c r="AL552" s="54">
        <v>47.930000309999997</v>
      </c>
      <c r="AM552" s="5">
        <v>0</v>
      </c>
      <c r="AO552" s="8">
        <f t="shared" si="19"/>
        <v>47.930000309999997</v>
      </c>
      <c r="AP552" s="5">
        <f t="shared" si="20"/>
        <v>0</v>
      </c>
    </row>
    <row r="553" spans="38:42" x14ac:dyDescent="0.25">
      <c r="AL553" s="54">
        <v>48.180000069999998</v>
      </c>
      <c r="AM553" s="5">
        <v>1</v>
      </c>
      <c r="AO553" s="8">
        <f t="shared" si="19"/>
        <v>48.180000069999998</v>
      </c>
      <c r="AP553" s="5">
        <f t="shared" si="20"/>
        <v>1</v>
      </c>
    </row>
    <row r="554" spans="38:42" x14ac:dyDescent="0.25">
      <c r="AL554" s="54">
        <v>48.549999479999997</v>
      </c>
      <c r="AM554" s="5">
        <v>0</v>
      </c>
      <c r="AO554" s="8">
        <f t="shared" si="19"/>
        <v>48.549999479999997</v>
      </c>
      <c r="AP554" s="5">
        <f t="shared" si="20"/>
        <v>0</v>
      </c>
    </row>
    <row r="555" spans="38:42" x14ac:dyDescent="0.25">
      <c r="AL555" s="54">
        <v>48.609999780000003</v>
      </c>
      <c r="AM555" s="5">
        <v>1</v>
      </c>
      <c r="AO555" s="8">
        <f t="shared" si="19"/>
        <v>48.609999780000003</v>
      </c>
      <c r="AP555" s="5">
        <f t="shared" si="20"/>
        <v>1</v>
      </c>
    </row>
    <row r="556" spans="38:42" x14ac:dyDescent="0.25">
      <c r="AL556" s="54">
        <v>48.939998629999998</v>
      </c>
      <c r="AM556" s="5">
        <v>0</v>
      </c>
      <c r="AO556" s="8">
        <f t="shared" si="19"/>
        <v>48.939998629999998</v>
      </c>
      <c r="AP556" s="5">
        <f t="shared" si="20"/>
        <v>0</v>
      </c>
    </row>
    <row r="557" spans="38:42" x14ac:dyDescent="0.25">
      <c r="AL557" s="54">
        <v>49.440000060000003</v>
      </c>
      <c r="AM557" s="5">
        <v>0</v>
      </c>
      <c r="AO557" s="8">
        <f t="shared" si="19"/>
        <v>49.440000060000003</v>
      </c>
      <c r="AP557" s="5">
        <f t="shared" si="20"/>
        <v>0</v>
      </c>
    </row>
    <row r="558" spans="38:42" x14ac:dyDescent="0.25">
      <c r="AL558" s="54">
        <v>49.600000139999999</v>
      </c>
      <c r="AM558" s="5">
        <v>1</v>
      </c>
      <c r="AO558" s="8">
        <f t="shared" si="19"/>
        <v>49.600000139999999</v>
      </c>
      <c r="AP558" s="5">
        <f t="shared" si="20"/>
        <v>1</v>
      </c>
    </row>
    <row r="559" spans="38:42" x14ac:dyDescent="0.25">
      <c r="AL559" s="54">
        <v>50.11000001</v>
      </c>
      <c r="AM559" s="5">
        <v>1</v>
      </c>
      <c r="AO559" s="8">
        <f t="shared" si="19"/>
        <v>50.11000001</v>
      </c>
      <c r="AP559" s="5">
        <f t="shared" si="20"/>
        <v>1</v>
      </c>
    </row>
    <row r="560" spans="38:42" x14ac:dyDescent="0.25">
      <c r="AL560" s="54">
        <v>50.29000044</v>
      </c>
      <c r="AM560" s="5">
        <v>0</v>
      </c>
      <c r="AO560" s="8">
        <f t="shared" si="19"/>
        <v>50.29000044</v>
      </c>
      <c r="AP560" s="5">
        <f t="shared" si="20"/>
        <v>0</v>
      </c>
    </row>
    <row r="561" spans="38:42" x14ac:dyDescent="0.25">
      <c r="AL561" s="54">
        <v>50.5</v>
      </c>
      <c r="AM561" s="5">
        <v>1</v>
      </c>
      <c r="AO561" s="8">
        <f t="shared" si="19"/>
        <v>50.5</v>
      </c>
      <c r="AP561" s="5">
        <f t="shared" si="20"/>
        <v>1</v>
      </c>
    </row>
    <row r="562" spans="38:42" x14ac:dyDescent="0.25">
      <c r="AL562" s="54">
        <v>50.72000062</v>
      </c>
      <c r="AM562" s="5">
        <v>1</v>
      </c>
      <c r="AO562" s="8">
        <f t="shared" si="19"/>
        <v>50.72000062</v>
      </c>
      <c r="AP562" s="5">
        <f t="shared" si="20"/>
        <v>1</v>
      </c>
    </row>
    <row r="563" spans="38:42" x14ac:dyDescent="0.25">
      <c r="AL563" s="54">
        <v>51.840000869999997</v>
      </c>
      <c r="AM563" s="5">
        <v>0</v>
      </c>
      <c r="AO563" s="8">
        <f t="shared" si="19"/>
        <v>51.840000869999997</v>
      </c>
      <c r="AP563" s="5">
        <f t="shared" si="20"/>
        <v>0</v>
      </c>
    </row>
    <row r="564" spans="38:42" x14ac:dyDescent="0.25">
      <c r="AL564" s="54">
        <v>51.97000027</v>
      </c>
      <c r="AM564" s="5">
        <v>1</v>
      </c>
      <c r="AO564" s="8">
        <f t="shared" si="19"/>
        <v>51.97000027</v>
      </c>
      <c r="AP564" s="5">
        <f t="shared" si="20"/>
        <v>1</v>
      </c>
    </row>
    <row r="565" spans="38:42" x14ac:dyDescent="0.25">
      <c r="AL565" s="54">
        <v>52.019999859999999</v>
      </c>
      <c r="AM565" s="5">
        <v>1</v>
      </c>
      <c r="AO565" s="8">
        <f t="shared" si="19"/>
        <v>52.019999859999999</v>
      </c>
      <c r="AP565" s="5">
        <f t="shared" si="20"/>
        <v>1</v>
      </c>
    </row>
    <row r="566" spans="38:42" x14ac:dyDescent="0.25">
      <c r="AL566" s="54">
        <v>52.26000011</v>
      </c>
      <c r="AM566" s="5">
        <v>2</v>
      </c>
      <c r="AO566" s="8">
        <f t="shared" si="19"/>
        <v>52.26000011</v>
      </c>
      <c r="AP566" s="5">
        <f t="shared" si="20"/>
        <v>2</v>
      </c>
    </row>
    <row r="567" spans="38:42" x14ac:dyDescent="0.25">
      <c r="AL567" s="54">
        <v>52.970000149999997</v>
      </c>
      <c r="AM567" s="5">
        <v>3</v>
      </c>
      <c r="AO567" s="8">
        <f t="shared" si="19"/>
        <v>52.970000149999997</v>
      </c>
      <c r="AP567" s="5">
        <f t="shared" si="20"/>
        <v>3</v>
      </c>
    </row>
    <row r="568" spans="38:42" x14ac:dyDescent="0.25">
      <c r="AL568" s="54">
        <v>53.15999961</v>
      </c>
      <c r="AM568" s="5">
        <v>1</v>
      </c>
      <c r="AO568" s="8">
        <f t="shared" si="19"/>
        <v>53.15999961</v>
      </c>
      <c r="AP568" s="5">
        <f t="shared" si="20"/>
        <v>1</v>
      </c>
    </row>
    <row r="569" spans="38:42" x14ac:dyDescent="0.25">
      <c r="AL569" s="54">
        <v>53.219999489999999</v>
      </c>
      <c r="AM569" s="5">
        <v>0</v>
      </c>
      <c r="AO569" s="8">
        <f t="shared" si="19"/>
        <v>53.219999489999999</v>
      </c>
      <c r="AP569" s="5">
        <f t="shared" si="20"/>
        <v>0</v>
      </c>
    </row>
    <row r="570" spans="38:42" x14ac:dyDescent="0.25">
      <c r="AL570" s="54">
        <v>53.269999030000001</v>
      </c>
      <c r="AM570" s="5">
        <v>0</v>
      </c>
      <c r="AO570" s="8">
        <f t="shared" si="19"/>
        <v>53.269999030000001</v>
      </c>
      <c r="AP570" s="5">
        <f t="shared" si="20"/>
        <v>0</v>
      </c>
    </row>
    <row r="571" spans="38:42" x14ac:dyDescent="0.25">
      <c r="AL571" s="54">
        <v>53.38999939</v>
      </c>
      <c r="AM571" s="5">
        <v>2</v>
      </c>
      <c r="AO571" s="8">
        <f t="shared" si="19"/>
        <v>53.38999939</v>
      </c>
      <c r="AP571" s="5">
        <f t="shared" si="20"/>
        <v>2</v>
      </c>
    </row>
    <row r="572" spans="38:42" x14ac:dyDescent="0.25">
      <c r="AL572" s="54">
        <v>53.62999868</v>
      </c>
      <c r="AM572" s="5">
        <v>1</v>
      </c>
      <c r="AO572" s="8">
        <f t="shared" si="19"/>
        <v>53.62999868</v>
      </c>
      <c r="AP572" s="5">
        <f t="shared" si="20"/>
        <v>1</v>
      </c>
    </row>
    <row r="573" spans="38:42" x14ac:dyDescent="0.25">
      <c r="AL573" s="54">
        <v>53.789999719999997</v>
      </c>
      <c r="AM573" s="5">
        <v>0</v>
      </c>
      <c r="AO573" s="8">
        <f t="shared" si="19"/>
        <v>53.789999719999997</v>
      </c>
      <c r="AP573" s="5">
        <f t="shared" si="20"/>
        <v>0</v>
      </c>
    </row>
    <row r="574" spans="38:42" x14ac:dyDescent="0.25">
      <c r="AL574" s="54">
        <v>54.099998710000001</v>
      </c>
      <c r="AM574" s="5">
        <v>2</v>
      </c>
      <c r="AO574" s="8">
        <f t="shared" si="19"/>
        <v>54.099998710000001</v>
      </c>
      <c r="AP574" s="5">
        <f t="shared" si="20"/>
        <v>2</v>
      </c>
    </row>
    <row r="575" spans="38:42" x14ac:dyDescent="0.25">
      <c r="AL575" s="54">
        <v>54.240000369999997</v>
      </c>
      <c r="AM575" s="5">
        <v>0</v>
      </c>
      <c r="AO575" s="8">
        <f t="shared" si="19"/>
        <v>54.240000369999997</v>
      </c>
      <c r="AP575" s="5">
        <f t="shared" si="20"/>
        <v>0</v>
      </c>
    </row>
    <row r="576" spans="38:42" x14ac:dyDescent="0.25">
      <c r="AL576" s="54">
        <v>54.570000890000003</v>
      </c>
      <c r="AM576" s="5">
        <v>0</v>
      </c>
      <c r="AO576" s="8">
        <f t="shared" si="19"/>
        <v>54.570000890000003</v>
      </c>
      <c r="AP576" s="5">
        <f t="shared" si="20"/>
        <v>0</v>
      </c>
    </row>
    <row r="577" spans="38:42" x14ac:dyDescent="0.25">
      <c r="AL577" s="54">
        <v>54.790000200000001</v>
      </c>
      <c r="AM577" s="5">
        <v>0</v>
      </c>
      <c r="AO577" s="8">
        <f t="shared" si="19"/>
        <v>54.790000200000001</v>
      </c>
      <c r="AP577" s="5">
        <f t="shared" si="20"/>
        <v>0</v>
      </c>
    </row>
    <row r="578" spans="38:42" x14ac:dyDescent="0.25">
      <c r="AL578" s="54">
        <v>54.869999530000001</v>
      </c>
      <c r="AM578" s="5">
        <v>0</v>
      </c>
      <c r="AO578" s="8">
        <f t="shared" si="19"/>
        <v>54.869999530000001</v>
      </c>
      <c r="AP578" s="5">
        <f t="shared" si="20"/>
        <v>0</v>
      </c>
    </row>
    <row r="579" spans="38:42" x14ac:dyDescent="0.25">
      <c r="AL579" s="54">
        <v>55.100000020000003</v>
      </c>
      <c r="AM579" s="5">
        <v>0</v>
      </c>
      <c r="AO579" s="8">
        <f t="shared" si="19"/>
        <v>55.100000020000003</v>
      </c>
      <c r="AP579" s="5">
        <f t="shared" si="20"/>
        <v>0</v>
      </c>
    </row>
    <row r="580" spans="38:42" x14ac:dyDescent="0.25">
      <c r="AL580" s="54">
        <v>55.990000250000001</v>
      </c>
      <c r="AM580" s="5">
        <v>1</v>
      </c>
      <c r="AO580" s="8">
        <f t="shared" si="19"/>
        <v>55.990000250000001</v>
      </c>
      <c r="AP580" s="5">
        <f t="shared" si="20"/>
        <v>1</v>
      </c>
    </row>
    <row r="581" spans="38:42" x14ac:dyDescent="0.25">
      <c r="AL581" s="54">
        <v>56.059999230000003</v>
      </c>
      <c r="AM581" s="5">
        <v>0</v>
      </c>
      <c r="AO581" s="8">
        <f t="shared" si="19"/>
        <v>56.059999230000003</v>
      </c>
      <c r="AP581" s="5">
        <f t="shared" si="20"/>
        <v>0</v>
      </c>
    </row>
    <row r="582" spans="38:42" x14ac:dyDescent="0.25">
      <c r="AL582" s="54">
        <v>56.169999959999998</v>
      </c>
      <c r="AM582" s="5">
        <v>1</v>
      </c>
      <c r="AO582" s="8">
        <f t="shared" si="19"/>
        <v>56.169999959999998</v>
      </c>
      <c r="AP582" s="5">
        <f t="shared" si="20"/>
        <v>1</v>
      </c>
    </row>
    <row r="583" spans="38:42" x14ac:dyDescent="0.25">
      <c r="AL583" s="54">
        <v>56.190000769999997</v>
      </c>
      <c r="AM583" s="5">
        <v>0</v>
      </c>
      <c r="AO583" s="8">
        <f t="shared" si="19"/>
        <v>56.190000769999997</v>
      </c>
      <c r="AP583" s="5">
        <f t="shared" si="20"/>
        <v>0</v>
      </c>
    </row>
    <row r="584" spans="38:42" x14ac:dyDescent="0.25">
      <c r="AL584" s="54">
        <v>57</v>
      </c>
      <c r="AM584" s="5">
        <v>0</v>
      </c>
      <c r="AO584" s="8">
        <f t="shared" si="19"/>
        <v>57</v>
      </c>
      <c r="AP584" s="5">
        <f t="shared" si="20"/>
        <v>0</v>
      </c>
    </row>
    <row r="585" spans="38:42" x14ac:dyDescent="0.25">
      <c r="AL585" s="54">
        <v>57.37</v>
      </c>
      <c r="AM585" s="5">
        <v>1</v>
      </c>
      <c r="AO585" s="8">
        <f t="shared" si="19"/>
        <v>57.37</v>
      </c>
      <c r="AP585" s="5">
        <f t="shared" si="20"/>
        <v>1</v>
      </c>
    </row>
    <row r="586" spans="38:42" x14ac:dyDescent="0.25">
      <c r="AL586" s="54">
        <v>58.140000049999998</v>
      </c>
      <c r="AM586" s="5">
        <v>1</v>
      </c>
      <c r="AO586" s="8">
        <f t="shared" ref="AO586:AO649" si="21">AL586</f>
        <v>58.140000049999998</v>
      </c>
      <c r="AP586" s="5">
        <f t="shared" ref="AP586:AP649" si="22">AM586</f>
        <v>1</v>
      </c>
    </row>
    <row r="587" spans="38:42" x14ac:dyDescent="0.25">
      <c r="AL587" s="54">
        <v>58.160000439999997</v>
      </c>
      <c r="AM587" s="5">
        <v>1</v>
      </c>
      <c r="AO587" s="8">
        <f t="shared" si="21"/>
        <v>58.160000439999997</v>
      </c>
      <c r="AP587" s="5">
        <f t="shared" si="22"/>
        <v>1</v>
      </c>
    </row>
    <row r="588" spans="38:42" x14ac:dyDescent="0.25">
      <c r="AL588" s="54">
        <v>58.5999999</v>
      </c>
      <c r="AM588" s="5">
        <v>1</v>
      </c>
      <c r="AO588" s="8">
        <f t="shared" si="21"/>
        <v>58.5999999</v>
      </c>
      <c r="AP588" s="5">
        <f t="shared" si="22"/>
        <v>1</v>
      </c>
    </row>
    <row r="589" spans="38:42" x14ac:dyDescent="0.25">
      <c r="AL589" s="54">
        <v>58.679999709999997</v>
      </c>
      <c r="AM589" s="5">
        <v>0</v>
      </c>
      <c r="AO589" s="8">
        <f t="shared" si="21"/>
        <v>58.679999709999997</v>
      </c>
      <c r="AP589" s="5">
        <f t="shared" si="22"/>
        <v>0</v>
      </c>
    </row>
    <row r="590" spans="38:42" x14ac:dyDescent="0.25">
      <c r="AL590" s="54">
        <v>59.069999930000002</v>
      </c>
      <c r="AM590" s="5">
        <v>0</v>
      </c>
      <c r="AO590" s="8">
        <f t="shared" si="21"/>
        <v>59.069999930000002</v>
      </c>
      <c r="AP590" s="5">
        <f t="shared" si="22"/>
        <v>0</v>
      </c>
    </row>
    <row r="591" spans="38:42" x14ac:dyDescent="0.25">
      <c r="AL591" s="54">
        <v>59.439999819999997</v>
      </c>
      <c r="AM591" s="5">
        <v>2</v>
      </c>
      <c r="AO591" s="8">
        <f t="shared" si="21"/>
        <v>59.439999819999997</v>
      </c>
      <c r="AP591" s="5">
        <f t="shared" si="22"/>
        <v>2</v>
      </c>
    </row>
    <row r="592" spans="38:42" x14ac:dyDescent="0.25">
      <c r="AL592" s="54">
        <v>59.850000260000002</v>
      </c>
      <c r="AM592" s="5">
        <v>0</v>
      </c>
      <c r="AO592" s="8">
        <f t="shared" si="21"/>
        <v>59.850000260000002</v>
      </c>
      <c r="AP592" s="5">
        <f t="shared" si="22"/>
        <v>0</v>
      </c>
    </row>
    <row r="593" spans="38:42" x14ac:dyDescent="0.25">
      <c r="AL593" s="54">
        <v>60.199999570000003</v>
      </c>
      <c r="AM593" s="5">
        <v>0</v>
      </c>
      <c r="AO593" s="8">
        <f t="shared" si="21"/>
        <v>60.199999570000003</v>
      </c>
      <c r="AP593" s="5">
        <f t="shared" si="22"/>
        <v>0</v>
      </c>
    </row>
    <row r="594" spans="38:42" x14ac:dyDescent="0.25">
      <c r="AL594" s="54">
        <v>60.229999069999998</v>
      </c>
      <c r="AM594" s="5">
        <v>1</v>
      </c>
      <c r="AO594" s="8">
        <f t="shared" si="21"/>
        <v>60.229999069999998</v>
      </c>
      <c r="AP594" s="5">
        <f t="shared" si="22"/>
        <v>1</v>
      </c>
    </row>
    <row r="595" spans="38:42" x14ac:dyDescent="0.25">
      <c r="AL595" s="54">
        <v>60.729999659999997</v>
      </c>
      <c r="AM595" s="5">
        <v>1</v>
      </c>
      <c r="AO595" s="8">
        <f t="shared" si="21"/>
        <v>60.729999659999997</v>
      </c>
      <c r="AP595" s="5">
        <f t="shared" si="22"/>
        <v>1</v>
      </c>
    </row>
    <row r="596" spans="38:42" x14ac:dyDescent="0.25">
      <c r="AL596" s="54">
        <v>60.760000230000003</v>
      </c>
      <c r="AM596" s="5">
        <v>1</v>
      </c>
      <c r="AO596" s="8">
        <f t="shared" si="21"/>
        <v>60.760000230000003</v>
      </c>
      <c r="AP596" s="5">
        <f t="shared" si="22"/>
        <v>1</v>
      </c>
    </row>
    <row r="597" spans="38:42" x14ac:dyDescent="0.25">
      <c r="AL597" s="54">
        <v>60.899999139999998</v>
      </c>
      <c r="AM597" s="5">
        <v>1</v>
      </c>
      <c r="AO597" s="8">
        <f t="shared" si="21"/>
        <v>60.899999139999998</v>
      </c>
      <c r="AP597" s="5">
        <f t="shared" si="22"/>
        <v>1</v>
      </c>
    </row>
    <row r="598" spans="38:42" x14ac:dyDescent="0.25">
      <c r="AL598" s="54">
        <v>61.009999039999997</v>
      </c>
      <c r="AM598" s="5">
        <v>3</v>
      </c>
      <c r="AO598" s="8">
        <f t="shared" si="21"/>
        <v>61.009999039999997</v>
      </c>
      <c r="AP598" s="5">
        <f t="shared" si="22"/>
        <v>3</v>
      </c>
    </row>
    <row r="599" spans="38:42" x14ac:dyDescent="0.25">
      <c r="AL599" s="54">
        <v>61.029997710000004</v>
      </c>
      <c r="AM599" s="5">
        <v>3</v>
      </c>
      <c r="AO599" s="8">
        <f t="shared" si="21"/>
        <v>61.029997710000004</v>
      </c>
      <c r="AP599" s="5">
        <f t="shared" si="22"/>
        <v>3</v>
      </c>
    </row>
    <row r="600" spans="38:42" x14ac:dyDescent="0.25">
      <c r="AL600" s="54">
        <v>61.929999950000003</v>
      </c>
      <c r="AM600" s="5">
        <v>3</v>
      </c>
      <c r="AO600" s="8">
        <f t="shared" si="21"/>
        <v>61.929999950000003</v>
      </c>
      <c r="AP600" s="5">
        <f t="shared" si="22"/>
        <v>3</v>
      </c>
    </row>
    <row r="601" spans="38:42" x14ac:dyDescent="0.25">
      <c r="AL601" s="54">
        <v>62.060000420000001</v>
      </c>
      <c r="AM601" s="5">
        <v>1</v>
      </c>
      <c r="AO601" s="8">
        <f t="shared" si="21"/>
        <v>62.060000420000001</v>
      </c>
      <c r="AP601" s="5">
        <f t="shared" si="22"/>
        <v>1</v>
      </c>
    </row>
    <row r="602" spans="38:42" x14ac:dyDescent="0.25">
      <c r="AL602" s="54">
        <v>62.14000034</v>
      </c>
      <c r="AM602" s="5">
        <v>1</v>
      </c>
      <c r="AO602" s="8">
        <f t="shared" si="21"/>
        <v>62.14000034</v>
      </c>
      <c r="AP602" s="5">
        <f t="shared" si="22"/>
        <v>1</v>
      </c>
    </row>
    <row r="603" spans="38:42" x14ac:dyDescent="0.25">
      <c r="AL603" s="54">
        <v>62.140000579999999</v>
      </c>
      <c r="AM603" s="5">
        <v>0</v>
      </c>
      <c r="AO603" s="8">
        <f t="shared" si="21"/>
        <v>62.140000579999999</v>
      </c>
      <c r="AP603" s="5">
        <f t="shared" si="22"/>
        <v>0</v>
      </c>
    </row>
    <row r="604" spans="38:42" x14ac:dyDescent="0.25">
      <c r="AL604" s="54">
        <v>62.250000239999999</v>
      </c>
      <c r="AM604" s="5">
        <v>2</v>
      </c>
      <c r="AO604" s="8">
        <f t="shared" si="21"/>
        <v>62.250000239999999</v>
      </c>
      <c r="AP604" s="5">
        <f t="shared" si="22"/>
        <v>2</v>
      </c>
    </row>
    <row r="605" spans="38:42" x14ac:dyDescent="0.25">
      <c r="AL605" s="54">
        <v>62.31999922</v>
      </c>
      <c r="AM605" s="5">
        <v>1</v>
      </c>
      <c r="AO605" s="8">
        <f t="shared" si="21"/>
        <v>62.31999922</v>
      </c>
      <c r="AP605" s="5">
        <f t="shared" si="22"/>
        <v>1</v>
      </c>
    </row>
    <row r="606" spans="38:42" x14ac:dyDescent="0.25">
      <c r="AL606" s="54">
        <v>62.869999890000003</v>
      </c>
      <c r="AM606" s="5">
        <v>1</v>
      </c>
      <c r="AO606" s="8">
        <f t="shared" si="21"/>
        <v>62.869999890000003</v>
      </c>
      <c r="AP606" s="5">
        <f t="shared" si="22"/>
        <v>1</v>
      </c>
    </row>
    <row r="607" spans="38:42" x14ac:dyDescent="0.25">
      <c r="AL607" s="54">
        <v>63.320001009999999</v>
      </c>
      <c r="AM607" s="5">
        <v>3</v>
      </c>
      <c r="AO607" s="8">
        <f t="shared" si="21"/>
        <v>63.320001009999999</v>
      </c>
      <c r="AP607" s="5">
        <f t="shared" si="22"/>
        <v>3</v>
      </c>
    </row>
    <row r="608" spans="38:42" x14ac:dyDescent="0.25">
      <c r="AL608" s="54">
        <v>63.450000760000002</v>
      </c>
      <c r="AM608" s="5">
        <v>0</v>
      </c>
      <c r="AO608" s="8">
        <f t="shared" si="21"/>
        <v>63.450000760000002</v>
      </c>
      <c r="AP608" s="5">
        <f t="shared" si="22"/>
        <v>0</v>
      </c>
    </row>
    <row r="609" spans="38:42" x14ac:dyDescent="0.25">
      <c r="AL609" s="54">
        <v>64.409999970000001</v>
      </c>
      <c r="AM609" s="5">
        <v>4</v>
      </c>
      <c r="AO609" s="8">
        <f t="shared" si="21"/>
        <v>64.409999970000001</v>
      </c>
      <c r="AP609" s="5">
        <f t="shared" si="22"/>
        <v>4</v>
      </c>
    </row>
    <row r="610" spans="38:42" x14ac:dyDescent="0.25">
      <c r="AL610" s="54">
        <v>64.469999310000006</v>
      </c>
      <c r="AM610" s="5">
        <v>1</v>
      </c>
      <c r="AO610" s="8">
        <f t="shared" si="21"/>
        <v>64.469999310000006</v>
      </c>
      <c r="AP610" s="5">
        <f t="shared" si="22"/>
        <v>1</v>
      </c>
    </row>
    <row r="611" spans="38:42" x14ac:dyDescent="0.25">
      <c r="AL611" s="54">
        <v>64.879999519999998</v>
      </c>
      <c r="AM611" s="5">
        <v>0</v>
      </c>
      <c r="AO611" s="8">
        <f t="shared" si="21"/>
        <v>64.879999519999998</v>
      </c>
      <c r="AP611" s="5">
        <f t="shared" si="22"/>
        <v>0</v>
      </c>
    </row>
    <row r="612" spans="38:42" x14ac:dyDescent="0.25">
      <c r="AL612" s="54">
        <v>65.029998539999994</v>
      </c>
      <c r="AM612" s="5">
        <v>0</v>
      </c>
      <c r="AO612" s="8">
        <f t="shared" si="21"/>
        <v>65.029998539999994</v>
      </c>
      <c r="AP612" s="5">
        <f t="shared" si="22"/>
        <v>0</v>
      </c>
    </row>
    <row r="613" spans="38:42" x14ac:dyDescent="0.25">
      <c r="AL613" s="54">
        <v>65.030000329999993</v>
      </c>
      <c r="AM613" s="5">
        <v>0</v>
      </c>
      <c r="AO613" s="8">
        <f t="shared" si="21"/>
        <v>65.030000329999993</v>
      </c>
      <c r="AP613" s="5">
        <f t="shared" si="22"/>
        <v>0</v>
      </c>
    </row>
    <row r="614" spans="38:42" x14ac:dyDescent="0.25">
      <c r="AL614" s="54">
        <v>65.179999710000004</v>
      </c>
      <c r="AM614" s="5">
        <v>1</v>
      </c>
      <c r="AO614" s="8">
        <f t="shared" si="21"/>
        <v>65.179999710000004</v>
      </c>
      <c r="AP614" s="5">
        <f t="shared" si="22"/>
        <v>1</v>
      </c>
    </row>
    <row r="615" spans="38:42" x14ac:dyDescent="0.25">
      <c r="AL615" s="54">
        <v>65.229999960000001</v>
      </c>
      <c r="AM615" s="5">
        <v>1</v>
      </c>
      <c r="AO615" s="8">
        <f t="shared" si="21"/>
        <v>65.229999960000001</v>
      </c>
      <c r="AP615" s="5">
        <f t="shared" si="22"/>
        <v>1</v>
      </c>
    </row>
    <row r="616" spans="38:42" x14ac:dyDescent="0.25">
      <c r="AL616" s="54">
        <v>65.670001150000004</v>
      </c>
      <c r="AM616" s="5">
        <v>4</v>
      </c>
      <c r="AO616" s="8">
        <f t="shared" si="21"/>
        <v>65.670001150000004</v>
      </c>
      <c r="AP616" s="5">
        <f t="shared" si="22"/>
        <v>4</v>
      </c>
    </row>
    <row r="617" spans="38:42" x14ac:dyDescent="0.25">
      <c r="AL617" s="54">
        <v>66.279999849999996</v>
      </c>
      <c r="AM617" s="5">
        <v>1</v>
      </c>
      <c r="AO617" s="8">
        <f t="shared" si="21"/>
        <v>66.279999849999996</v>
      </c>
      <c r="AP617" s="5">
        <f t="shared" si="22"/>
        <v>1</v>
      </c>
    </row>
    <row r="618" spans="38:42" x14ac:dyDescent="0.25">
      <c r="AL618" s="54">
        <v>66.389999869999997</v>
      </c>
      <c r="AM618" s="5">
        <v>0</v>
      </c>
      <c r="AO618" s="8">
        <f t="shared" si="21"/>
        <v>66.389999869999997</v>
      </c>
      <c r="AP618" s="5">
        <f t="shared" si="22"/>
        <v>0</v>
      </c>
    </row>
    <row r="619" spans="38:42" x14ac:dyDescent="0.25">
      <c r="AL619" s="54">
        <v>66.770000100000004</v>
      </c>
      <c r="AM619" s="5">
        <v>1</v>
      </c>
      <c r="AO619" s="8">
        <f t="shared" si="21"/>
        <v>66.770000100000004</v>
      </c>
      <c r="AP619" s="5">
        <f t="shared" si="22"/>
        <v>1</v>
      </c>
    </row>
    <row r="620" spans="38:42" x14ac:dyDescent="0.25">
      <c r="AL620" s="54">
        <v>66.790000680000006</v>
      </c>
      <c r="AM620" s="5">
        <v>1</v>
      </c>
      <c r="AO620" s="8">
        <f t="shared" si="21"/>
        <v>66.790000680000006</v>
      </c>
      <c r="AP620" s="5">
        <f t="shared" si="22"/>
        <v>1</v>
      </c>
    </row>
    <row r="621" spans="38:42" x14ac:dyDescent="0.25">
      <c r="AL621" s="54">
        <v>66.839998719999997</v>
      </c>
      <c r="AM621" s="5">
        <v>0</v>
      </c>
      <c r="AO621" s="8">
        <f t="shared" si="21"/>
        <v>66.839998719999997</v>
      </c>
      <c r="AP621" s="5">
        <f t="shared" si="22"/>
        <v>0</v>
      </c>
    </row>
    <row r="622" spans="38:42" x14ac:dyDescent="0.25">
      <c r="AL622" s="54">
        <v>67.130001070000006</v>
      </c>
      <c r="AM622" s="5">
        <v>1</v>
      </c>
      <c r="AO622" s="8">
        <f t="shared" si="21"/>
        <v>67.130001070000006</v>
      </c>
      <c r="AP622" s="5">
        <f t="shared" si="22"/>
        <v>1</v>
      </c>
    </row>
    <row r="623" spans="38:42" x14ac:dyDescent="0.25">
      <c r="AL623" s="54">
        <v>67.609999180000003</v>
      </c>
      <c r="AM623" s="5">
        <v>0</v>
      </c>
      <c r="AO623" s="8">
        <f t="shared" si="21"/>
        <v>67.609999180000003</v>
      </c>
      <c r="AP623" s="5">
        <f t="shared" si="22"/>
        <v>0</v>
      </c>
    </row>
    <row r="624" spans="38:42" x14ac:dyDescent="0.25">
      <c r="AL624" s="54">
        <v>67.650000570000003</v>
      </c>
      <c r="AM624" s="5">
        <v>2</v>
      </c>
      <c r="AO624" s="8">
        <f t="shared" si="21"/>
        <v>67.650000570000003</v>
      </c>
      <c r="AP624" s="5">
        <f t="shared" si="22"/>
        <v>2</v>
      </c>
    </row>
    <row r="625" spans="38:42" x14ac:dyDescent="0.25">
      <c r="AL625" s="54">
        <v>67.669999840000003</v>
      </c>
      <c r="AM625" s="5">
        <v>0</v>
      </c>
      <c r="AO625" s="8">
        <f t="shared" si="21"/>
        <v>67.669999840000003</v>
      </c>
      <c r="AP625" s="5">
        <f t="shared" si="22"/>
        <v>0</v>
      </c>
    </row>
    <row r="626" spans="38:42" x14ac:dyDescent="0.25">
      <c r="AL626" s="54">
        <v>67.770001289999996</v>
      </c>
      <c r="AM626" s="5">
        <v>3</v>
      </c>
      <c r="AO626" s="8">
        <f t="shared" si="21"/>
        <v>67.770001289999996</v>
      </c>
      <c r="AP626" s="5">
        <f t="shared" si="22"/>
        <v>3</v>
      </c>
    </row>
    <row r="627" spans="38:42" x14ac:dyDescent="0.25">
      <c r="AL627" s="54">
        <v>67.97999978</v>
      </c>
      <c r="AM627" s="5">
        <v>1</v>
      </c>
      <c r="AO627" s="8">
        <f t="shared" si="21"/>
        <v>67.97999978</v>
      </c>
      <c r="AP627" s="5">
        <f t="shared" si="22"/>
        <v>1</v>
      </c>
    </row>
    <row r="628" spans="38:42" x14ac:dyDescent="0.25">
      <c r="AL628" s="54">
        <v>68.060000540000004</v>
      </c>
      <c r="AM628" s="5">
        <v>0</v>
      </c>
      <c r="AO628" s="8">
        <f t="shared" si="21"/>
        <v>68.060000540000004</v>
      </c>
      <c r="AP628" s="5">
        <f t="shared" si="22"/>
        <v>0</v>
      </c>
    </row>
    <row r="629" spans="38:42" x14ac:dyDescent="0.25">
      <c r="AL629" s="54">
        <v>68.559999590000004</v>
      </c>
      <c r="AM629" s="5">
        <v>2</v>
      </c>
      <c r="AO629" s="8">
        <f t="shared" si="21"/>
        <v>68.559999590000004</v>
      </c>
      <c r="AP629" s="5">
        <f t="shared" si="22"/>
        <v>2</v>
      </c>
    </row>
    <row r="630" spans="38:42" x14ac:dyDescent="0.25">
      <c r="AL630" s="54">
        <v>68.670000079999994</v>
      </c>
      <c r="AM630" s="5">
        <v>1</v>
      </c>
      <c r="AO630" s="8">
        <f t="shared" si="21"/>
        <v>68.670000079999994</v>
      </c>
      <c r="AP630" s="5">
        <f t="shared" si="22"/>
        <v>1</v>
      </c>
    </row>
    <row r="631" spans="38:42" x14ac:dyDescent="0.25">
      <c r="AL631" s="54">
        <v>69.659999970000001</v>
      </c>
      <c r="AM631" s="5">
        <v>3</v>
      </c>
      <c r="AO631" s="8">
        <f t="shared" si="21"/>
        <v>69.659999970000001</v>
      </c>
      <c r="AP631" s="5">
        <f t="shared" si="22"/>
        <v>3</v>
      </c>
    </row>
    <row r="632" spans="38:42" x14ac:dyDescent="0.25">
      <c r="AL632" s="54">
        <v>70.410000800000006</v>
      </c>
      <c r="AM632" s="5">
        <v>1</v>
      </c>
      <c r="AO632" s="8">
        <f t="shared" si="21"/>
        <v>70.410000800000006</v>
      </c>
      <c r="AP632" s="5">
        <f t="shared" si="22"/>
        <v>1</v>
      </c>
    </row>
    <row r="633" spans="38:42" x14ac:dyDescent="0.25">
      <c r="AL633" s="54">
        <v>71.530001040000002</v>
      </c>
      <c r="AM633" s="5">
        <v>0</v>
      </c>
      <c r="AO633" s="8">
        <f t="shared" si="21"/>
        <v>71.530001040000002</v>
      </c>
      <c r="AP633" s="5">
        <f t="shared" si="22"/>
        <v>0</v>
      </c>
    </row>
    <row r="634" spans="38:42" x14ac:dyDescent="0.25">
      <c r="AL634" s="54">
        <v>71.580000519999999</v>
      </c>
      <c r="AM634" s="5">
        <v>1</v>
      </c>
      <c r="AO634" s="8">
        <f t="shared" si="21"/>
        <v>71.580000519999999</v>
      </c>
      <c r="AP634" s="5">
        <f t="shared" si="22"/>
        <v>1</v>
      </c>
    </row>
    <row r="635" spans="38:42" x14ac:dyDescent="0.25">
      <c r="AL635" s="54">
        <v>72.310000299999999</v>
      </c>
      <c r="AM635" s="5">
        <v>2</v>
      </c>
      <c r="AO635" s="8">
        <f t="shared" si="21"/>
        <v>72.310000299999999</v>
      </c>
      <c r="AP635" s="5">
        <f t="shared" si="22"/>
        <v>2</v>
      </c>
    </row>
    <row r="636" spans="38:42" x14ac:dyDescent="0.25">
      <c r="AL636" s="54">
        <v>72.910001039999997</v>
      </c>
      <c r="AM636" s="5">
        <v>0</v>
      </c>
      <c r="AO636" s="8">
        <f t="shared" si="21"/>
        <v>72.910001039999997</v>
      </c>
      <c r="AP636" s="5">
        <f t="shared" si="22"/>
        <v>0</v>
      </c>
    </row>
    <row r="637" spans="38:42" x14ac:dyDescent="0.25">
      <c r="AL637" s="54">
        <v>73.749999639999999</v>
      </c>
      <c r="AM637" s="5">
        <v>1</v>
      </c>
      <c r="AO637" s="8">
        <f t="shared" si="21"/>
        <v>73.749999639999999</v>
      </c>
      <c r="AP637" s="5">
        <f t="shared" si="22"/>
        <v>1</v>
      </c>
    </row>
    <row r="638" spans="38:42" x14ac:dyDescent="0.25">
      <c r="AL638" s="54">
        <v>74.410000319999995</v>
      </c>
      <c r="AM638" s="5">
        <v>3</v>
      </c>
      <c r="AO638" s="8">
        <f t="shared" si="21"/>
        <v>74.410000319999995</v>
      </c>
      <c r="AP638" s="5">
        <f t="shared" si="22"/>
        <v>3</v>
      </c>
    </row>
    <row r="639" spans="38:42" x14ac:dyDescent="0.25">
      <c r="AL639" s="54">
        <v>74.830001350000003</v>
      </c>
      <c r="AM639" s="5">
        <v>1</v>
      </c>
      <c r="AO639" s="8">
        <f t="shared" si="21"/>
        <v>74.830001350000003</v>
      </c>
      <c r="AP639" s="5">
        <f t="shared" si="22"/>
        <v>1</v>
      </c>
    </row>
    <row r="640" spans="38:42" x14ac:dyDescent="0.25">
      <c r="AL640" s="54">
        <v>75.700000759999995</v>
      </c>
      <c r="AM640" s="5">
        <v>2</v>
      </c>
      <c r="AO640" s="8">
        <f t="shared" si="21"/>
        <v>75.700000759999995</v>
      </c>
      <c r="AP640" s="5">
        <f t="shared" si="22"/>
        <v>2</v>
      </c>
    </row>
    <row r="641" spans="38:42" x14ac:dyDescent="0.25">
      <c r="AL641" s="54">
        <v>75.789999839999993</v>
      </c>
      <c r="AM641" s="5">
        <v>0</v>
      </c>
      <c r="AO641" s="8">
        <f t="shared" si="21"/>
        <v>75.789999839999993</v>
      </c>
      <c r="AP641" s="5">
        <f t="shared" si="22"/>
        <v>0</v>
      </c>
    </row>
    <row r="642" spans="38:42" x14ac:dyDescent="0.25">
      <c r="AL642" s="54">
        <v>76.41000056</v>
      </c>
      <c r="AM642" s="5">
        <v>0</v>
      </c>
      <c r="AO642" s="8">
        <f t="shared" si="21"/>
        <v>76.41000056</v>
      </c>
      <c r="AP642" s="5">
        <f t="shared" si="22"/>
        <v>0</v>
      </c>
    </row>
    <row r="643" spans="38:42" x14ac:dyDescent="0.25">
      <c r="AL643" s="54">
        <v>76.439999580000006</v>
      </c>
      <c r="AM643" s="5">
        <v>1</v>
      </c>
      <c r="AO643" s="8">
        <f t="shared" si="21"/>
        <v>76.439999580000006</v>
      </c>
      <c r="AP643" s="5">
        <f t="shared" si="22"/>
        <v>1</v>
      </c>
    </row>
    <row r="644" spans="38:42" x14ac:dyDescent="0.25">
      <c r="AL644" s="54">
        <v>76.680000250000006</v>
      </c>
      <c r="AM644" s="5">
        <v>1</v>
      </c>
      <c r="AO644" s="8">
        <f t="shared" si="21"/>
        <v>76.680000250000006</v>
      </c>
      <c r="AP644" s="5">
        <f t="shared" si="22"/>
        <v>1</v>
      </c>
    </row>
    <row r="645" spans="38:42" x14ac:dyDescent="0.25">
      <c r="AL645" s="54">
        <v>76.759999160000007</v>
      </c>
      <c r="AM645" s="5">
        <v>0</v>
      </c>
      <c r="AO645" s="8">
        <f t="shared" si="21"/>
        <v>76.759999160000007</v>
      </c>
      <c r="AP645" s="5">
        <f t="shared" si="22"/>
        <v>0</v>
      </c>
    </row>
    <row r="646" spans="38:42" x14ac:dyDescent="0.25">
      <c r="AL646" s="54">
        <v>76.839999320000004</v>
      </c>
      <c r="AM646" s="5">
        <v>0</v>
      </c>
      <c r="AO646" s="8">
        <f t="shared" si="21"/>
        <v>76.839999320000004</v>
      </c>
      <c r="AP646" s="5">
        <f t="shared" si="22"/>
        <v>0</v>
      </c>
    </row>
    <row r="647" spans="38:42" x14ac:dyDescent="0.25">
      <c r="AL647" s="54">
        <v>76.899999679999993</v>
      </c>
      <c r="AM647" s="5">
        <v>1</v>
      </c>
      <c r="AO647" s="8">
        <f t="shared" si="21"/>
        <v>76.899999679999993</v>
      </c>
      <c r="AP647" s="5">
        <f t="shared" si="22"/>
        <v>1</v>
      </c>
    </row>
    <row r="648" spans="38:42" x14ac:dyDescent="0.25">
      <c r="AL648" s="54">
        <v>77.079999689999994</v>
      </c>
      <c r="AM648" s="5">
        <v>0</v>
      </c>
      <c r="AO648" s="8">
        <f t="shared" si="21"/>
        <v>77.079999689999994</v>
      </c>
      <c r="AP648" s="5">
        <f t="shared" si="22"/>
        <v>0</v>
      </c>
    </row>
    <row r="649" spans="38:42" x14ac:dyDescent="0.25">
      <c r="AL649" s="54">
        <v>77.590000270000004</v>
      </c>
      <c r="AM649" s="5">
        <v>1</v>
      </c>
      <c r="AO649" s="8">
        <f t="shared" si="21"/>
        <v>77.590000270000004</v>
      </c>
      <c r="AP649" s="5">
        <f t="shared" si="22"/>
        <v>1</v>
      </c>
    </row>
    <row r="650" spans="38:42" x14ac:dyDescent="0.25">
      <c r="AL650" s="54">
        <v>77.599999789999998</v>
      </c>
      <c r="AM650" s="5">
        <v>2</v>
      </c>
      <c r="AO650" s="8">
        <f t="shared" ref="AO650:AO713" si="23">AL650</f>
        <v>77.599999789999998</v>
      </c>
      <c r="AP650" s="5">
        <f t="shared" ref="AP650:AP713" si="24">AM650</f>
        <v>2</v>
      </c>
    </row>
    <row r="651" spans="38:42" x14ac:dyDescent="0.25">
      <c r="AL651" s="54">
        <v>78.039999839999993</v>
      </c>
      <c r="AM651" s="5">
        <v>1</v>
      </c>
      <c r="AO651" s="8">
        <f t="shared" si="23"/>
        <v>78.039999839999993</v>
      </c>
      <c r="AP651" s="5">
        <f t="shared" si="24"/>
        <v>1</v>
      </c>
    </row>
    <row r="652" spans="38:42" x14ac:dyDescent="0.25">
      <c r="AL652" s="54">
        <v>78.060000419999994</v>
      </c>
      <c r="AM652" s="5">
        <v>0</v>
      </c>
      <c r="AO652" s="8">
        <f t="shared" si="23"/>
        <v>78.060000419999994</v>
      </c>
      <c r="AP652" s="5">
        <f t="shared" si="24"/>
        <v>0</v>
      </c>
    </row>
    <row r="653" spans="38:42" x14ac:dyDescent="0.25">
      <c r="AL653" s="54">
        <v>78.459999319999994</v>
      </c>
      <c r="AM653" s="5">
        <v>1</v>
      </c>
      <c r="AO653" s="8">
        <f t="shared" si="23"/>
        <v>78.459999319999994</v>
      </c>
      <c r="AP653" s="5">
        <f t="shared" si="24"/>
        <v>1</v>
      </c>
    </row>
    <row r="654" spans="38:42" x14ac:dyDescent="0.25">
      <c r="AL654" s="54">
        <v>78.920000200000004</v>
      </c>
      <c r="AM654" s="5">
        <v>1</v>
      </c>
      <c r="AO654" s="8">
        <f t="shared" si="23"/>
        <v>78.920000200000004</v>
      </c>
      <c r="AP654" s="5">
        <f t="shared" si="24"/>
        <v>1</v>
      </c>
    </row>
    <row r="655" spans="38:42" x14ac:dyDescent="0.25">
      <c r="AL655" s="54">
        <v>80.339999789999993</v>
      </c>
      <c r="AM655" s="5">
        <v>0</v>
      </c>
      <c r="AO655" s="8">
        <f t="shared" si="23"/>
        <v>80.339999789999993</v>
      </c>
      <c r="AP655" s="5">
        <f t="shared" si="24"/>
        <v>0</v>
      </c>
    </row>
    <row r="656" spans="38:42" x14ac:dyDescent="0.25">
      <c r="AL656" s="54">
        <v>81.360000249999999</v>
      </c>
      <c r="AM656" s="5">
        <v>1</v>
      </c>
      <c r="AO656" s="8">
        <f t="shared" si="23"/>
        <v>81.360000249999999</v>
      </c>
      <c r="AP656" s="5">
        <f t="shared" si="24"/>
        <v>1</v>
      </c>
    </row>
    <row r="657" spans="38:42" x14ac:dyDescent="0.25">
      <c r="AL657" s="54">
        <v>81.609997870000001</v>
      </c>
      <c r="AM657" s="5">
        <v>0</v>
      </c>
      <c r="AO657" s="8">
        <f t="shared" si="23"/>
        <v>81.609997870000001</v>
      </c>
      <c r="AP657" s="5">
        <f t="shared" si="24"/>
        <v>0</v>
      </c>
    </row>
    <row r="658" spans="38:42" x14ac:dyDescent="0.25">
      <c r="AL658" s="54">
        <v>82.139999149999994</v>
      </c>
      <c r="AM658" s="5">
        <v>2</v>
      </c>
      <c r="AO658" s="8">
        <f t="shared" si="23"/>
        <v>82.139999149999994</v>
      </c>
      <c r="AP658" s="5">
        <f t="shared" si="24"/>
        <v>2</v>
      </c>
    </row>
    <row r="659" spans="38:42" x14ac:dyDescent="0.25">
      <c r="AL659" s="54">
        <v>82.279999020000005</v>
      </c>
      <c r="AM659" s="5">
        <v>0</v>
      </c>
      <c r="AO659" s="8">
        <f t="shared" si="23"/>
        <v>82.279999020000005</v>
      </c>
      <c r="AP659" s="5">
        <f t="shared" si="24"/>
        <v>0</v>
      </c>
    </row>
    <row r="660" spans="38:42" x14ac:dyDescent="0.25">
      <c r="AL660" s="54">
        <v>82.929998870000006</v>
      </c>
      <c r="AM660" s="5">
        <v>0</v>
      </c>
      <c r="AO660" s="8">
        <f t="shared" si="23"/>
        <v>82.929998870000006</v>
      </c>
      <c r="AP660" s="5">
        <f t="shared" si="24"/>
        <v>0</v>
      </c>
    </row>
    <row r="661" spans="38:42" x14ac:dyDescent="0.25">
      <c r="AL661" s="54">
        <v>83.480001209999998</v>
      </c>
      <c r="AM661" s="5">
        <v>2</v>
      </c>
      <c r="AO661" s="8">
        <f t="shared" si="23"/>
        <v>83.480001209999998</v>
      </c>
      <c r="AP661" s="5">
        <f t="shared" si="24"/>
        <v>2</v>
      </c>
    </row>
    <row r="662" spans="38:42" x14ac:dyDescent="0.25">
      <c r="AL662" s="54">
        <v>84.510000230000003</v>
      </c>
      <c r="AM662" s="5">
        <v>2</v>
      </c>
      <c r="AO662" s="8">
        <f t="shared" si="23"/>
        <v>84.510000230000003</v>
      </c>
      <c r="AP662" s="5">
        <f t="shared" si="24"/>
        <v>2</v>
      </c>
    </row>
    <row r="663" spans="38:42" x14ac:dyDescent="0.25">
      <c r="AL663" s="54">
        <v>84.659998889999997</v>
      </c>
      <c r="AM663" s="5">
        <v>1</v>
      </c>
      <c r="AO663" s="8">
        <f t="shared" si="23"/>
        <v>84.659998889999997</v>
      </c>
      <c r="AP663" s="5">
        <f t="shared" si="24"/>
        <v>1</v>
      </c>
    </row>
    <row r="664" spans="38:42" x14ac:dyDescent="0.25">
      <c r="AL664" s="54">
        <v>85.700001959999994</v>
      </c>
      <c r="AM664" s="5">
        <v>0</v>
      </c>
      <c r="AO664" s="8">
        <f t="shared" si="23"/>
        <v>85.700001959999994</v>
      </c>
      <c r="AP664" s="5">
        <f t="shared" si="24"/>
        <v>0</v>
      </c>
    </row>
    <row r="665" spans="38:42" x14ac:dyDescent="0.25">
      <c r="AL665" s="54">
        <v>86.330001120000006</v>
      </c>
      <c r="AM665" s="5">
        <v>2</v>
      </c>
      <c r="AO665" s="8">
        <f t="shared" si="23"/>
        <v>86.330001120000006</v>
      </c>
      <c r="AP665" s="5">
        <f t="shared" si="24"/>
        <v>2</v>
      </c>
    </row>
    <row r="666" spans="38:42" x14ac:dyDescent="0.25">
      <c r="AL666" s="54">
        <v>87.420000790000003</v>
      </c>
      <c r="AM666" s="5">
        <v>0</v>
      </c>
      <c r="AO666" s="8">
        <f t="shared" si="23"/>
        <v>87.420000790000003</v>
      </c>
      <c r="AP666" s="5">
        <f t="shared" si="24"/>
        <v>0</v>
      </c>
    </row>
    <row r="667" spans="38:42" x14ac:dyDescent="0.25">
      <c r="AL667" s="54">
        <v>87.550000670000003</v>
      </c>
      <c r="AM667" s="5">
        <v>0</v>
      </c>
      <c r="AO667" s="8">
        <f t="shared" si="23"/>
        <v>87.550000670000003</v>
      </c>
      <c r="AP667" s="5">
        <f t="shared" si="24"/>
        <v>0</v>
      </c>
    </row>
    <row r="668" spans="38:42" x14ac:dyDescent="0.25">
      <c r="AL668" s="54">
        <v>87.730000500000003</v>
      </c>
      <c r="AM668" s="5">
        <v>0</v>
      </c>
      <c r="AO668" s="8">
        <f t="shared" si="23"/>
        <v>87.730000500000003</v>
      </c>
      <c r="AP668" s="5">
        <f t="shared" si="24"/>
        <v>0</v>
      </c>
    </row>
    <row r="669" spans="38:42" x14ac:dyDescent="0.25">
      <c r="AL669" s="54">
        <v>87.789999600000002</v>
      </c>
      <c r="AM669" s="5">
        <v>1</v>
      </c>
      <c r="AO669" s="8">
        <f t="shared" si="23"/>
        <v>87.789999600000002</v>
      </c>
      <c r="AP669" s="5">
        <f t="shared" si="24"/>
        <v>1</v>
      </c>
    </row>
    <row r="670" spans="38:42" x14ac:dyDescent="0.25">
      <c r="AL670" s="54">
        <v>87.990001680000006</v>
      </c>
      <c r="AM670" s="5">
        <v>2</v>
      </c>
      <c r="AO670" s="8">
        <f t="shared" si="23"/>
        <v>87.990001680000006</v>
      </c>
      <c r="AP670" s="5">
        <f t="shared" si="24"/>
        <v>2</v>
      </c>
    </row>
    <row r="671" spans="38:42" x14ac:dyDescent="0.25">
      <c r="AL671" s="54">
        <v>88.210000160000007</v>
      </c>
      <c r="AM671" s="5">
        <v>2</v>
      </c>
      <c r="AO671" s="8">
        <f t="shared" si="23"/>
        <v>88.210000160000007</v>
      </c>
      <c r="AP671" s="5">
        <f t="shared" si="24"/>
        <v>2</v>
      </c>
    </row>
    <row r="672" spans="38:42" x14ac:dyDescent="0.25">
      <c r="AL672" s="54">
        <v>89.350000260000002</v>
      </c>
      <c r="AM672" s="5">
        <v>0</v>
      </c>
      <c r="AO672" s="8">
        <f t="shared" si="23"/>
        <v>89.350000260000002</v>
      </c>
      <c r="AP672" s="5">
        <f t="shared" si="24"/>
        <v>0</v>
      </c>
    </row>
    <row r="673" spans="38:42" x14ac:dyDescent="0.25">
      <c r="AL673" s="54">
        <v>89.760000469999994</v>
      </c>
      <c r="AM673" s="5">
        <v>1</v>
      </c>
      <c r="AO673" s="8">
        <f t="shared" si="23"/>
        <v>89.760000469999994</v>
      </c>
      <c r="AP673" s="5">
        <f t="shared" si="24"/>
        <v>1</v>
      </c>
    </row>
    <row r="674" spans="38:42" x14ac:dyDescent="0.25">
      <c r="AL674" s="54">
        <v>91.000000540000002</v>
      </c>
      <c r="AM674" s="5">
        <v>1</v>
      </c>
      <c r="AO674" s="8">
        <f t="shared" si="23"/>
        <v>91.000000540000002</v>
      </c>
      <c r="AP674" s="5">
        <f t="shared" si="24"/>
        <v>1</v>
      </c>
    </row>
    <row r="675" spans="38:42" x14ac:dyDescent="0.25">
      <c r="AL675" s="54">
        <v>93.070000410000006</v>
      </c>
      <c r="AM675" s="5">
        <v>0</v>
      </c>
      <c r="AO675" s="8">
        <f t="shared" si="23"/>
        <v>93.070000410000006</v>
      </c>
      <c r="AP675" s="5">
        <f t="shared" si="24"/>
        <v>0</v>
      </c>
    </row>
    <row r="676" spans="38:42" x14ac:dyDescent="0.25">
      <c r="AL676" s="54">
        <v>93.089999910000003</v>
      </c>
      <c r="AM676" s="5">
        <v>3</v>
      </c>
      <c r="AO676" s="8">
        <f t="shared" si="23"/>
        <v>93.089999910000003</v>
      </c>
      <c r="AP676" s="5">
        <f t="shared" si="24"/>
        <v>3</v>
      </c>
    </row>
    <row r="677" spans="38:42" x14ac:dyDescent="0.25">
      <c r="AL677" s="54">
        <v>95.510001299999999</v>
      </c>
      <c r="AM677" s="5">
        <v>4</v>
      </c>
      <c r="AO677" s="8">
        <f t="shared" si="23"/>
        <v>95.510001299999999</v>
      </c>
      <c r="AP677" s="5">
        <f t="shared" si="24"/>
        <v>4</v>
      </c>
    </row>
    <row r="678" spans="38:42" x14ac:dyDescent="0.25">
      <c r="AL678" s="54">
        <v>95.84999895</v>
      </c>
      <c r="AM678" s="5">
        <v>0</v>
      </c>
      <c r="AO678" s="8">
        <f t="shared" si="23"/>
        <v>95.84999895</v>
      </c>
      <c r="AP678" s="5">
        <f t="shared" si="24"/>
        <v>0</v>
      </c>
    </row>
    <row r="679" spans="38:42" x14ac:dyDescent="0.25">
      <c r="AL679" s="54">
        <v>95.850000499999993</v>
      </c>
      <c r="AM679" s="5">
        <v>1</v>
      </c>
      <c r="AO679" s="8">
        <f t="shared" si="23"/>
        <v>95.850000499999993</v>
      </c>
      <c r="AP679" s="5">
        <f t="shared" si="24"/>
        <v>1</v>
      </c>
    </row>
    <row r="680" spans="38:42" x14ac:dyDescent="0.25">
      <c r="AL680" s="54">
        <v>96.48000073</v>
      </c>
      <c r="AM680" s="5">
        <v>0</v>
      </c>
      <c r="AO680" s="8">
        <f t="shared" si="23"/>
        <v>96.48000073</v>
      </c>
      <c r="AP680" s="5">
        <f t="shared" si="24"/>
        <v>0</v>
      </c>
    </row>
    <row r="681" spans="38:42" x14ac:dyDescent="0.25">
      <c r="AL681" s="54">
        <v>96.800000549999993</v>
      </c>
      <c r="AM681" s="5">
        <v>0</v>
      </c>
      <c r="AO681" s="8">
        <f t="shared" si="23"/>
        <v>96.800000549999993</v>
      </c>
      <c r="AP681" s="5">
        <f t="shared" si="24"/>
        <v>0</v>
      </c>
    </row>
    <row r="682" spans="38:42" x14ac:dyDescent="0.25">
      <c r="AL682" s="54">
        <v>96.8999989</v>
      </c>
      <c r="AM682" s="5">
        <v>1</v>
      </c>
      <c r="AO682" s="8">
        <f t="shared" si="23"/>
        <v>96.8999989</v>
      </c>
      <c r="AP682" s="5">
        <f t="shared" si="24"/>
        <v>1</v>
      </c>
    </row>
    <row r="683" spans="38:42" x14ac:dyDescent="0.25">
      <c r="AL683" s="54">
        <v>98.550000190000006</v>
      </c>
      <c r="AM683" s="5">
        <v>0</v>
      </c>
      <c r="AO683" s="8">
        <f t="shared" si="23"/>
        <v>98.550000190000006</v>
      </c>
      <c r="AP683" s="5">
        <f t="shared" si="24"/>
        <v>0</v>
      </c>
    </row>
    <row r="684" spans="38:42" x14ac:dyDescent="0.25">
      <c r="AL684" s="54">
        <v>98.700000169999996</v>
      </c>
      <c r="AM684" s="5">
        <v>2</v>
      </c>
      <c r="AO684" s="8">
        <f t="shared" si="23"/>
        <v>98.700000169999996</v>
      </c>
      <c r="AP684" s="5">
        <f t="shared" si="24"/>
        <v>2</v>
      </c>
    </row>
    <row r="685" spans="38:42" x14ac:dyDescent="0.25">
      <c r="AL685" s="54">
        <v>99.179998400000002</v>
      </c>
      <c r="AM685" s="5">
        <v>1</v>
      </c>
      <c r="AO685" s="8">
        <f t="shared" si="23"/>
        <v>99.179998400000002</v>
      </c>
      <c r="AP685" s="5">
        <f t="shared" si="24"/>
        <v>1</v>
      </c>
    </row>
    <row r="686" spans="38:42" x14ac:dyDescent="0.25">
      <c r="AL686" s="54">
        <v>99.52000237</v>
      </c>
      <c r="AM686" s="5">
        <v>2</v>
      </c>
      <c r="AO686" s="8">
        <f t="shared" si="23"/>
        <v>99.52000237</v>
      </c>
      <c r="AP686" s="5">
        <f t="shared" si="24"/>
        <v>2</v>
      </c>
    </row>
    <row r="687" spans="38:42" x14ac:dyDescent="0.25">
      <c r="AL687" s="54">
        <v>100.28999899999999</v>
      </c>
      <c r="AM687" s="5">
        <v>0</v>
      </c>
      <c r="AO687" s="8">
        <f t="shared" si="23"/>
        <v>100.28999899999999</v>
      </c>
      <c r="AP687" s="5">
        <f t="shared" si="24"/>
        <v>0</v>
      </c>
    </row>
    <row r="688" spans="38:42" x14ac:dyDescent="0.25">
      <c r="AL688" s="54">
        <v>100.8800011</v>
      </c>
      <c r="AM688" s="5">
        <v>2</v>
      </c>
      <c r="AO688" s="8">
        <f t="shared" si="23"/>
        <v>100.8800011</v>
      </c>
      <c r="AP688" s="5">
        <f t="shared" si="24"/>
        <v>2</v>
      </c>
    </row>
    <row r="689" spans="38:42" x14ac:dyDescent="0.25">
      <c r="AL689" s="54">
        <v>102.3900002</v>
      </c>
      <c r="AM689" s="5">
        <v>0</v>
      </c>
      <c r="AO689" s="8">
        <f t="shared" si="23"/>
        <v>102.3900002</v>
      </c>
      <c r="AP689" s="5">
        <f t="shared" si="24"/>
        <v>0</v>
      </c>
    </row>
    <row r="690" spans="38:42" x14ac:dyDescent="0.25">
      <c r="AL690" s="54">
        <v>103.15000019999999</v>
      </c>
      <c r="AM690" s="5">
        <v>0</v>
      </c>
      <c r="AO690" s="8">
        <f t="shared" si="23"/>
        <v>103.15000019999999</v>
      </c>
      <c r="AP690" s="5">
        <f t="shared" si="24"/>
        <v>0</v>
      </c>
    </row>
    <row r="691" spans="38:42" x14ac:dyDescent="0.25">
      <c r="AL691" s="54">
        <v>103.3899996</v>
      </c>
      <c r="AM691" s="5">
        <v>4</v>
      </c>
      <c r="AO691" s="8">
        <f t="shared" si="23"/>
        <v>103.3899996</v>
      </c>
      <c r="AP691" s="5">
        <f t="shared" si="24"/>
        <v>4</v>
      </c>
    </row>
    <row r="692" spans="38:42" x14ac:dyDescent="0.25">
      <c r="AL692" s="54">
        <v>104.4599996</v>
      </c>
      <c r="AM692" s="5">
        <v>0</v>
      </c>
      <c r="AO692" s="8">
        <f t="shared" si="23"/>
        <v>104.4599996</v>
      </c>
      <c r="AP692" s="5">
        <f t="shared" si="24"/>
        <v>0</v>
      </c>
    </row>
    <row r="693" spans="38:42" x14ac:dyDescent="0.25">
      <c r="AL693" s="54">
        <v>104.68999890000001</v>
      </c>
      <c r="AM693" s="5">
        <v>0</v>
      </c>
      <c r="AO693" s="8">
        <f t="shared" si="23"/>
        <v>104.68999890000001</v>
      </c>
      <c r="AP693" s="5">
        <f t="shared" si="24"/>
        <v>0</v>
      </c>
    </row>
    <row r="694" spans="38:42" x14ac:dyDescent="0.25">
      <c r="AL694" s="54">
        <v>105.0199997</v>
      </c>
      <c r="AM694" s="5">
        <v>6</v>
      </c>
      <c r="AO694" s="8">
        <f t="shared" si="23"/>
        <v>105.0199997</v>
      </c>
      <c r="AP694" s="5">
        <f t="shared" si="24"/>
        <v>6</v>
      </c>
    </row>
    <row r="695" spans="38:42" x14ac:dyDescent="0.25">
      <c r="AL695" s="54">
        <v>105.2199969</v>
      </c>
      <c r="AM695" s="5">
        <v>2</v>
      </c>
      <c r="AO695" s="8">
        <f t="shared" si="23"/>
        <v>105.2199969</v>
      </c>
      <c r="AP695" s="5">
        <f t="shared" si="24"/>
        <v>2</v>
      </c>
    </row>
    <row r="696" spans="38:42" x14ac:dyDescent="0.25">
      <c r="AL696" s="54">
        <v>105.4500008</v>
      </c>
      <c r="AM696" s="5">
        <v>1</v>
      </c>
      <c r="AO696" s="8">
        <f t="shared" si="23"/>
        <v>105.4500008</v>
      </c>
      <c r="AP696" s="5">
        <f t="shared" si="24"/>
        <v>1</v>
      </c>
    </row>
    <row r="697" spans="38:42" x14ac:dyDescent="0.25">
      <c r="AL697" s="54">
        <v>105.6600007</v>
      </c>
      <c r="AM697" s="5">
        <v>0</v>
      </c>
      <c r="AO697" s="8">
        <f t="shared" si="23"/>
        <v>105.6600007</v>
      </c>
      <c r="AP697" s="5">
        <f t="shared" si="24"/>
        <v>0</v>
      </c>
    </row>
    <row r="698" spans="38:42" x14ac:dyDescent="0.25">
      <c r="AL698" s="54">
        <v>105.7099996</v>
      </c>
      <c r="AM698" s="5">
        <v>2</v>
      </c>
      <c r="AO698" s="8">
        <f t="shared" si="23"/>
        <v>105.7099996</v>
      </c>
      <c r="AP698" s="5">
        <f t="shared" si="24"/>
        <v>2</v>
      </c>
    </row>
    <row r="699" spans="38:42" x14ac:dyDescent="0.25">
      <c r="AL699" s="54">
        <v>106.9299998</v>
      </c>
      <c r="AM699" s="5">
        <v>6</v>
      </c>
      <c r="AO699" s="8">
        <f t="shared" si="23"/>
        <v>106.9299998</v>
      </c>
      <c r="AP699" s="5">
        <f t="shared" si="24"/>
        <v>6</v>
      </c>
    </row>
    <row r="700" spans="38:42" x14ac:dyDescent="0.25">
      <c r="AL700" s="54">
        <v>109.2500008</v>
      </c>
      <c r="AM700" s="5">
        <v>0</v>
      </c>
      <c r="AO700" s="8">
        <f t="shared" si="23"/>
        <v>109.2500008</v>
      </c>
      <c r="AP700" s="5">
        <f t="shared" si="24"/>
        <v>0</v>
      </c>
    </row>
    <row r="701" spans="38:42" x14ac:dyDescent="0.25">
      <c r="AL701" s="54">
        <v>110.23999910000001</v>
      </c>
      <c r="AM701" s="5">
        <v>2</v>
      </c>
      <c r="AO701" s="8">
        <f t="shared" si="23"/>
        <v>110.23999910000001</v>
      </c>
      <c r="AP701" s="5">
        <f t="shared" si="24"/>
        <v>2</v>
      </c>
    </row>
    <row r="702" spans="38:42" x14ac:dyDescent="0.25">
      <c r="AL702" s="54">
        <v>110.7800021</v>
      </c>
      <c r="AM702" s="5">
        <v>2</v>
      </c>
      <c r="AO702" s="8">
        <f t="shared" si="23"/>
        <v>110.7800021</v>
      </c>
      <c r="AP702" s="5">
        <f t="shared" si="24"/>
        <v>2</v>
      </c>
    </row>
    <row r="703" spans="38:42" x14ac:dyDescent="0.25">
      <c r="AL703" s="54">
        <v>111.6500003</v>
      </c>
      <c r="AM703" s="5">
        <v>0</v>
      </c>
      <c r="AO703" s="8">
        <f t="shared" si="23"/>
        <v>111.6500003</v>
      </c>
      <c r="AP703" s="5">
        <f t="shared" si="24"/>
        <v>0</v>
      </c>
    </row>
    <row r="704" spans="38:42" x14ac:dyDescent="0.25">
      <c r="AL704" s="54">
        <v>111.9899995</v>
      </c>
      <c r="AM704" s="5">
        <v>3</v>
      </c>
      <c r="AO704" s="8">
        <f t="shared" si="23"/>
        <v>111.9899995</v>
      </c>
      <c r="AP704" s="5">
        <f t="shared" si="24"/>
        <v>3</v>
      </c>
    </row>
    <row r="705" spans="38:42" x14ac:dyDescent="0.25">
      <c r="AL705" s="54">
        <v>113.68000290000001</v>
      </c>
      <c r="AM705" s="5">
        <v>4</v>
      </c>
      <c r="AO705" s="8">
        <f t="shared" si="23"/>
        <v>113.68000290000001</v>
      </c>
      <c r="AP705" s="5">
        <f t="shared" si="24"/>
        <v>4</v>
      </c>
    </row>
    <row r="706" spans="38:42" x14ac:dyDescent="0.25">
      <c r="AL706" s="54">
        <v>113.99000119999999</v>
      </c>
      <c r="AM706" s="5">
        <v>3</v>
      </c>
      <c r="AO706" s="8">
        <f t="shared" si="23"/>
        <v>113.99000119999999</v>
      </c>
      <c r="AP706" s="5">
        <f t="shared" si="24"/>
        <v>3</v>
      </c>
    </row>
    <row r="707" spans="38:42" x14ac:dyDescent="0.25">
      <c r="AL707" s="54">
        <v>114.8599998</v>
      </c>
      <c r="AM707" s="5">
        <v>0</v>
      </c>
      <c r="AO707" s="8">
        <f t="shared" si="23"/>
        <v>114.8599998</v>
      </c>
      <c r="AP707" s="5">
        <f t="shared" si="24"/>
        <v>0</v>
      </c>
    </row>
    <row r="708" spans="38:42" x14ac:dyDescent="0.25">
      <c r="AL708" s="54">
        <v>115.1200008</v>
      </c>
      <c r="AM708" s="5">
        <v>5</v>
      </c>
      <c r="AO708" s="8">
        <f t="shared" si="23"/>
        <v>115.1200008</v>
      </c>
      <c r="AP708" s="5">
        <f t="shared" si="24"/>
        <v>5</v>
      </c>
    </row>
    <row r="709" spans="38:42" x14ac:dyDescent="0.25">
      <c r="AL709" s="54">
        <v>115.66000080000001</v>
      </c>
      <c r="AM709" s="5">
        <v>0</v>
      </c>
      <c r="AO709" s="8">
        <f t="shared" si="23"/>
        <v>115.66000080000001</v>
      </c>
      <c r="AP709" s="5">
        <f t="shared" si="24"/>
        <v>0</v>
      </c>
    </row>
    <row r="710" spans="38:42" x14ac:dyDescent="0.25">
      <c r="AL710" s="54">
        <v>115.8800026</v>
      </c>
      <c r="AM710" s="5">
        <v>0</v>
      </c>
      <c r="AO710" s="8">
        <f t="shared" si="23"/>
        <v>115.8800026</v>
      </c>
      <c r="AP710" s="5">
        <f t="shared" si="24"/>
        <v>0</v>
      </c>
    </row>
    <row r="711" spans="38:42" x14ac:dyDescent="0.25">
      <c r="AL711" s="54">
        <v>116.3399996</v>
      </c>
      <c r="AM711" s="5">
        <v>2</v>
      </c>
      <c r="AO711" s="8">
        <f t="shared" si="23"/>
        <v>116.3399996</v>
      </c>
      <c r="AP711" s="5">
        <f t="shared" si="24"/>
        <v>2</v>
      </c>
    </row>
    <row r="712" spans="38:42" x14ac:dyDescent="0.25">
      <c r="AL712" s="54">
        <v>116.5599996</v>
      </c>
      <c r="AM712" s="5">
        <v>0</v>
      </c>
      <c r="AO712" s="8">
        <f t="shared" si="23"/>
        <v>116.5599996</v>
      </c>
      <c r="AP712" s="5">
        <f t="shared" si="24"/>
        <v>0</v>
      </c>
    </row>
    <row r="713" spans="38:42" x14ac:dyDescent="0.25">
      <c r="AL713" s="54">
        <v>116.8800001</v>
      </c>
      <c r="AM713" s="5">
        <v>2</v>
      </c>
      <c r="AO713" s="8">
        <f t="shared" si="23"/>
        <v>116.8800001</v>
      </c>
      <c r="AP713" s="5">
        <f t="shared" si="24"/>
        <v>2</v>
      </c>
    </row>
    <row r="714" spans="38:42" x14ac:dyDescent="0.25">
      <c r="AL714" s="54">
        <v>116.98999809999999</v>
      </c>
      <c r="AM714" s="5">
        <v>0</v>
      </c>
      <c r="AO714" s="8">
        <f t="shared" ref="AO714:AO777" si="25">AL714</f>
        <v>116.98999809999999</v>
      </c>
      <c r="AP714" s="5">
        <f t="shared" ref="AP714:AP777" si="26">AM714</f>
        <v>0</v>
      </c>
    </row>
    <row r="715" spans="38:42" x14ac:dyDescent="0.25">
      <c r="AL715" s="54">
        <v>117.3400005</v>
      </c>
      <c r="AM715" s="5">
        <v>1</v>
      </c>
      <c r="AO715" s="8">
        <f t="shared" si="25"/>
        <v>117.3400005</v>
      </c>
      <c r="AP715" s="5">
        <f t="shared" si="26"/>
        <v>1</v>
      </c>
    </row>
    <row r="716" spans="38:42" x14ac:dyDescent="0.25">
      <c r="AL716" s="54">
        <v>117.55999970000001</v>
      </c>
      <c r="AM716" s="5">
        <v>1</v>
      </c>
      <c r="AO716" s="8">
        <f t="shared" si="25"/>
        <v>117.55999970000001</v>
      </c>
      <c r="AP716" s="5">
        <f t="shared" si="26"/>
        <v>1</v>
      </c>
    </row>
    <row r="717" spans="38:42" x14ac:dyDescent="0.25">
      <c r="AL717" s="54">
        <v>117.6299995</v>
      </c>
      <c r="AM717" s="5">
        <v>1</v>
      </c>
      <c r="AO717" s="8">
        <f t="shared" si="25"/>
        <v>117.6299995</v>
      </c>
      <c r="AP717" s="5">
        <f t="shared" si="26"/>
        <v>1</v>
      </c>
    </row>
    <row r="718" spans="38:42" x14ac:dyDescent="0.25">
      <c r="AL718" s="54">
        <v>119.64000179999999</v>
      </c>
      <c r="AM718" s="5">
        <v>4</v>
      </c>
      <c r="AO718" s="8">
        <f t="shared" si="25"/>
        <v>119.64000179999999</v>
      </c>
      <c r="AP718" s="5">
        <f t="shared" si="26"/>
        <v>4</v>
      </c>
    </row>
    <row r="719" spans="38:42" x14ac:dyDescent="0.25">
      <c r="AL719" s="54">
        <v>120.2999994</v>
      </c>
      <c r="AM719" s="5">
        <v>1</v>
      </c>
      <c r="AO719" s="8">
        <f t="shared" si="25"/>
        <v>120.2999994</v>
      </c>
      <c r="AP719" s="5">
        <f t="shared" si="26"/>
        <v>1</v>
      </c>
    </row>
    <row r="720" spans="38:42" x14ac:dyDescent="0.25">
      <c r="AL720" s="54">
        <v>120.8799992</v>
      </c>
      <c r="AM720" s="5">
        <v>0</v>
      </c>
      <c r="AO720" s="8">
        <f t="shared" si="25"/>
        <v>120.8799992</v>
      </c>
      <c r="AP720" s="5">
        <f t="shared" si="26"/>
        <v>0</v>
      </c>
    </row>
    <row r="721" spans="38:42" x14ac:dyDescent="0.25">
      <c r="AL721" s="54">
        <v>120.8999977</v>
      </c>
      <c r="AM721" s="5">
        <v>0</v>
      </c>
      <c r="AO721" s="8">
        <f t="shared" si="25"/>
        <v>120.8999977</v>
      </c>
      <c r="AP721" s="5">
        <f t="shared" si="26"/>
        <v>0</v>
      </c>
    </row>
    <row r="722" spans="38:42" x14ac:dyDescent="0.25">
      <c r="AL722" s="54">
        <v>121.0999982</v>
      </c>
      <c r="AM722" s="5">
        <v>3</v>
      </c>
      <c r="AO722" s="8">
        <f t="shared" si="25"/>
        <v>121.0999982</v>
      </c>
      <c r="AP722" s="5">
        <f t="shared" si="26"/>
        <v>3</v>
      </c>
    </row>
    <row r="723" spans="38:42" x14ac:dyDescent="0.25">
      <c r="AL723" s="54">
        <v>122.4</v>
      </c>
      <c r="AM723" s="5">
        <v>5</v>
      </c>
      <c r="AO723" s="8">
        <f t="shared" si="25"/>
        <v>122.4</v>
      </c>
      <c r="AP723" s="5">
        <f t="shared" si="26"/>
        <v>5</v>
      </c>
    </row>
    <row r="724" spans="38:42" x14ac:dyDescent="0.25">
      <c r="AL724" s="54">
        <v>123.0900019</v>
      </c>
      <c r="AM724" s="5">
        <v>4</v>
      </c>
      <c r="AO724" s="8">
        <f t="shared" si="25"/>
        <v>123.0900019</v>
      </c>
      <c r="AP724" s="5">
        <f t="shared" si="26"/>
        <v>4</v>
      </c>
    </row>
    <row r="725" spans="38:42" x14ac:dyDescent="0.25">
      <c r="AL725" s="54">
        <v>123.5500004</v>
      </c>
      <c r="AM725" s="5">
        <v>1</v>
      </c>
      <c r="AO725" s="8">
        <f t="shared" si="25"/>
        <v>123.5500004</v>
      </c>
      <c r="AP725" s="5">
        <f t="shared" si="26"/>
        <v>1</v>
      </c>
    </row>
    <row r="726" spans="38:42" x14ac:dyDescent="0.25">
      <c r="AL726" s="54">
        <v>123.80000099999999</v>
      </c>
      <c r="AM726" s="5">
        <v>2</v>
      </c>
      <c r="AO726" s="8">
        <f t="shared" si="25"/>
        <v>123.80000099999999</v>
      </c>
      <c r="AP726" s="5">
        <f t="shared" si="26"/>
        <v>2</v>
      </c>
    </row>
    <row r="727" spans="38:42" x14ac:dyDescent="0.25">
      <c r="AL727" s="54">
        <v>124.7999995</v>
      </c>
      <c r="AM727" s="5">
        <v>3</v>
      </c>
      <c r="AO727" s="8">
        <f t="shared" si="25"/>
        <v>124.7999995</v>
      </c>
      <c r="AP727" s="5">
        <f t="shared" si="26"/>
        <v>3</v>
      </c>
    </row>
    <row r="728" spans="38:42" x14ac:dyDescent="0.25">
      <c r="AL728" s="54">
        <v>125.2700011</v>
      </c>
      <c r="AM728" s="5">
        <v>1</v>
      </c>
      <c r="AO728" s="8">
        <f t="shared" si="25"/>
        <v>125.2700011</v>
      </c>
      <c r="AP728" s="5">
        <f t="shared" si="26"/>
        <v>1</v>
      </c>
    </row>
    <row r="729" spans="38:42" x14ac:dyDescent="0.25">
      <c r="AL729" s="54">
        <v>126.9299996</v>
      </c>
      <c r="AM729" s="5">
        <v>2</v>
      </c>
      <c r="AO729" s="8">
        <f t="shared" si="25"/>
        <v>126.9299996</v>
      </c>
      <c r="AP729" s="5">
        <f t="shared" si="26"/>
        <v>2</v>
      </c>
    </row>
    <row r="730" spans="38:42" x14ac:dyDescent="0.25">
      <c r="AL730" s="54">
        <v>127.3200028</v>
      </c>
      <c r="AM730" s="5">
        <v>1</v>
      </c>
      <c r="AO730" s="8">
        <f t="shared" si="25"/>
        <v>127.3200028</v>
      </c>
      <c r="AP730" s="5">
        <f t="shared" si="26"/>
        <v>1</v>
      </c>
    </row>
    <row r="731" spans="38:42" x14ac:dyDescent="0.25">
      <c r="AL731" s="54">
        <v>127.56999930000001</v>
      </c>
      <c r="AM731" s="5">
        <v>0</v>
      </c>
      <c r="AO731" s="8">
        <f t="shared" si="25"/>
        <v>127.56999930000001</v>
      </c>
      <c r="AP731" s="5">
        <f t="shared" si="26"/>
        <v>0</v>
      </c>
    </row>
    <row r="732" spans="38:42" x14ac:dyDescent="0.25">
      <c r="AL732" s="54">
        <v>128.27999879999999</v>
      </c>
      <c r="AM732" s="5">
        <v>1</v>
      </c>
      <c r="AO732" s="8">
        <f t="shared" si="25"/>
        <v>128.27999879999999</v>
      </c>
      <c r="AP732" s="5">
        <f t="shared" si="26"/>
        <v>1</v>
      </c>
    </row>
    <row r="733" spans="38:42" x14ac:dyDescent="0.25">
      <c r="AL733" s="54">
        <v>128.6099997</v>
      </c>
      <c r="AM733" s="5">
        <v>3</v>
      </c>
      <c r="AO733" s="8">
        <f t="shared" si="25"/>
        <v>128.6099997</v>
      </c>
      <c r="AP733" s="5">
        <f t="shared" si="26"/>
        <v>3</v>
      </c>
    </row>
    <row r="734" spans="38:42" x14ac:dyDescent="0.25">
      <c r="AL734" s="54">
        <v>130.36000110000001</v>
      </c>
      <c r="AM734" s="5">
        <v>0</v>
      </c>
      <c r="AO734" s="8">
        <f t="shared" si="25"/>
        <v>130.36000110000001</v>
      </c>
      <c r="AP734" s="5">
        <f t="shared" si="26"/>
        <v>0</v>
      </c>
    </row>
    <row r="735" spans="38:42" x14ac:dyDescent="0.25">
      <c r="AL735" s="54">
        <v>131.5799983</v>
      </c>
      <c r="AM735" s="5">
        <v>1</v>
      </c>
      <c r="AO735" s="8">
        <f t="shared" si="25"/>
        <v>131.5799983</v>
      </c>
      <c r="AP735" s="5">
        <f t="shared" si="26"/>
        <v>1</v>
      </c>
    </row>
    <row r="736" spans="38:42" x14ac:dyDescent="0.25">
      <c r="AL736" s="54">
        <v>131.78000059999999</v>
      </c>
      <c r="AM736" s="5">
        <v>1</v>
      </c>
      <c r="AO736" s="8">
        <f t="shared" si="25"/>
        <v>131.78000059999999</v>
      </c>
      <c r="AP736" s="5">
        <f t="shared" si="26"/>
        <v>1</v>
      </c>
    </row>
    <row r="737" spans="38:42" x14ac:dyDescent="0.25">
      <c r="AL737" s="54">
        <v>132.73000070000001</v>
      </c>
      <c r="AM737" s="5">
        <v>1</v>
      </c>
      <c r="AO737" s="8">
        <f t="shared" si="25"/>
        <v>132.73000070000001</v>
      </c>
      <c r="AP737" s="5">
        <f t="shared" si="26"/>
        <v>1</v>
      </c>
    </row>
    <row r="738" spans="38:42" x14ac:dyDescent="0.25">
      <c r="AL738" s="54">
        <v>133.69999859999999</v>
      </c>
      <c r="AM738" s="5">
        <v>2</v>
      </c>
      <c r="AO738" s="8">
        <f t="shared" si="25"/>
        <v>133.69999859999999</v>
      </c>
      <c r="AP738" s="5">
        <f t="shared" si="26"/>
        <v>2</v>
      </c>
    </row>
    <row r="739" spans="38:42" x14ac:dyDescent="0.25">
      <c r="AL739" s="54">
        <v>134.11999750000001</v>
      </c>
      <c r="AM739" s="5">
        <v>1</v>
      </c>
      <c r="AO739" s="8">
        <f t="shared" si="25"/>
        <v>134.11999750000001</v>
      </c>
      <c r="AP739" s="5">
        <f t="shared" si="26"/>
        <v>1</v>
      </c>
    </row>
    <row r="740" spans="38:42" x14ac:dyDescent="0.25">
      <c r="AL740" s="54">
        <v>134.8799999</v>
      </c>
      <c r="AM740" s="5">
        <v>3</v>
      </c>
      <c r="AO740" s="8">
        <f t="shared" si="25"/>
        <v>134.8799999</v>
      </c>
      <c r="AP740" s="5">
        <f t="shared" si="26"/>
        <v>3</v>
      </c>
    </row>
    <row r="741" spans="38:42" x14ac:dyDescent="0.25">
      <c r="AL741" s="54">
        <v>134.88999899999999</v>
      </c>
      <c r="AM741" s="5">
        <v>0</v>
      </c>
      <c r="AO741" s="8">
        <f t="shared" si="25"/>
        <v>134.88999899999999</v>
      </c>
      <c r="AP741" s="5">
        <f t="shared" si="26"/>
        <v>0</v>
      </c>
    </row>
    <row r="742" spans="38:42" x14ac:dyDescent="0.25">
      <c r="AL742" s="54">
        <v>135.75000120000001</v>
      </c>
      <c r="AM742" s="5">
        <v>1</v>
      </c>
      <c r="AO742" s="8">
        <f t="shared" si="25"/>
        <v>135.75000120000001</v>
      </c>
      <c r="AP742" s="5">
        <f t="shared" si="26"/>
        <v>1</v>
      </c>
    </row>
    <row r="743" spans="38:42" x14ac:dyDescent="0.25">
      <c r="AL743" s="54">
        <v>138.7699997</v>
      </c>
      <c r="AM743" s="5">
        <v>2</v>
      </c>
      <c r="AO743" s="8">
        <f t="shared" si="25"/>
        <v>138.7699997</v>
      </c>
      <c r="AP743" s="5">
        <f t="shared" si="26"/>
        <v>2</v>
      </c>
    </row>
    <row r="744" spans="38:42" x14ac:dyDescent="0.25">
      <c r="AL744" s="54">
        <v>138.92000060000001</v>
      </c>
      <c r="AM744" s="5">
        <v>1</v>
      </c>
      <c r="AO744" s="8">
        <f t="shared" si="25"/>
        <v>138.92000060000001</v>
      </c>
      <c r="AP744" s="5">
        <f t="shared" si="26"/>
        <v>1</v>
      </c>
    </row>
    <row r="745" spans="38:42" x14ac:dyDescent="0.25">
      <c r="AL745" s="54">
        <v>140.42000110000001</v>
      </c>
      <c r="AM745" s="5">
        <v>4</v>
      </c>
      <c r="AO745" s="8">
        <f t="shared" si="25"/>
        <v>140.42000110000001</v>
      </c>
      <c r="AP745" s="5">
        <f t="shared" si="26"/>
        <v>4</v>
      </c>
    </row>
    <row r="746" spans="38:42" x14ac:dyDescent="0.25">
      <c r="AL746" s="54">
        <v>140.97000220000001</v>
      </c>
      <c r="AM746" s="5">
        <v>2</v>
      </c>
      <c r="AO746" s="8">
        <f t="shared" si="25"/>
        <v>140.97000220000001</v>
      </c>
      <c r="AP746" s="5">
        <f t="shared" si="26"/>
        <v>2</v>
      </c>
    </row>
    <row r="747" spans="38:42" x14ac:dyDescent="0.25">
      <c r="AL747" s="54">
        <v>142.05000250000001</v>
      </c>
      <c r="AM747" s="5">
        <v>1</v>
      </c>
      <c r="AO747" s="8">
        <f t="shared" si="25"/>
        <v>142.05000250000001</v>
      </c>
      <c r="AP747" s="5">
        <f t="shared" si="26"/>
        <v>1</v>
      </c>
    </row>
    <row r="748" spans="38:42" x14ac:dyDescent="0.25">
      <c r="AL748" s="54">
        <v>142.70999850000001</v>
      </c>
      <c r="AM748" s="5">
        <v>2</v>
      </c>
      <c r="AO748" s="8">
        <f t="shared" si="25"/>
        <v>142.70999850000001</v>
      </c>
      <c r="AP748" s="5">
        <f t="shared" si="26"/>
        <v>2</v>
      </c>
    </row>
    <row r="749" spans="38:42" x14ac:dyDescent="0.25">
      <c r="AL749" s="54">
        <v>143.30000089999999</v>
      </c>
      <c r="AM749" s="5">
        <v>2</v>
      </c>
      <c r="AO749" s="8">
        <f t="shared" si="25"/>
        <v>143.30000089999999</v>
      </c>
      <c r="AP749" s="5">
        <f t="shared" si="26"/>
        <v>2</v>
      </c>
    </row>
    <row r="750" spans="38:42" x14ac:dyDescent="0.25">
      <c r="AL750" s="54">
        <v>143.4300001</v>
      </c>
      <c r="AM750" s="5">
        <v>1</v>
      </c>
      <c r="AO750" s="8">
        <f t="shared" si="25"/>
        <v>143.4300001</v>
      </c>
      <c r="AP750" s="5">
        <f t="shared" si="26"/>
        <v>1</v>
      </c>
    </row>
    <row r="751" spans="38:42" x14ac:dyDescent="0.25">
      <c r="AL751" s="54">
        <v>145.81999740000001</v>
      </c>
      <c r="AM751" s="5">
        <v>1</v>
      </c>
      <c r="AO751" s="8">
        <f t="shared" si="25"/>
        <v>145.81999740000001</v>
      </c>
      <c r="AP751" s="5">
        <f t="shared" si="26"/>
        <v>1</v>
      </c>
    </row>
    <row r="752" spans="38:42" x14ac:dyDescent="0.25">
      <c r="AL752" s="54">
        <v>147.33999900000001</v>
      </c>
      <c r="AM752" s="5">
        <v>1</v>
      </c>
      <c r="AO752" s="8">
        <f t="shared" si="25"/>
        <v>147.33999900000001</v>
      </c>
      <c r="AP752" s="5">
        <f t="shared" si="26"/>
        <v>1</v>
      </c>
    </row>
    <row r="753" spans="38:42" x14ac:dyDescent="0.25">
      <c r="AL753" s="54">
        <v>147.67000060000001</v>
      </c>
      <c r="AM753" s="5">
        <v>0</v>
      </c>
      <c r="AO753" s="8">
        <f t="shared" si="25"/>
        <v>147.67000060000001</v>
      </c>
      <c r="AP753" s="5">
        <f t="shared" si="26"/>
        <v>0</v>
      </c>
    </row>
    <row r="754" spans="38:42" x14ac:dyDescent="0.25">
      <c r="AL754" s="54">
        <v>150.1400012</v>
      </c>
      <c r="AM754" s="5">
        <v>0</v>
      </c>
      <c r="AO754" s="8">
        <f t="shared" si="25"/>
        <v>150.1400012</v>
      </c>
      <c r="AP754" s="5">
        <f t="shared" si="26"/>
        <v>0</v>
      </c>
    </row>
    <row r="755" spans="38:42" x14ac:dyDescent="0.25">
      <c r="AL755" s="54">
        <v>153.11999750000001</v>
      </c>
      <c r="AM755" s="5">
        <v>1</v>
      </c>
      <c r="AO755" s="8">
        <f t="shared" si="25"/>
        <v>153.11999750000001</v>
      </c>
      <c r="AP755" s="5">
        <f t="shared" si="26"/>
        <v>1</v>
      </c>
    </row>
    <row r="756" spans="38:42" x14ac:dyDescent="0.25">
      <c r="AL756" s="54">
        <v>156.11999929999999</v>
      </c>
      <c r="AM756" s="5">
        <v>2</v>
      </c>
      <c r="AO756" s="8">
        <f t="shared" si="25"/>
        <v>156.11999929999999</v>
      </c>
      <c r="AP756" s="5">
        <f t="shared" si="26"/>
        <v>2</v>
      </c>
    </row>
    <row r="757" spans="38:42" x14ac:dyDescent="0.25">
      <c r="AL757" s="54">
        <v>157.32999799999999</v>
      </c>
      <c r="AM757" s="5">
        <v>4</v>
      </c>
      <c r="AO757" s="8">
        <f t="shared" si="25"/>
        <v>157.32999799999999</v>
      </c>
      <c r="AP757" s="5">
        <f t="shared" si="26"/>
        <v>4</v>
      </c>
    </row>
    <row r="758" spans="38:42" x14ac:dyDescent="0.25">
      <c r="AL758" s="54">
        <v>158.05000229999999</v>
      </c>
      <c r="AM758" s="5">
        <v>4</v>
      </c>
      <c r="AO758" s="8">
        <f t="shared" si="25"/>
        <v>158.05000229999999</v>
      </c>
      <c r="AP758" s="5">
        <f t="shared" si="26"/>
        <v>4</v>
      </c>
    </row>
    <row r="759" spans="38:42" x14ac:dyDescent="0.25">
      <c r="AL759" s="54">
        <v>158.59999980000001</v>
      </c>
      <c r="AM759" s="5">
        <v>2</v>
      </c>
      <c r="AO759" s="8">
        <f t="shared" si="25"/>
        <v>158.59999980000001</v>
      </c>
      <c r="AP759" s="5">
        <f t="shared" si="26"/>
        <v>2</v>
      </c>
    </row>
    <row r="760" spans="38:42" x14ac:dyDescent="0.25">
      <c r="AL760" s="54">
        <v>159.29999900000001</v>
      </c>
      <c r="AM760" s="5">
        <v>1</v>
      </c>
      <c r="AO760" s="8">
        <f t="shared" si="25"/>
        <v>159.29999900000001</v>
      </c>
      <c r="AP760" s="5">
        <f t="shared" si="26"/>
        <v>1</v>
      </c>
    </row>
    <row r="761" spans="38:42" x14ac:dyDescent="0.25">
      <c r="AL761" s="54">
        <v>159.57000210000001</v>
      </c>
      <c r="AM761" s="5">
        <v>2</v>
      </c>
      <c r="AO761" s="8">
        <f t="shared" si="25"/>
        <v>159.57000210000001</v>
      </c>
      <c r="AP761" s="5">
        <f t="shared" si="26"/>
        <v>2</v>
      </c>
    </row>
    <row r="762" spans="38:42" x14ac:dyDescent="0.25">
      <c r="AL762" s="54">
        <v>161.90999909999999</v>
      </c>
      <c r="AM762" s="5">
        <v>2</v>
      </c>
      <c r="AO762" s="8">
        <f t="shared" si="25"/>
        <v>161.90999909999999</v>
      </c>
      <c r="AP762" s="5">
        <f t="shared" si="26"/>
        <v>2</v>
      </c>
    </row>
    <row r="763" spans="38:42" x14ac:dyDescent="0.25">
      <c r="AL763" s="54">
        <v>162.63999749999999</v>
      </c>
      <c r="AM763" s="5">
        <v>5</v>
      </c>
      <c r="AO763" s="8">
        <f t="shared" si="25"/>
        <v>162.63999749999999</v>
      </c>
      <c r="AP763" s="5">
        <f t="shared" si="26"/>
        <v>5</v>
      </c>
    </row>
    <row r="764" spans="38:42" x14ac:dyDescent="0.25">
      <c r="AL764" s="54">
        <v>163.36000000000001</v>
      </c>
      <c r="AM764" s="5">
        <v>1</v>
      </c>
      <c r="AO764" s="8">
        <f t="shared" si="25"/>
        <v>163.36000000000001</v>
      </c>
      <c r="AP764" s="5">
        <f t="shared" si="26"/>
        <v>1</v>
      </c>
    </row>
    <row r="765" spans="38:42" x14ac:dyDescent="0.25">
      <c r="AL765" s="54">
        <v>163.8000002</v>
      </c>
      <c r="AM765" s="5">
        <v>9</v>
      </c>
      <c r="AO765" s="8">
        <f t="shared" si="25"/>
        <v>163.8000002</v>
      </c>
      <c r="AP765" s="5">
        <f t="shared" si="26"/>
        <v>9</v>
      </c>
    </row>
    <row r="766" spans="38:42" x14ac:dyDescent="0.25">
      <c r="AL766" s="54">
        <v>163.8999972</v>
      </c>
      <c r="AM766" s="5">
        <v>14</v>
      </c>
      <c r="AO766" s="8">
        <f t="shared" si="25"/>
        <v>163.8999972</v>
      </c>
      <c r="AP766" s="5">
        <f t="shared" si="26"/>
        <v>14</v>
      </c>
    </row>
    <row r="767" spans="38:42" x14ac:dyDescent="0.25">
      <c r="AL767" s="54">
        <v>164.64000150000001</v>
      </c>
      <c r="AM767" s="5">
        <v>0</v>
      </c>
      <c r="AO767" s="8">
        <f t="shared" si="25"/>
        <v>164.64000150000001</v>
      </c>
      <c r="AP767" s="5">
        <f t="shared" si="26"/>
        <v>0</v>
      </c>
    </row>
    <row r="768" spans="38:42" x14ac:dyDescent="0.25">
      <c r="AL768" s="54">
        <v>165.60999870000001</v>
      </c>
      <c r="AM768" s="5">
        <v>2</v>
      </c>
      <c r="AO768" s="8">
        <f t="shared" si="25"/>
        <v>165.60999870000001</v>
      </c>
      <c r="AP768" s="5">
        <f t="shared" si="26"/>
        <v>2</v>
      </c>
    </row>
    <row r="769" spans="38:42" x14ac:dyDescent="0.25">
      <c r="AL769" s="54">
        <v>167.0499997</v>
      </c>
      <c r="AM769" s="5">
        <v>1</v>
      </c>
      <c r="AO769" s="8">
        <f t="shared" si="25"/>
        <v>167.0499997</v>
      </c>
      <c r="AP769" s="5">
        <f t="shared" si="26"/>
        <v>1</v>
      </c>
    </row>
    <row r="770" spans="38:42" x14ac:dyDescent="0.25">
      <c r="AL770" s="54">
        <v>169.66999820000001</v>
      </c>
      <c r="AM770" s="5">
        <v>4</v>
      </c>
      <c r="AO770" s="8">
        <f t="shared" si="25"/>
        <v>169.66999820000001</v>
      </c>
      <c r="AP770" s="5">
        <f t="shared" si="26"/>
        <v>4</v>
      </c>
    </row>
    <row r="771" spans="38:42" x14ac:dyDescent="0.25">
      <c r="AL771" s="54">
        <v>169.91999730000001</v>
      </c>
      <c r="AM771" s="5">
        <v>0</v>
      </c>
      <c r="AO771" s="8">
        <f t="shared" si="25"/>
        <v>169.91999730000001</v>
      </c>
      <c r="AP771" s="5">
        <f t="shared" si="26"/>
        <v>0</v>
      </c>
    </row>
    <row r="772" spans="38:42" x14ac:dyDescent="0.25">
      <c r="AL772" s="54">
        <v>171.97999759999999</v>
      </c>
      <c r="AM772" s="5">
        <v>2</v>
      </c>
      <c r="AO772" s="8">
        <f t="shared" si="25"/>
        <v>171.97999759999999</v>
      </c>
      <c r="AP772" s="5">
        <f t="shared" si="26"/>
        <v>2</v>
      </c>
    </row>
    <row r="773" spans="38:42" x14ac:dyDescent="0.25">
      <c r="AL773" s="54">
        <v>173.76</v>
      </c>
      <c r="AM773" s="5">
        <v>0</v>
      </c>
      <c r="AO773" s="8">
        <f t="shared" si="25"/>
        <v>173.76</v>
      </c>
      <c r="AP773" s="5">
        <f t="shared" si="26"/>
        <v>0</v>
      </c>
    </row>
    <row r="774" spans="38:42" x14ac:dyDescent="0.25">
      <c r="AL774" s="54">
        <v>173.88000349999999</v>
      </c>
      <c r="AM774" s="5">
        <v>0</v>
      </c>
      <c r="AO774" s="8">
        <f t="shared" si="25"/>
        <v>173.88000349999999</v>
      </c>
      <c r="AP774" s="5">
        <f t="shared" si="26"/>
        <v>0</v>
      </c>
    </row>
    <row r="775" spans="38:42" x14ac:dyDescent="0.25">
      <c r="AL775" s="54">
        <v>175.9700005</v>
      </c>
      <c r="AM775" s="5">
        <v>1</v>
      </c>
      <c r="AO775" s="8">
        <f t="shared" si="25"/>
        <v>175.9700005</v>
      </c>
      <c r="AP775" s="5">
        <f t="shared" si="26"/>
        <v>1</v>
      </c>
    </row>
    <row r="776" spans="38:42" x14ac:dyDescent="0.25">
      <c r="AL776" s="54">
        <v>176.37999769999999</v>
      </c>
      <c r="AM776" s="5">
        <v>1</v>
      </c>
      <c r="AO776" s="8">
        <f t="shared" si="25"/>
        <v>176.37999769999999</v>
      </c>
      <c r="AP776" s="5">
        <f t="shared" si="26"/>
        <v>1</v>
      </c>
    </row>
    <row r="777" spans="38:42" x14ac:dyDescent="0.25">
      <c r="AL777" s="54">
        <v>177.1099993</v>
      </c>
      <c r="AM777" s="5">
        <v>2</v>
      </c>
      <c r="AO777" s="8">
        <f t="shared" si="25"/>
        <v>177.1099993</v>
      </c>
      <c r="AP777" s="5">
        <f t="shared" si="26"/>
        <v>2</v>
      </c>
    </row>
    <row r="778" spans="38:42" x14ac:dyDescent="0.25">
      <c r="AL778" s="54">
        <v>177.88999920000001</v>
      </c>
      <c r="AM778" s="5">
        <v>1</v>
      </c>
      <c r="AO778" s="8">
        <f t="shared" ref="AO778:AO841" si="27">AL778</f>
        <v>177.88999920000001</v>
      </c>
      <c r="AP778" s="5">
        <f t="shared" ref="AP778:AP841" si="28">AM778</f>
        <v>1</v>
      </c>
    </row>
    <row r="779" spans="38:42" x14ac:dyDescent="0.25">
      <c r="AL779" s="54">
        <v>178.6700007</v>
      </c>
      <c r="AM779" s="5">
        <v>0</v>
      </c>
      <c r="AO779" s="8">
        <f t="shared" si="27"/>
        <v>178.6700007</v>
      </c>
      <c r="AP779" s="5">
        <f t="shared" si="28"/>
        <v>0</v>
      </c>
    </row>
    <row r="780" spans="38:42" x14ac:dyDescent="0.25">
      <c r="AL780" s="54">
        <v>179.05000100000001</v>
      </c>
      <c r="AM780" s="5">
        <v>3</v>
      </c>
      <c r="AO780" s="8">
        <f t="shared" si="27"/>
        <v>179.05000100000001</v>
      </c>
      <c r="AP780" s="5">
        <f t="shared" si="28"/>
        <v>3</v>
      </c>
    </row>
    <row r="781" spans="38:42" x14ac:dyDescent="0.25">
      <c r="AL781" s="54">
        <v>179.620001</v>
      </c>
      <c r="AM781" s="5">
        <v>1</v>
      </c>
      <c r="AO781" s="8">
        <f t="shared" si="27"/>
        <v>179.620001</v>
      </c>
      <c r="AP781" s="5">
        <f t="shared" si="28"/>
        <v>1</v>
      </c>
    </row>
    <row r="782" spans="38:42" x14ac:dyDescent="0.25">
      <c r="AL782" s="54">
        <v>180.22000120000001</v>
      </c>
      <c r="AM782" s="5">
        <v>0</v>
      </c>
      <c r="AO782" s="8">
        <f t="shared" si="27"/>
        <v>180.22000120000001</v>
      </c>
      <c r="AP782" s="5">
        <f t="shared" si="28"/>
        <v>0</v>
      </c>
    </row>
    <row r="783" spans="38:42" x14ac:dyDescent="0.25">
      <c r="AL783" s="54">
        <v>181.72000109999999</v>
      </c>
      <c r="AM783" s="5">
        <v>0</v>
      </c>
      <c r="AO783" s="8">
        <f t="shared" si="27"/>
        <v>181.72000109999999</v>
      </c>
      <c r="AP783" s="5">
        <f t="shared" si="28"/>
        <v>0</v>
      </c>
    </row>
    <row r="784" spans="38:42" x14ac:dyDescent="0.25">
      <c r="AL784" s="54">
        <v>187.7399978</v>
      </c>
      <c r="AM784" s="5">
        <v>0</v>
      </c>
      <c r="AO784" s="8">
        <f t="shared" si="27"/>
        <v>187.7399978</v>
      </c>
      <c r="AP784" s="5">
        <f t="shared" si="28"/>
        <v>0</v>
      </c>
    </row>
    <row r="785" spans="38:42" x14ac:dyDescent="0.25">
      <c r="AL785" s="54">
        <v>188.51000020000001</v>
      </c>
      <c r="AM785" s="5">
        <v>1</v>
      </c>
      <c r="AO785" s="8">
        <f t="shared" si="27"/>
        <v>188.51000020000001</v>
      </c>
      <c r="AP785" s="5">
        <f t="shared" si="28"/>
        <v>1</v>
      </c>
    </row>
    <row r="786" spans="38:42" x14ac:dyDescent="0.25">
      <c r="AL786" s="54">
        <v>189.12999840000001</v>
      </c>
      <c r="AM786" s="5">
        <v>3</v>
      </c>
      <c r="AO786" s="8">
        <f t="shared" si="27"/>
        <v>189.12999840000001</v>
      </c>
      <c r="AP786" s="5">
        <f t="shared" si="28"/>
        <v>3</v>
      </c>
    </row>
    <row r="787" spans="38:42" x14ac:dyDescent="0.25">
      <c r="AL787" s="54">
        <v>191.419996</v>
      </c>
      <c r="AM787" s="5">
        <v>3</v>
      </c>
      <c r="AO787" s="8">
        <f t="shared" si="27"/>
        <v>191.419996</v>
      </c>
      <c r="AP787" s="5">
        <f t="shared" si="28"/>
        <v>3</v>
      </c>
    </row>
    <row r="788" spans="38:42" x14ac:dyDescent="0.25">
      <c r="AL788" s="54">
        <v>192.92999950000001</v>
      </c>
      <c r="AM788" s="5">
        <v>2</v>
      </c>
      <c r="AO788" s="8">
        <f t="shared" si="27"/>
        <v>192.92999950000001</v>
      </c>
      <c r="AP788" s="5">
        <f t="shared" si="28"/>
        <v>2</v>
      </c>
    </row>
    <row r="789" spans="38:42" x14ac:dyDescent="0.25">
      <c r="AL789" s="54">
        <v>193.65999909999999</v>
      </c>
      <c r="AM789" s="5">
        <v>1</v>
      </c>
      <c r="AO789" s="8">
        <f t="shared" si="27"/>
        <v>193.65999909999999</v>
      </c>
      <c r="AP789" s="5">
        <f t="shared" si="28"/>
        <v>1</v>
      </c>
    </row>
    <row r="790" spans="38:42" x14ac:dyDescent="0.25">
      <c r="AL790" s="54">
        <v>194.80999879999999</v>
      </c>
      <c r="AM790" s="5">
        <v>2</v>
      </c>
      <c r="AO790" s="8">
        <f t="shared" si="27"/>
        <v>194.80999879999999</v>
      </c>
      <c r="AP790" s="5">
        <f t="shared" si="28"/>
        <v>2</v>
      </c>
    </row>
    <row r="791" spans="38:42" x14ac:dyDescent="0.25">
      <c r="AL791" s="54">
        <v>195.07999939999999</v>
      </c>
      <c r="AM791" s="5">
        <v>0</v>
      </c>
      <c r="AO791" s="8">
        <f t="shared" si="27"/>
        <v>195.07999939999999</v>
      </c>
      <c r="AP791" s="5">
        <f t="shared" si="28"/>
        <v>0</v>
      </c>
    </row>
    <row r="792" spans="38:42" x14ac:dyDescent="0.25">
      <c r="AL792" s="54">
        <v>195.14999779999999</v>
      </c>
      <c r="AM792" s="5">
        <v>3</v>
      </c>
      <c r="AO792" s="8">
        <f t="shared" si="27"/>
        <v>195.14999779999999</v>
      </c>
      <c r="AP792" s="5">
        <f t="shared" si="28"/>
        <v>3</v>
      </c>
    </row>
    <row r="793" spans="38:42" x14ac:dyDescent="0.25">
      <c r="AL793" s="54">
        <v>198.0899972</v>
      </c>
      <c r="AM793" s="5">
        <v>1</v>
      </c>
      <c r="AO793" s="8">
        <f t="shared" si="27"/>
        <v>198.0899972</v>
      </c>
      <c r="AP793" s="5">
        <f t="shared" si="28"/>
        <v>1</v>
      </c>
    </row>
    <row r="794" spans="38:42" x14ac:dyDescent="0.25">
      <c r="AL794" s="54">
        <v>198.71000050000001</v>
      </c>
      <c r="AM794" s="5">
        <v>2</v>
      </c>
      <c r="AO794" s="8">
        <f t="shared" si="27"/>
        <v>198.71000050000001</v>
      </c>
      <c r="AP794" s="5">
        <f t="shared" si="28"/>
        <v>2</v>
      </c>
    </row>
    <row r="795" spans="38:42" x14ac:dyDescent="0.25">
      <c r="AL795" s="54">
        <v>200.82999609999999</v>
      </c>
      <c r="AM795" s="5">
        <v>5</v>
      </c>
      <c r="AO795" s="8">
        <f t="shared" si="27"/>
        <v>200.82999609999999</v>
      </c>
      <c r="AP795" s="5">
        <f t="shared" si="28"/>
        <v>5</v>
      </c>
    </row>
    <row r="796" spans="38:42" x14ac:dyDescent="0.25">
      <c r="AL796" s="54">
        <v>201.6000042</v>
      </c>
      <c r="AM796" s="5">
        <v>1</v>
      </c>
      <c r="AO796" s="8">
        <f t="shared" si="27"/>
        <v>201.6000042</v>
      </c>
      <c r="AP796" s="5">
        <f t="shared" si="28"/>
        <v>1</v>
      </c>
    </row>
    <row r="797" spans="38:42" x14ac:dyDescent="0.25">
      <c r="AL797" s="54">
        <v>210.36000060000001</v>
      </c>
      <c r="AM797" s="5">
        <v>2</v>
      </c>
      <c r="AO797" s="8">
        <f t="shared" si="27"/>
        <v>210.36000060000001</v>
      </c>
      <c r="AP797" s="5">
        <f t="shared" si="28"/>
        <v>2</v>
      </c>
    </row>
    <row r="798" spans="38:42" x14ac:dyDescent="0.25">
      <c r="AL798" s="54">
        <v>210.8200028</v>
      </c>
      <c r="AM798" s="5">
        <v>6</v>
      </c>
      <c r="AO798" s="8">
        <f t="shared" si="27"/>
        <v>210.8200028</v>
      </c>
      <c r="AP798" s="5">
        <f t="shared" si="28"/>
        <v>6</v>
      </c>
    </row>
    <row r="799" spans="38:42" x14ac:dyDescent="0.25">
      <c r="AL799" s="54">
        <v>213.6899986</v>
      </c>
      <c r="AM799" s="5">
        <v>5</v>
      </c>
      <c r="AO799" s="8">
        <f t="shared" si="27"/>
        <v>213.6899986</v>
      </c>
      <c r="AP799" s="5">
        <f t="shared" si="28"/>
        <v>5</v>
      </c>
    </row>
    <row r="800" spans="38:42" x14ac:dyDescent="0.25">
      <c r="AL800" s="54">
        <v>215.83999940000001</v>
      </c>
      <c r="AM800" s="5">
        <v>4</v>
      </c>
      <c r="AO800" s="8">
        <f t="shared" si="27"/>
        <v>215.83999940000001</v>
      </c>
      <c r="AP800" s="5">
        <f t="shared" si="28"/>
        <v>4</v>
      </c>
    </row>
    <row r="801" spans="38:42" x14ac:dyDescent="0.25">
      <c r="AL801" s="54">
        <v>216.5599982</v>
      </c>
      <c r="AM801" s="5">
        <v>4</v>
      </c>
      <c r="AO801" s="8">
        <f t="shared" si="27"/>
        <v>216.5599982</v>
      </c>
      <c r="AP801" s="5">
        <f t="shared" si="28"/>
        <v>4</v>
      </c>
    </row>
    <row r="802" spans="38:42" x14ac:dyDescent="0.25">
      <c r="AL802" s="54">
        <v>217.7799966</v>
      </c>
      <c r="AM802" s="5">
        <v>2</v>
      </c>
      <c r="AO802" s="8">
        <f t="shared" si="27"/>
        <v>217.7799966</v>
      </c>
      <c r="AP802" s="5">
        <f t="shared" si="28"/>
        <v>2</v>
      </c>
    </row>
    <row r="803" spans="38:42" x14ac:dyDescent="0.25">
      <c r="AL803" s="54">
        <v>219.77000200000001</v>
      </c>
      <c r="AM803" s="5">
        <v>8</v>
      </c>
      <c r="AO803" s="8">
        <f t="shared" si="27"/>
        <v>219.77000200000001</v>
      </c>
      <c r="AP803" s="5">
        <f t="shared" si="28"/>
        <v>8</v>
      </c>
    </row>
    <row r="804" spans="38:42" x14ac:dyDescent="0.25">
      <c r="AL804" s="54">
        <v>220.559999</v>
      </c>
      <c r="AM804" s="5">
        <v>1</v>
      </c>
      <c r="AO804" s="8">
        <f t="shared" si="27"/>
        <v>220.559999</v>
      </c>
      <c r="AP804" s="5">
        <f t="shared" si="28"/>
        <v>1</v>
      </c>
    </row>
    <row r="805" spans="38:42" x14ac:dyDescent="0.25">
      <c r="AL805" s="54">
        <v>223.18999479999999</v>
      </c>
      <c r="AM805" s="5">
        <v>9</v>
      </c>
      <c r="AO805" s="8">
        <f t="shared" si="27"/>
        <v>223.18999479999999</v>
      </c>
      <c r="AP805" s="5">
        <f t="shared" si="28"/>
        <v>9</v>
      </c>
    </row>
    <row r="806" spans="38:42" x14ac:dyDescent="0.25">
      <c r="AL806" s="54">
        <v>226.0300014</v>
      </c>
      <c r="AM806" s="5">
        <v>0</v>
      </c>
      <c r="AO806" s="8">
        <f t="shared" si="27"/>
        <v>226.0300014</v>
      </c>
      <c r="AP806" s="5">
        <f t="shared" si="28"/>
        <v>0</v>
      </c>
    </row>
    <row r="807" spans="38:42" x14ac:dyDescent="0.25">
      <c r="AL807" s="54">
        <v>226.53999920000001</v>
      </c>
      <c r="AM807" s="5">
        <v>6</v>
      </c>
      <c r="AO807" s="8">
        <f t="shared" si="27"/>
        <v>226.53999920000001</v>
      </c>
      <c r="AP807" s="5">
        <f t="shared" si="28"/>
        <v>6</v>
      </c>
    </row>
    <row r="808" spans="38:42" x14ac:dyDescent="0.25">
      <c r="AL808" s="54">
        <v>232.37000080000001</v>
      </c>
      <c r="AM808" s="5">
        <v>1</v>
      </c>
      <c r="AO808" s="8">
        <f t="shared" si="27"/>
        <v>232.37000080000001</v>
      </c>
      <c r="AP808" s="5">
        <f t="shared" si="28"/>
        <v>1</v>
      </c>
    </row>
    <row r="809" spans="38:42" x14ac:dyDescent="0.25">
      <c r="AL809" s="54">
        <v>232.5900005</v>
      </c>
      <c r="AM809" s="5">
        <v>4</v>
      </c>
      <c r="AO809" s="8">
        <f t="shared" si="27"/>
        <v>232.5900005</v>
      </c>
      <c r="AP809" s="5">
        <f t="shared" si="28"/>
        <v>4</v>
      </c>
    </row>
    <row r="810" spans="38:42" x14ac:dyDescent="0.25">
      <c r="AL810" s="54">
        <v>233.11000200000001</v>
      </c>
      <c r="AM810" s="5">
        <v>4</v>
      </c>
      <c r="AO810" s="8">
        <f t="shared" si="27"/>
        <v>233.11000200000001</v>
      </c>
      <c r="AP810" s="5">
        <f t="shared" si="28"/>
        <v>4</v>
      </c>
    </row>
    <row r="811" spans="38:42" x14ac:dyDescent="0.25">
      <c r="AL811" s="54">
        <v>234.65999819999999</v>
      </c>
      <c r="AM811" s="5">
        <v>1</v>
      </c>
      <c r="AO811" s="8">
        <f t="shared" si="27"/>
        <v>234.65999819999999</v>
      </c>
      <c r="AP811" s="5">
        <f t="shared" si="28"/>
        <v>1</v>
      </c>
    </row>
    <row r="812" spans="38:42" x14ac:dyDescent="0.25">
      <c r="AL812" s="54">
        <v>234.93999919999999</v>
      </c>
      <c r="AM812" s="5">
        <v>0</v>
      </c>
      <c r="AO812" s="8">
        <f t="shared" si="27"/>
        <v>234.93999919999999</v>
      </c>
      <c r="AP812" s="5">
        <f t="shared" si="28"/>
        <v>0</v>
      </c>
    </row>
    <row r="813" spans="38:42" x14ac:dyDescent="0.25">
      <c r="AL813" s="54">
        <v>236.11999879999999</v>
      </c>
      <c r="AM813" s="5">
        <v>6</v>
      </c>
      <c r="AO813" s="8">
        <f t="shared" si="27"/>
        <v>236.11999879999999</v>
      </c>
      <c r="AP813" s="5">
        <f t="shared" si="28"/>
        <v>6</v>
      </c>
    </row>
    <row r="814" spans="38:42" x14ac:dyDescent="0.25">
      <c r="AL814" s="54">
        <v>236.76999860000001</v>
      </c>
      <c r="AM814" s="5">
        <v>10</v>
      </c>
      <c r="AO814" s="8">
        <f t="shared" si="27"/>
        <v>236.76999860000001</v>
      </c>
      <c r="AP814" s="5">
        <f t="shared" si="28"/>
        <v>10</v>
      </c>
    </row>
    <row r="815" spans="38:42" x14ac:dyDescent="0.25">
      <c r="AL815" s="54">
        <v>237.3199975</v>
      </c>
      <c r="AM815" s="5">
        <v>3</v>
      </c>
      <c r="AO815" s="8">
        <f t="shared" si="27"/>
        <v>237.3199975</v>
      </c>
      <c r="AP815" s="5">
        <f t="shared" si="28"/>
        <v>3</v>
      </c>
    </row>
    <row r="816" spans="38:42" x14ac:dyDescent="0.25">
      <c r="AL816" s="54">
        <v>238.40000069999999</v>
      </c>
      <c r="AM816" s="5">
        <v>3</v>
      </c>
      <c r="AO816" s="8">
        <f t="shared" si="27"/>
        <v>238.40000069999999</v>
      </c>
      <c r="AP816" s="5">
        <f t="shared" si="28"/>
        <v>3</v>
      </c>
    </row>
    <row r="817" spans="38:42" x14ac:dyDescent="0.25">
      <c r="AL817" s="54">
        <v>243.7699978</v>
      </c>
      <c r="AM817" s="5">
        <v>1</v>
      </c>
      <c r="AO817" s="8">
        <f t="shared" si="27"/>
        <v>243.7699978</v>
      </c>
      <c r="AP817" s="5">
        <f t="shared" si="28"/>
        <v>1</v>
      </c>
    </row>
    <row r="818" spans="38:42" x14ac:dyDescent="0.25">
      <c r="AL818" s="54">
        <v>245.5999999</v>
      </c>
      <c r="AM818" s="5">
        <v>8</v>
      </c>
      <c r="AO818" s="8">
        <f t="shared" si="27"/>
        <v>245.5999999</v>
      </c>
      <c r="AP818" s="5">
        <f t="shared" si="28"/>
        <v>8</v>
      </c>
    </row>
    <row r="819" spans="38:42" x14ac:dyDescent="0.25">
      <c r="AL819" s="54">
        <v>246.74999750000001</v>
      </c>
      <c r="AM819" s="5">
        <v>7</v>
      </c>
      <c r="AO819" s="8">
        <f t="shared" si="27"/>
        <v>246.74999750000001</v>
      </c>
      <c r="AP819" s="5">
        <f t="shared" si="28"/>
        <v>7</v>
      </c>
    </row>
    <row r="820" spans="38:42" x14ac:dyDescent="0.25">
      <c r="AL820" s="54">
        <v>247.32000260000001</v>
      </c>
      <c r="AM820" s="5">
        <v>3</v>
      </c>
      <c r="AO820" s="8">
        <f t="shared" si="27"/>
        <v>247.32000260000001</v>
      </c>
      <c r="AP820" s="5">
        <f t="shared" si="28"/>
        <v>3</v>
      </c>
    </row>
    <row r="821" spans="38:42" x14ac:dyDescent="0.25">
      <c r="AL821" s="54">
        <v>248.64000010000001</v>
      </c>
      <c r="AM821" s="5">
        <v>2</v>
      </c>
      <c r="AO821" s="8">
        <f t="shared" si="27"/>
        <v>248.64000010000001</v>
      </c>
      <c r="AP821" s="5">
        <f t="shared" si="28"/>
        <v>2</v>
      </c>
    </row>
    <row r="822" spans="38:42" x14ac:dyDescent="0.25">
      <c r="AL822" s="54">
        <v>253.990002</v>
      </c>
      <c r="AM822" s="5">
        <v>2</v>
      </c>
      <c r="AO822" s="8">
        <f t="shared" si="27"/>
        <v>253.990002</v>
      </c>
      <c r="AP822" s="5">
        <f t="shared" si="28"/>
        <v>2</v>
      </c>
    </row>
    <row r="823" spans="38:42" x14ac:dyDescent="0.25">
      <c r="AL823" s="54">
        <v>254.04999599999999</v>
      </c>
      <c r="AM823" s="5">
        <v>14</v>
      </c>
      <c r="AO823" s="8">
        <f t="shared" si="27"/>
        <v>254.04999599999999</v>
      </c>
      <c r="AP823" s="5">
        <f t="shared" si="28"/>
        <v>14</v>
      </c>
    </row>
    <row r="824" spans="38:42" x14ac:dyDescent="0.25">
      <c r="AL824" s="54">
        <v>254.2500038</v>
      </c>
      <c r="AM824" s="5">
        <v>2</v>
      </c>
      <c r="AO824" s="8">
        <f t="shared" si="27"/>
        <v>254.2500038</v>
      </c>
      <c r="AP824" s="5">
        <f t="shared" si="28"/>
        <v>2</v>
      </c>
    </row>
    <row r="825" spans="38:42" x14ac:dyDescent="0.25">
      <c r="AL825" s="54">
        <v>254.419997</v>
      </c>
      <c r="AM825" s="5">
        <v>2</v>
      </c>
      <c r="AO825" s="8">
        <f t="shared" si="27"/>
        <v>254.419997</v>
      </c>
      <c r="AP825" s="5">
        <f t="shared" si="28"/>
        <v>2</v>
      </c>
    </row>
    <row r="826" spans="38:42" x14ac:dyDescent="0.25">
      <c r="AL826" s="54">
        <v>256.46999820000002</v>
      </c>
      <c r="AM826" s="5">
        <v>6</v>
      </c>
      <c r="AO826" s="8">
        <f t="shared" si="27"/>
        <v>256.46999820000002</v>
      </c>
      <c r="AP826" s="5">
        <f t="shared" si="28"/>
        <v>6</v>
      </c>
    </row>
    <row r="827" spans="38:42" x14ac:dyDescent="0.25">
      <c r="AL827" s="54">
        <v>257.70999860000001</v>
      </c>
      <c r="AM827" s="5">
        <v>9</v>
      </c>
      <c r="AO827" s="8">
        <f t="shared" si="27"/>
        <v>257.70999860000001</v>
      </c>
      <c r="AP827" s="5">
        <f t="shared" si="28"/>
        <v>9</v>
      </c>
    </row>
    <row r="828" spans="38:42" x14ac:dyDescent="0.25">
      <c r="AL828" s="54">
        <v>259.17999880000002</v>
      </c>
      <c r="AM828" s="5">
        <v>1</v>
      </c>
      <c r="AO828" s="8">
        <f t="shared" si="27"/>
        <v>259.17999880000002</v>
      </c>
      <c r="AP828" s="5">
        <f t="shared" si="28"/>
        <v>1</v>
      </c>
    </row>
    <row r="829" spans="38:42" x14ac:dyDescent="0.25">
      <c r="AL829" s="54">
        <v>260.06999839999997</v>
      </c>
      <c r="AM829" s="5">
        <v>2</v>
      </c>
      <c r="AO829" s="8">
        <f t="shared" si="27"/>
        <v>260.06999839999997</v>
      </c>
      <c r="AP829" s="5">
        <f t="shared" si="28"/>
        <v>2</v>
      </c>
    </row>
    <row r="830" spans="38:42" x14ac:dyDescent="0.25">
      <c r="AL830" s="54">
        <v>260.3800013</v>
      </c>
      <c r="AM830" s="5">
        <v>7</v>
      </c>
      <c r="AO830" s="8">
        <f t="shared" si="27"/>
        <v>260.3800013</v>
      </c>
      <c r="AP830" s="5">
        <f t="shared" si="28"/>
        <v>7</v>
      </c>
    </row>
    <row r="831" spans="38:42" x14ac:dyDescent="0.25">
      <c r="AL831" s="54">
        <v>262.88999810000001</v>
      </c>
      <c r="AM831" s="5">
        <v>2</v>
      </c>
      <c r="AO831" s="8">
        <f t="shared" si="27"/>
        <v>262.88999810000001</v>
      </c>
      <c r="AP831" s="5">
        <f t="shared" si="28"/>
        <v>2</v>
      </c>
    </row>
    <row r="832" spans="38:42" x14ac:dyDescent="0.25">
      <c r="AL832" s="54">
        <v>263.81000069999999</v>
      </c>
      <c r="AM832" s="5">
        <v>3</v>
      </c>
      <c r="AO832" s="8">
        <f t="shared" si="27"/>
        <v>263.81000069999999</v>
      </c>
      <c r="AP832" s="5">
        <f t="shared" si="28"/>
        <v>3</v>
      </c>
    </row>
    <row r="833" spans="38:42" x14ac:dyDescent="0.25">
      <c r="AL833" s="54">
        <v>264.58999970000002</v>
      </c>
      <c r="AM833" s="5">
        <v>1</v>
      </c>
      <c r="AO833" s="8">
        <f t="shared" si="27"/>
        <v>264.58999970000002</v>
      </c>
      <c r="AP833" s="5">
        <f t="shared" si="28"/>
        <v>1</v>
      </c>
    </row>
    <row r="834" spans="38:42" x14ac:dyDescent="0.25">
      <c r="AL834" s="54">
        <v>268.05000200000001</v>
      </c>
      <c r="AM834" s="5">
        <v>5</v>
      </c>
      <c r="AO834" s="8">
        <f t="shared" si="27"/>
        <v>268.05000200000001</v>
      </c>
      <c r="AP834" s="5">
        <f t="shared" si="28"/>
        <v>5</v>
      </c>
    </row>
    <row r="835" spans="38:42" x14ac:dyDescent="0.25">
      <c r="AL835" s="54">
        <v>277.57999860000001</v>
      </c>
      <c r="AM835" s="5">
        <v>8</v>
      </c>
      <c r="AO835" s="8">
        <f t="shared" si="27"/>
        <v>277.57999860000001</v>
      </c>
      <c r="AP835" s="5">
        <f t="shared" si="28"/>
        <v>8</v>
      </c>
    </row>
    <row r="836" spans="38:42" x14ac:dyDescent="0.25">
      <c r="AL836" s="54">
        <v>279.21999499999998</v>
      </c>
      <c r="AM836" s="5">
        <v>1</v>
      </c>
      <c r="AO836" s="8">
        <f t="shared" si="27"/>
        <v>279.21999499999998</v>
      </c>
      <c r="AP836" s="5">
        <f t="shared" si="28"/>
        <v>1</v>
      </c>
    </row>
    <row r="837" spans="38:42" x14ac:dyDescent="0.25">
      <c r="AL837" s="54">
        <v>280.98999950000001</v>
      </c>
      <c r="AM837" s="5">
        <v>2</v>
      </c>
      <c r="AO837" s="8">
        <f t="shared" si="27"/>
        <v>280.98999950000001</v>
      </c>
      <c r="AP837" s="5">
        <f t="shared" si="28"/>
        <v>2</v>
      </c>
    </row>
    <row r="838" spans="38:42" x14ac:dyDescent="0.25">
      <c r="AL838" s="54">
        <v>282.49000100000001</v>
      </c>
      <c r="AM838" s="5">
        <v>2</v>
      </c>
      <c r="AO838" s="8">
        <f t="shared" si="27"/>
        <v>282.49000100000001</v>
      </c>
      <c r="AP838" s="5">
        <f t="shared" si="28"/>
        <v>2</v>
      </c>
    </row>
    <row r="839" spans="38:42" x14ac:dyDescent="0.25">
      <c r="AL839" s="54">
        <v>287.69000299999999</v>
      </c>
      <c r="AM839" s="5">
        <v>1</v>
      </c>
      <c r="AO839" s="8">
        <f t="shared" si="27"/>
        <v>287.69000299999999</v>
      </c>
      <c r="AP839" s="5">
        <f t="shared" si="28"/>
        <v>1</v>
      </c>
    </row>
    <row r="840" spans="38:42" x14ac:dyDescent="0.25">
      <c r="AL840" s="54">
        <v>288.33000349999998</v>
      </c>
      <c r="AM840" s="5">
        <v>0</v>
      </c>
      <c r="AO840" s="8">
        <f t="shared" si="27"/>
        <v>288.33000349999998</v>
      </c>
      <c r="AP840" s="5">
        <f t="shared" si="28"/>
        <v>0</v>
      </c>
    </row>
    <row r="841" spans="38:42" x14ac:dyDescent="0.25">
      <c r="AL841" s="54">
        <v>293.88000110000002</v>
      </c>
      <c r="AM841" s="5">
        <v>4</v>
      </c>
      <c r="AO841" s="8">
        <f t="shared" si="27"/>
        <v>293.88000110000002</v>
      </c>
      <c r="AP841" s="5">
        <f t="shared" si="28"/>
        <v>4</v>
      </c>
    </row>
    <row r="842" spans="38:42" x14ac:dyDescent="0.25">
      <c r="AL842" s="54">
        <v>295.54999570000001</v>
      </c>
      <c r="AM842" s="5">
        <v>0</v>
      </c>
      <c r="AO842" s="8">
        <f t="shared" ref="AO842:AO878" si="29">AL842</f>
        <v>295.54999570000001</v>
      </c>
      <c r="AP842" s="5">
        <f t="shared" ref="AP842:AP878" si="30">AM842</f>
        <v>0</v>
      </c>
    </row>
    <row r="843" spans="38:42" x14ac:dyDescent="0.25">
      <c r="AL843" s="54">
        <v>297.82999810000001</v>
      </c>
      <c r="AM843" s="5">
        <v>3</v>
      </c>
      <c r="AO843" s="8">
        <f t="shared" si="29"/>
        <v>297.82999810000001</v>
      </c>
      <c r="AP843" s="5">
        <f t="shared" si="30"/>
        <v>3</v>
      </c>
    </row>
    <row r="844" spans="38:42" x14ac:dyDescent="0.25">
      <c r="AL844" s="54">
        <v>297.91000070000001</v>
      </c>
      <c r="AM844" s="5">
        <v>3</v>
      </c>
      <c r="AO844" s="8">
        <f t="shared" si="29"/>
        <v>297.91000070000001</v>
      </c>
      <c r="AP844" s="5">
        <f t="shared" si="30"/>
        <v>3</v>
      </c>
    </row>
    <row r="845" spans="38:42" x14ac:dyDescent="0.25">
      <c r="AL845" s="54">
        <v>299.52999829999999</v>
      </c>
      <c r="AM845" s="5">
        <v>5</v>
      </c>
      <c r="AO845" s="8">
        <f t="shared" si="29"/>
        <v>299.52999829999999</v>
      </c>
      <c r="AP845" s="5">
        <f t="shared" si="30"/>
        <v>5</v>
      </c>
    </row>
    <row r="846" spans="38:42" x14ac:dyDescent="0.25">
      <c r="AL846" s="54">
        <v>301.0499992</v>
      </c>
      <c r="AM846" s="5">
        <v>10</v>
      </c>
      <c r="AO846" s="8">
        <f t="shared" si="29"/>
        <v>301.0499992</v>
      </c>
      <c r="AP846" s="5">
        <f t="shared" si="30"/>
        <v>10</v>
      </c>
    </row>
    <row r="847" spans="38:42" x14ac:dyDescent="0.25">
      <c r="AL847" s="54">
        <v>314.29999830000003</v>
      </c>
      <c r="AM847" s="5">
        <v>2</v>
      </c>
      <c r="AO847" s="8">
        <f t="shared" si="29"/>
        <v>314.29999830000003</v>
      </c>
      <c r="AP847" s="5">
        <f t="shared" si="30"/>
        <v>2</v>
      </c>
    </row>
    <row r="848" spans="38:42" x14ac:dyDescent="0.25">
      <c r="AL848" s="54">
        <v>315.90000509999999</v>
      </c>
      <c r="AM848" s="5">
        <v>2</v>
      </c>
      <c r="AO848" s="8">
        <f t="shared" si="29"/>
        <v>315.90000509999999</v>
      </c>
      <c r="AP848" s="5">
        <f t="shared" si="30"/>
        <v>2</v>
      </c>
    </row>
    <row r="849" spans="38:42" x14ac:dyDescent="0.25">
      <c r="AL849" s="54">
        <v>318.97000320000001</v>
      </c>
      <c r="AM849" s="5">
        <v>3</v>
      </c>
      <c r="AO849" s="8">
        <f t="shared" si="29"/>
        <v>318.97000320000001</v>
      </c>
      <c r="AP849" s="5">
        <f t="shared" si="30"/>
        <v>3</v>
      </c>
    </row>
    <row r="850" spans="38:42" x14ac:dyDescent="0.25">
      <c r="AL850" s="54">
        <v>319.00000189999997</v>
      </c>
      <c r="AM850" s="5">
        <v>0</v>
      </c>
      <c r="AO850" s="8">
        <f t="shared" si="29"/>
        <v>319.00000189999997</v>
      </c>
      <c r="AP850" s="5">
        <f t="shared" si="30"/>
        <v>0</v>
      </c>
    </row>
    <row r="851" spans="38:42" x14ac:dyDescent="0.25">
      <c r="AL851" s="54">
        <v>321.87000039999998</v>
      </c>
      <c r="AM851" s="5">
        <v>4</v>
      </c>
      <c r="AO851" s="8">
        <f t="shared" si="29"/>
        <v>321.87000039999998</v>
      </c>
      <c r="AP851" s="5">
        <f t="shared" si="30"/>
        <v>4</v>
      </c>
    </row>
    <row r="852" spans="38:42" x14ac:dyDescent="0.25">
      <c r="AL852" s="54">
        <v>323.06000710000001</v>
      </c>
      <c r="AM852" s="5">
        <v>1</v>
      </c>
      <c r="AO852" s="8">
        <f t="shared" si="29"/>
        <v>323.06000710000001</v>
      </c>
      <c r="AP852" s="5">
        <f t="shared" si="30"/>
        <v>1</v>
      </c>
    </row>
    <row r="853" spans="38:42" x14ac:dyDescent="0.25">
      <c r="AL853" s="54">
        <v>332.98999889999999</v>
      </c>
      <c r="AM853" s="5">
        <v>0</v>
      </c>
      <c r="AO853" s="8">
        <f t="shared" si="29"/>
        <v>332.98999889999999</v>
      </c>
      <c r="AP853" s="5">
        <f t="shared" si="30"/>
        <v>0</v>
      </c>
    </row>
    <row r="854" spans="38:42" x14ac:dyDescent="0.25">
      <c r="AL854" s="54">
        <v>333.74999430000003</v>
      </c>
      <c r="AM854" s="5">
        <v>4</v>
      </c>
      <c r="AO854" s="8">
        <f t="shared" si="29"/>
        <v>333.74999430000003</v>
      </c>
      <c r="AP854" s="5">
        <f t="shared" si="30"/>
        <v>4</v>
      </c>
    </row>
    <row r="855" spans="38:42" x14ac:dyDescent="0.25">
      <c r="AL855" s="54">
        <v>340.40999929999998</v>
      </c>
      <c r="AM855" s="5">
        <v>2</v>
      </c>
      <c r="AO855" s="8">
        <f t="shared" si="29"/>
        <v>340.40999929999998</v>
      </c>
      <c r="AP855" s="5">
        <f t="shared" si="30"/>
        <v>2</v>
      </c>
    </row>
    <row r="856" spans="38:42" x14ac:dyDescent="0.25">
      <c r="AL856" s="54">
        <v>343.25999439999998</v>
      </c>
      <c r="AM856" s="5">
        <v>4</v>
      </c>
      <c r="AO856" s="8">
        <f t="shared" si="29"/>
        <v>343.25999439999998</v>
      </c>
      <c r="AP856" s="5">
        <f t="shared" si="30"/>
        <v>4</v>
      </c>
    </row>
    <row r="857" spans="38:42" x14ac:dyDescent="0.25">
      <c r="AL857" s="54">
        <v>343.41999939999999</v>
      </c>
      <c r="AM857" s="5">
        <v>4</v>
      </c>
      <c r="AO857" s="8">
        <f t="shared" si="29"/>
        <v>343.41999939999999</v>
      </c>
      <c r="AP857" s="5">
        <f t="shared" si="30"/>
        <v>4</v>
      </c>
    </row>
    <row r="858" spans="38:42" x14ac:dyDescent="0.25">
      <c r="AL858" s="54">
        <v>350.50999569999999</v>
      </c>
      <c r="AM858" s="5">
        <v>1</v>
      </c>
      <c r="AO858" s="8">
        <f t="shared" si="29"/>
        <v>350.50999569999999</v>
      </c>
      <c r="AP858" s="5">
        <f t="shared" si="30"/>
        <v>1</v>
      </c>
    </row>
    <row r="859" spans="38:42" x14ac:dyDescent="0.25">
      <c r="AL859" s="54">
        <v>352.44999890000003</v>
      </c>
      <c r="AM859" s="5">
        <v>1</v>
      </c>
      <c r="AO859" s="8">
        <f t="shared" si="29"/>
        <v>352.44999890000003</v>
      </c>
      <c r="AP859" s="5">
        <f t="shared" si="30"/>
        <v>1</v>
      </c>
    </row>
    <row r="860" spans="38:42" x14ac:dyDescent="0.25">
      <c r="AL860" s="54">
        <v>358.18999700000001</v>
      </c>
      <c r="AM860" s="5">
        <v>2</v>
      </c>
      <c r="AO860" s="8">
        <f t="shared" si="29"/>
        <v>358.18999700000001</v>
      </c>
      <c r="AP860" s="5">
        <f t="shared" si="30"/>
        <v>2</v>
      </c>
    </row>
    <row r="861" spans="38:42" x14ac:dyDescent="0.25">
      <c r="AL861" s="54">
        <v>358.55000289999998</v>
      </c>
      <c r="AM861" s="5">
        <v>7</v>
      </c>
      <c r="AO861" s="8">
        <f t="shared" si="29"/>
        <v>358.55000289999998</v>
      </c>
      <c r="AP861" s="5">
        <f t="shared" si="30"/>
        <v>7</v>
      </c>
    </row>
    <row r="862" spans="38:42" x14ac:dyDescent="0.25">
      <c r="AL862" s="54">
        <v>359.47000009999999</v>
      </c>
      <c r="AM862" s="5">
        <v>6</v>
      </c>
      <c r="AO862" s="8">
        <f t="shared" si="29"/>
        <v>359.47000009999999</v>
      </c>
      <c r="AP862" s="5">
        <f t="shared" si="30"/>
        <v>6</v>
      </c>
    </row>
    <row r="863" spans="38:42" x14ac:dyDescent="0.25">
      <c r="AL863" s="54">
        <v>360.15000149999997</v>
      </c>
      <c r="AM863" s="5">
        <v>21</v>
      </c>
      <c r="AO863" s="8">
        <f t="shared" si="29"/>
        <v>360.15000149999997</v>
      </c>
      <c r="AP863" s="5">
        <f t="shared" si="30"/>
        <v>21</v>
      </c>
    </row>
    <row r="864" spans="38:42" x14ac:dyDescent="0.25">
      <c r="AL864" s="54">
        <v>365.6600009</v>
      </c>
      <c r="AM864" s="5">
        <v>3</v>
      </c>
      <c r="AO864" s="8">
        <f t="shared" si="29"/>
        <v>365.6600009</v>
      </c>
      <c r="AP864" s="5">
        <f t="shared" si="30"/>
        <v>3</v>
      </c>
    </row>
    <row r="865" spans="38:42" x14ac:dyDescent="0.25">
      <c r="AL865" s="54">
        <v>369.069997</v>
      </c>
      <c r="AM865" s="5">
        <v>8</v>
      </c>
      <c r="AO865" s="8">
        <f t="shared" si="29"/>
        <v>369.069997</v>
      </c>
      <c r="AP865" s="5">
        <f t="shared" si="30"/>
        <v>8</v>
      </c>
    </row>
    <row r="866" spans="38:42" x14ac:dyDescent="0.25">
      <c r="AL866" s="54">
        <v>375.71999629999999</v>
      </c>
      <c r="AM866" s="5">
        <v>3</v>
      </c>
      <c r="AO866" s="8">
        <f t="shared" si="29"/>
        <v>375.71999629999999</v>
      </c>
      <c r="AP866" s="5">
        <f t="shared" si="30"/>
        <v>3</v>
      </c>
    </row>
    <row r="867" spans="38:42" x14ac:dyDescent="0.25">
      <c r="AL867" s="54">
        <v>380.65999520000003</v>
      </c>
      <c r="AM867" s="5">
        <v>2</v>
      </c>
      <c r="AO867" s="8">
        <f t="shared" si="29"/>
        <v>380.65999520000003</v>
      </c>
      <c r="AP867" s="5">
        <f t="shared" si="30"/>
        <v>2</v>
      </c>
    </row>
    <row r="868" spans="38:42" x14ac:dyDescent="0.25">
      <c r="AL868" s="54">
        <v>390.25999919999998</v>
      </c>
      <c r="AM868" s="5">
        <v>0</v>
      </c>
      <c r="AO868" s="8">
        <f t="shared" si="29"/>
        <v>390.25999919999998</v>
      </c>
      <c r="AP868" s="5">
        <f t="shared" si="30"/>
        <v>0</v>
      </c>
    </row>
    <row r="869" spans="38:42" x14ac:dyDescent="0.25">
      <c r="AL869" s="54">
        <v>402.30000260000003</v>
      </c>
      <c r="AM869" s="5">
        <v>0</v>
      </c>
      <c r="AO869" s="8">
        <f t="shared" si="29"/>
        <v>402.30000260000003</v>
      </c>
      <c r="AP869" s="5">
        <f t="shared" si="30"/>
        <v>0</v>
      </c>
    </row>
    <row r="870" spans="38:42" x14ac:dyDescent="0.25">
      <c r="AL870" s="54">
        <v>409.56000260000002</v>
      </c>
      <c r="AM870" s="5">
        <v>4</v>
      </c>
      <c r="AO870" s="8">
        <f t="shared" si="29"/>
        <v>409.56000260000002</v>
      </c>
      <c r="AP870" s="5">
        <f t="shared" si="30"/>
        <v>4</v>
      </c>
    </row>
    <row r="871" spans="38:42" x14ac:dyDescent="0.25">
      <c r="AL871" s="54">
        <v>420.5799983</v>
      </c>
      <c r="AM871" s="5">
        <v>8</v>
      </c>
      <c r="AO871" s="8">
        <f t="shared" si="29"/>
        <v>420.5799983</v>
      </c>
      <c r="AP871" s="5">
        <f t="shared" si="30"/>
        <v>8</v>
      </c>
    </row>
    <row r="872" spans="38:42" x14ac:dyDescent="0.25">
      <c r="AL872" s="54">
        <v>422.84000379999998</v>
      </c>
      <c r="AM872" s="5">
        <v>10</v>
      </c>
      <c r="AO872" s="8">
        <f t="shared" si="29"/>
        <v>422.84000379999998</v>
      </c>
      <c r="AP872" s="5">
        <f t="shared" si="30"/>
        <v>10</v>
      </c>
    </row>
    <row r="873" spans="38:42" x14ac:dyDescent="0.25">
      <c r="AL873" s="54">
        <v>429.47999809999999</v>
      </c>
      <c r="AM873" s="5">
        <v>10</v>
      </c>
      <c r="AO873" s="8">
        <f t="shared" si="29"/>
        <v>429.47999809999999</v>
      </c>
      <c r="AP873" s="5">
        <f t="shared" si="30"/>
        <v>10</v>
      </c>
    </row>
    <row r="874" spans="38:42" x14ac:dyDescent="0.25">
      <c r="AL874" s="54">
        <v>465.07999810000001</v>
      </c>
      <c r="AM874" s="5">
        <v>2</v>
      </c>
      <c r="AO874" s="8">
        <f t="shared" si="29"/>
        <v>465.07999810000001</v>
      </c>
      <c r="AP874" s="5">
        <f t="shared" si="30"/>
        <v>2</v>
      </c>
    </row>
    <row r="875" spans="38:42" x14ac:dyDescent="0.25">
      <c r="AL875" s="54">
        <v>541.70000230000005</v>
      </c>
      <c r="AM875" s="5">
        <v>0</v>
      </c>
      <c r="AO875" s="8">
        <f t="shared" si="29"/>
        <v>541.70000230000005</v>
      </c>
      <c r="AP875" s="5">
        <f t="shared" si="30"/>
        <v>0</v>
      </c>
    </row>
    <row r="876" spans="38:42" x14ac:dyDescent="0.25">
      <c r="AL876" s="54">
        <v>603.38000199999999</v>
      </c>
      <c r="AM876" s="5">
        <v>7</v>
      </c>
      <c r="AO876" s="8">
        <f t="shared" si="29"/>
        <v>603.38000199999999</v>
      </c>
      <c r="AP876" s="5">
        <f t="shared" si="30"/>
        <v>7</v>
      </c>
    </row>
    <row r="877" spans="38:42" x14ac:dyDescent="0.25">
      <c r="AL877" s="54">
        <v>612.30000319999999</v>
      </c>
      <c r="AM877" s="5">
        <v>13</v>
      </c>
      <c r="AO877" s="8">
        <f t="shared" si="29"/>
        <v>612.30000319999999</v>
      </c>
      <c r="AP877" s="5">
        <f t="shared" si="30"/>
        <v>13</v>
      </c>
    </row>
    <row r="878" spans="38:42" x14ac:dyDescent="0.25">
      <c r="AL878" s="54">
        <v>639.94999810000002</v>
      </c>
      <c r="AM878" s="5">
        <v>17</v>
      </c>
      <c r="AO878" s="8">
        <f t="shared" si="29"/>
        <v>639.94999810000002</v>
      </c>
      <c r="AP878" s="5">
        <f t="shared" si="30"/>
        <v>17</v>
      </c>
    </row>
  </sheetData>
  <mergeCells count="5">
    <mergeCell ref="I8:J8"/>
    <mergeCell ref="N8:O8"/>
    <mergeCell ref="S8:T8"/>
    <mergeCell ref="AG8:AH8"/>
    <mergeCell ref="AB8:AC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6807-1D89-484E-82F2-497657E2B2FB}">
  <dimension ref="A1:J170"/>
  <sheetViews>
    <sheetView workbookViewId="0">
      <selection activeCell="H16" sqref="H16"/>
    </sheetView>
  </sheetViews>
  <sheetFormatPr defaultColWidth="15" defaultRowHeight="15" x14ac:dyDescent="0.25"/>
  <cols>
    <col min="3" max="3" width="16.28515625" customWidth="1"/>
    <col min="4" max="4" width="16" customWidth="1"/>
    <col min="5" max="5" width="47.140625" customWidth="1"/>
    <col min="8" max="8" width="17.140625" customWidth="1"/>
  </cols>
  <sheetData>
    <row r="1" spans="1:10" x14ac:dyDescent="0.25">
      <c r="F1" s="17"/>
    </row>
    <row r="2" spans="1:10" x14ac:dyDescent="0.25">
      <c r="F2" s="17"/>
      <c r="H2" t="s">
        <v>82</v>
      </c>
    </row>
    <row r="3" spans="1:10" x14ac:dyDescent="0.25">
      <c r="F3" s="17"/>
    </row>
    <row r="4" spans="1:10" x14ac:dyDescent="0.25">
      <c r="B4" t="s">
        <v>57</v>
      </c>
      <c r="F4" s="17"/>
      <c r="H4" t="s">
        <v>83</v>
      </c>
      <c r="J4" t="s">
        <v>84</v>
      </c>
    </row>
    <row r="5" spans="1:10" ht="24.75" customHeight="1" x14ac:dyDescent="0.25">
      <c r="B5" s="25" t="s">
        <v>58</v>
      </c>
      <c r="C5" s="25" t="s">
        <v>59</v>
      </c>
      <c r="D5" s="25" t="s">
        <v>60</v>
      </c>
      <c r="E5" s="25" t="s">
        <v>28</v>
      </c>
      <c r="F5" s="17"/>
      <c r="H5" s="47">
        <f>CORREL('Converted Raw Data'!G2:G1144,'Converted Raw Data'!H2:H1144)</f>
        <v>0.94851413615400026</v>
      </c>
      <c r="J5" s="47">
        <f>CORREL('Converted Raw Data'!G2:G1144,'Converted Raw Data'!J2:J1144)</f>
        <v>0.81283760315949838</v>
      </c>
    </row>
    <row r="6" spans="1:10" ht="24.95" customHeight="1" x14ac:dyDescent="0.25">
      <c r="B6" s="3" t="s">
        <v>31</v>
      </c>
      <c r="C6" s="3" t="s">
        <v>63</v>
      </c>
      <c r="D6" s="3" t="s">
        <v>64</v>
      </c>
      <c r="E6" s="24" t="s">
        <v>65</v>
      </c>
      <c r="F6" s="17"/>
    </row>
    <row r="7" spans="1:10" ht="24.95" customHeight="1" x14ac:dyDescent="0.25">
      <c r="B7" s="3" t="s">
        <v>32</v>
      </c>
      <c r="C7" s="3" t="s">
        <v>66</v>
      </c>
      <c r="D7" s="3" t="s">
        <v>67</v>
      </c>
      <c r="E7" s="24" t="s">
        <v>68</v>
      </c>
      <c r="F7" s="17"/>
    </row>
    <row r="8" spans="1:10" ht="24.95" customHeight="1" x14ac:dyDescent="0.25">
      <c r="B8" s="3" t="s">
        <v>33</v>
      </c>
      <c r="C8" s="3" t="s">
        <v>64</v>
      </c>
      <c r="D8" s="3" t="s">
        <v>63</v>
      </c>
      <c r="E8" s="24" t="s">
        <v>69</v>
      </c>
      <c r="F8" s="17"/>
    </row>
    <row r="9" spans="1:10" ht="24.95" customHeight="1" x14ac:dyDescent="0.25">
      <c r="B9" s="3" t="s">
        <v>34</v>
      </c>
      <c r="C9" s="3" t="s">
        <v>63</v>
      </c>
      <c r="D9" s="3" t="s">
        <v>64</v>
      </c>
      <c r="E9" s="24" t="s">
        <v>70</v>
      </c>
      <c r="F9" s="17"/>
    </row>
    <row r="10" spans="1:10" ht="24.95" customHeight="1" x14ac:dyDescent="0.25">
      <c r="B10" s="3" t="s">
        <v>56</v>
      </c>
      <c r="C10" s="3" t="s">
        <v>63</v>
      </c>
      <c r="D10" s="3" t="s">
        <v>66</v>
      </c>
      <c r="E10" s="24" t="s">
        <v>71</v>
      </c>
      <c r="F10" s="17"/>
    </row>
    <row r="11" spans="1:10" x14ac:dyDescent="0.25">
      <c r="B11" s="21"/>
      <c r="C11" s="21"/>
      <c r="D11" s="21"/>
      <c r="E11" s="21"/>
      <c r="F11" s="17"/>
    </row>
    <row r="12" spans="1:10" x14ac:dyDescent="0.25">
      <c r="B12" s="21"/>
      <c r="C12" s="21"/>
      <c r="D12" s="21"/>
      <c r="E12" s="21"/>
      <c r="F12" s="17"/>
    </row>
    <row r="13" spans="1:10" x14ac:dyDescent="0.25">
      <c r="A13" s="26"/>
      <c r="B13" s="27"/>
      <c r="C13" s="27"/>
      <c r="D13" s="27"/>
      <c r="E13" s="27"/>
      <c r="F13" s="28"/>
    </row>
    <row r="14" spans="1:10" x14ac:dyDescent="0.25">
      <c r="A14" s="36"/>
      <c r="B14" s="37"/>
      <c r="C14" s="37"/>
      <c r="D14" s="37"/>
      <c r="E14" s="37"/>
      <c r="F14" s="38"/>
    </row>
    <row r="15" spans="1:10" x14ac:dyDescent="0.25">
      <c r="A15" s="39" t="s">
        <v>75</v>
      </c>
      <c r="B15" s="21"/>
      <c r="C15" s="21"/>
      <c r="D15" s="21"/>
      <c r="E15" s="21"/>
      <c r="F15" s="17"/>
    </row>
    <row r="16" spans="1:10" x14ac:dyDescent="0.25">
      <c r="A16" s="39"/>
      <c r="B16" s="21"/>
      <c r="C16" s="21"/>
      <c r="D16" s="21"/>
      <c r="E16" s="21"/>
      <c r="F16" s="17"/>
    </row>
    <row r="17" spans="1:6" x14ac:dyDescent="0.25">
      <c r="A17" s="39"/>
      <c r="B17" s="31" t="s">
        <v>72</v>
      </c>
      <c r="C17" s="35" t="s">
        <v>73</v>
      </c>
      <c r="D17" s="35" t="s">
        <v>74</v>
      </c>
      <c r="F17" s="17"/>
    </row>
    <row r="18" spans="1:6" x14ac:dyDescent="0.25">
      <c r="A18" s="39"/>
      <c r="B18" s="33" t="s">
        <v>11</v>
      </c>
      <c r="C18" s="34">
        <v>7611.4799951269988</v>
      </c>
      <c r="D18" s="34">
        <v>7640.9199912509966</v>
      </c>
      <c r="F18" s="17"/>
    </row>
    <row r="19" spans="1:6" x14ac:dyDescent="0.25">
      <c r="A19" s="39"/>
      <c r="B19" s="33" t="s">
        <v>13</v>
      </c>
      <c r="C19" s="34">
        <v>6061.3499918270008</v>
      </c>
      <c r="D19" s="34">
        <v>5051.0800025079998</v>
      </c>
      <c r="F19" s="17"/>
    </row>
    <row r="20" spans="1:6" x14ac:dyDescent="0.25">
      <c r="A20" s="39"/>
      <c r="B20" s="33" t="s">
        <v>14</v>
      </c>
      <c r="C20" s="34">
        <v>7396.5799836370034</v>
      </c>
      <c r="D20" s="34">
        <v>4193.1499972009997</v>
      </c>
      <c r="F20" s="17"/>
    </row>
    <row r="21" spans="1:6" x14ac:dyDescent="0.25">
      <c r="A21" s="39"/>
      <c r="B21" s="33" t="s">
        <v>15</v>
      </c>
      <c r="C21" s="34">
        <v>13433.209992777003</v>
      </c>
      <c r="D21" s="34">
        <v>7317.4600038770013</v>
      </c>
      <c r="F21" s="17"/>
    </row>
    <row r="22" spans="1:6" x14ac:dyDescent="0.25">
      <c r="A22" s="39"/>
      <c r="B22" s="21"/>
      <c r="C22" s="21"/>
      <c r="F22" s="17"/>
    </row>
    <row r="23" spans="1:6" x14ac:dyDescent="0.25">
      <c r="A23" s="39"/>
      <c r="B23" s="21"/>
      <c r="C23" s="21"/>
      <c r="F23" s="17"/>
    </row>
    <row r="24" spans="1:6" x14ac:dyDescent="0.25">
      <c r="A24" s="39"/>
      <c r="B24" s="21"/>
      <c r="C24" s="21"/>
      <c r="F24" s="17"/>
    </row>
    <row r="25" spans="1:6" x14ac:dyDescent="0.25">
      <c r="A25" s="39"/>
      <c r="B25" s="21"/>
      <c r="C25" s="21"/>
      <c r="F25" s="17"/>
    </row>
    <row r="26" spans="1:6" x14ac:dyDescent="0.25">
      <c r="A26" s="39"/>
      <c r="B26" s="21"/>
      <c r="C26" s="21"/>
      <c r="F26" s="17"/>
    </row>
    <row r="27" spans="1:6" x14ac:dyDescent="0.25">
      <c r="A27" s="39"/>
      <c r="B27" s="21"/>
      <c r="C27" s="21"/>
      <c r="F27" s="17"/>
    </row>
    <row r="28" spans="1:6" x14ac:dyDescent="0.25">
      <c r="A28" s="39"/>
      <c r="B28" s="21"/>
      <c r="C28" s="21"/>
      <c r="F28" s="17"/>
    </row>
    <row r="29" spans="1:6" x14ac:dyDescent="0.25">
      <c r="A29" s="39"/>
      <c r="B29" s="21"/>
      <c r="C29" s="21"/>
      <c r="F29" s="17"/>
    </row>
    <row r="30" spans="1:6" x14ac:dyDescent="0.25">
      <c r="A30" s="39"/>
      <c r="B30" s="21"/>
      <c r="C30" s="21"/>
      <c r="F30" s="17"/>
    </row>
    <row r="31" spans="1:6" x14ac:dyDescent="0.25">
      <c r="A31" s="39"/>
      <c r="B31" s="21"/>
      <c r="C31" s="21"/>
      <c r="F31" s="17"/>
    </row>
    <row r="32" spans="1:6" x14ac:dyDescent="0.25">
      <c r="A32" s="39"/>
      <c r="B32" s="21"/>
      <c r="C32" s="21"/>
      <c r="F32" s="17"/>
    </row>
    <row r="33" spans="1:6" x14ac:dyDescent="0.25">
      <c r="A33" s="39"/>
      <c r="F33" s="17"/>
    </row>
    <row r="34" spans="1:6" x14ac:dyDescent="0.25">
      <c r="A34" s="39"/>
      <c r="F34" s="17"/>
    </row>
    <row r="35" spans="1:6" x14ac:dyDescent="0.25">
      <c r="A35" s="39"/>
      <c r="F35" s="17"/>
    </row>
    <row r="36" spans="1:6" x14ac:dyDescent="0.25">
      <c r="A36" s="39"/>
      <c r="F36" s="17"/>
    </row>
    <row r="37" spans="1:6" x14ac:dyDescent="0.25">
      <c r="A37" s="39"/>
      <c r="F37" s="17"/>
    </row>
    <row r="38" spans="1:6" x14ac:dyDescent="0.25">
      <c r="A38" s="39"/>
      <c r="F38" s="17"/>
    </row>
    <row r="39" spans="1:6" x14ac:dyDescent="0.25">
      <c r="A39" s="39"/>
      <c r="F39" s="17"/>
    </row>
    <row r="40" spans="1:6" x14ac:dyDescent="0.25">
      <c r="A40" s="39"/>
      <c r="F40" s="17"/>
    </row>
    <row r="41" spans="1:6" x14ac:dyDescent="0.25">
      <c r="A41" s="40"/>
      <c r="B41" s="26"/>
      <c r="C41" s="26"/>
      <c r="D41" s="26"/>
      <c r="E41" s="26"/>
      <c r="F41" s="28"/>
    </row>
    <row r="42" spans="1:6" x14ac:dyDescent="0.25">
      <c r="A42" s="36"/>
      <c r="B42" s="42"/>
      <c r="C42" s="42"/>
      <c r="D42" s="42"/>
      <c r="E42" s="42"/>
      <c r="F42" s="38"/>
    </row>
    <row r="43" spans="1:6" x14ac:dyDescent="0.25">
      <c r="A43" s="39" t="s">
        <v>76</v>
      </c>
      <c r="F43" s="17"/>
    </row>
    <row r="44" spans="1:6" x14ac:dyDescent="0.25">
      <c r="A44" s="39"/>
      <c r="F44" s="17"/>
    </row>
    <row r="45" spans="1:6" x14ac:dyDescent="0.25">
      <c r="A45" s="39"/>
      <c r="B45" s="31" t="s">
        <v>72</v>
      </c>
      <c r="C45" s="35" t="s">
        <v>73</v>
      </c>
      <c r="D45" s="35" t="s">
        <v>74</v>
      </c>
      <c r="F45" s="17"/>
    </row>
    <row r="46" spans="1:6" x14ac:dyDescent="0.25">
      <c r="A46" s="39"/>
      <c r="B46" s="33" t="s">
        <v>11</v>
      </c>
      <c r="C46" s="41">
        <v>28.666138310643763</v>
      </c>
      <c r="D46" s="41">
        <v>18.407338244006937</v>
      </c>
      <c r="F46" s="17"/>
    </row>
    <row r="47" spans="1:6" x14ac:dyDescent="0.25">
      <c r="A47" s="39"/>
      <c r="B47" s="33" t="s">
        <v>13</v>
      </c>
      <c r="C47" s="41">
        <v>48.329580314293118</v>
      </c>
      <c r="D47" s="41">
        <v>34.297793384314545</v>
      </c>
      <c r="F47" s="17"/>
    </row>
    <row r="48" spans="1:6" x14ac:dyDescent="0.25">
      <c r="A48" s="39"/>
      <c r="B48" s="33" t="s">
        <v>14</v>
      </c>
      <c r="C48" s="41">
        <v>57.772754610429899</v>
      </c>
      <c r="D48" s="41">
        <v>37.904096059615838</v>
      </c>
      <c r="F48" s="17"/>
    </row>
    <row r="49" spans="1:6" x14ac:dyDescent="0.25">
      <c r="A49" s="39"/>
      <c r="B49" s="33" t="s">
        <v>15</v>
      </c>
      <c r="C49" s="41">
        <v>77.977790311848949</v>
      </c>
      <c r="D49" s="41">
        <v>56.183381721819387</v>
      </c>
      <c r="F49" s="17"/>
    </row>
    <row r="50" spans="1:6" x14ac:dyDescent="0.25">
      <c r="A50" s="39"/>
      <c r="F50" s="17"/>
    </row>
    <row r="51" spans="1:6" x14ac:dyDescent="0.25">
      <c r="A51" s="39"/>
      <c r="F51" s="17"/>
    </row>
    <row r="52" spans="1:6" x14ac:dyDescent="0.25">
      <c r="A52" s="39"/>
      <c r="F52" s="17"/>
    </row>
    <row r="53" spans="1:6" x14ac:dyDescent="0.25">
      <c r="A53" s="39"/>
      <c r="F53" s="17"/>
    </row>
    <row r="54" spans="1:6" x14ac:dyDescent="0.25">
      <c r="A54" s="39"/>
      <c r="F54" s="17"/>
    </row>
    <row r="55" spans="1:6" x14ac:dyDescent="0.25">
      <c r="A55" s="39"/>
      <c r="F55" s="17"/>
    </row>
    <row r="56" spans="1:6" x14ac:dyDescent="0.25">
      <c r="A56" s="39"/>
      <c r="F56" s="17"/>
    </row>
    <row r="57" spans="1:6" x14ac:dyDescent="0.25">
      <c r="A57" s="39"/>
      <c r="F57" s="17"/>
    </row>
    <row r="58" spans="1:6" x14ac:dyDescent="0.25">
      <c r="A58" s="39"/>
      <c r="F58" s="17"/>
    </row>
    <row r="59" spans="1:6" x14ac:dyDescent="0.25">
      <c r="A59" s="39"/>
      <c r="F59" s="17"/>
    </row>
    <row r="60" spans="1:6" x14ac:dyDescent="0.25">
      <c r="A60" s="39"/>
      <c r="F60" s="17"/>
    </row>
    <row r="61" spans="1:6" x14ac:dyDescent="0.25">
      <c r="A61" s="39"/>
      <c r="F61" s="17"/>
    </row>
    <row r="62" spans="1:6" x14ac:dyDescent="0.25">
      <c r="A62" s="39"/>
      <c r="F62" s="17"/>
    </row>
    <row r="63" spans="1:6" x14ac:dyDescent="0.25">
      <c r="A63" s="39"/>
      <c r="F63" s="17"/>
    </row>
    <row r="64" spans="1:6" x14ac:dyDescent="0.25">
      <c r="A64" s="39"/>
      <c r="F64" s="17"/>
    </row>
    <row r="65" spans="1:6" x14ac:dyDescent="0.25">
      <c r="A65" s="39"/>
      <c r="F65" s="17"/>
    </row>
    <row r="66" spans="1:6" x14ac:dyDescent="0.25">
      <c r="A66" s="39"/>
      <c r="F66" s="17"/>
    </row>
    <row r="67" spans="1:6" x14ac:dyDescent="0.25">
      <c r="A67" s="40"/>
      <c r="B67" s="26"/>
      <c r="C67" s="26"/>
      <c r="D67" s="26"/>
      <c r="E67" s="26"/>
      <c r="F67" s="28"/>
    </row>
    <row r="68" spans="1:6" x14ac:dyDescent="0.25">
      <c r="A68" s="36"/>
      <c r="B68" s="42"/>
      <c r="C68" s="42"/>
      <c r="D68" s="42"/>
      <c r="E68" s="42"/>
      <c r="F68" s="38"/>
    </row>
    <row r="69" spans="1:6" x14ac:dyDescent="0.25">
      <c r="A69" s="39"/>
      <c r="F69" s="17"/>
    </row>
    <row r="70" spans="1:6" x14ac:dyDescent="0.25">
      <c r="A70" s="39"/>
      <c r="F70" s="17"/>
    </row>
    <row r="71" spans="1:6" x14ac:dyDescent="0.25">
      <c r="A71" s="39"/>
      <c r="B71" s="19" t="s">
        <v>41</v>
      </c>
      <c r="C71" s="19" t="s">
        <v>47</v>
      </c>
      <c r="F71" s="17"/>
    </row>
    <row r="72" spans="1:6" x14ac:dyDescent="0.25">
      <c r="A72" s="39"/>
      <c r="B72" s="29" t="s">
        <v>11</v>
      </c>
      <c r="C72" s="30">
        <v>1.1623548401993108E-4</v>
      </c>
      <c r="F72" s="17"/>
    </row>
    <row r="73" spans="1:6" x14ac:dyDescent="0.25">
      <c r="A73" s="39"/>
      <c r="B73" s="16" t="s">
        <v>16</v>
      </c>
      <c r="C73" s="22">
        <v>1.3546992128639151E-4</v>
      </c>
      <c r="F73" s="17"/>
    </row>
    <row r="74" spans="1:6" x14ac:dyDescent="0.25">
      <c r="A74" s="39"/>
      <c r="B74" s="16" t="s">
        <v>12</v>
      </c>
      <c r="C74" s="22">
        <v>9.9688828380225077E-5</v>
      </c>
      <c r="F74" s="17"/>
    </row>
    <row r="75" spans="1:6" x14ac:dyDescent="0.25">
      <c r="A75" s="39"/>
      <c r="B75" s="29" t="s">
        <v>13</v>
      </c>
      <c r="C75" s="30">
        <v>1.6255896416840135E-4</v>
      </c>
      <c r="F75" s="17"/>
    </row>
    <row r="76" spans="1:6" x14ac:dyDescent="0.25">
      <c r="A76" s="39"/>
      <c r="B76" s="16" t="s">
        <v>16</v>
      </c>
      <c r="C76" s="22">
        <v>1.9272737685131579E-4</v>
      </c>
      <c r="F76" s="17"/>
    </row>
    <row r="77" spans="1:6" x14ac:dyDescent="0.25">
      <c r="A77" s="39"/>
      <c r="B77" s="16" t="s">
        <v>12</v>
      </c>
      <c r="C77" s="22">
        <v>1.3890171969043225E-4</v>
      </c>
      <c r="F77" s="17"/>
    </row>
    <row r="78" spans="1:6" x14ac:dyDescent="0.25">
      <c r="A78" s="39"/>
      <c r="B78" s="29" t="s">
        <v>14</v>
      </c>
      <c r="C78" s="30">
        <v>2.0044231616581752E-4</v>
      </c>
      <c r="F78" s="17"/>
    </row>
    <row r="79" spans="1:6" x14ac:dyDescent="0.25">
      <c r="A79" s="39"/>
      <c r="B79" s="16" t="s">
        <v>16</v>
      </c>
      <c r="C79" s="22">
        <v>2.2103098258456709E-4</v>
      </c>
      <c r="F79" s="17"/>
    </row>
    <row r="80" spans="1:6" x14ac:dyDescent="0.25">
      <c r="A80" s="39"/>
      <c r="B80" s="16" t="s">
        <v>12</v>
      </c>
      <c r="C80" s="22">
        <v>1.7905408988614553E-4</v>
      </c>
      <c r="F80" s="17"/>
    </row>
    <row r="81" spans="1:6" x14ac:dyDescent="0.25">
      <c r="A81" s="39"/>
      <c r="B81" s="29" t="s">
        <v>15</v>
      </c>
      <c r="C81" s="30">
        <v>2.1526261516009195E-4</v>
      </c>
      <c r="F81" s="17"/>
    </row>
    <row r="82" spans="1:6" x14ac:dyDescent="0.25">
      <c r="A82" s="39"/>
      <c r="B82" s="16" t="s">
        <v>16</v>
      </c>
      <c r="C82" s="22">
        <v>2.5720296409790708E-4</v>
      </c>
      <c r="F82" s="17"/>
    </row>
    <row r="83" spans="1:6" x14ac:dyDescent="0.25">
      <c r="A83" s="39"/>
      <c r="B83" s="16" t="s">
        <v>12</v>
      </c>
      <c r="C83" s="22">
        <v>1.6742982050374058E-4</v>
      </c>
      <c r="F83" s="17"/>
    </row>
    <row r="84" spans="1:6" x14ac:dyDescent="0.25">
      <c r="A84" s="39"/>
      <c r="C84" s="44"/>
      <c r="F84" s="17"/>
    </row>
    <row r="85" spans="1:6" x14ac:dyDescent="0.25">
      <c r="A85" s="39"/>
      <c r="F85" s="17"/>
    </row>
    <row r="86" spans="1:6" x14ac:dyDescent="0.25">
      <c r="A86" s="39"/>
      <c r="B86" s="32" t="s">
        <v>73</v>
      </c>
      <c r="C86" s="32" t="s">
        <v>74</v>
      </c>
      <c r="F86" s="17"/>
    </row>
    <row r="87" spans="1:6" x14ac:dyDescent="0.25">
      <c r="A87" s="39"/>
      <c r="B87" s="43">
        <f>AVERAGE(C73,C76,C79,C82)</f>
        <v>2.0160781120504535E-4</v>
      </c>
      <c r="C87" s="43">
        <f>AVERAGE(C74,C77,C80,C83)</f>
        <v>1.4626861461513585E-4</v>
      </c>
      <c r="F87" s="17"/>
    </row>
    <row r="88" spans="1:6" x14ac:dyDescent="0.25">
      <c r="A88" s="39"/>
      <c r="F88" s="17"/>
    </row>
    <row r="89" spans="1:6" x14ac:dyDescent="0.25">
      <c r="A89" s="40"/>
      <c r="B89" s="26"/>
      <c r="C89" s="26"/>
      <c r="D89" s="26"/>
      <c r="E89" s="26"/>
      <c r="F89" s="28"/>
    </row>
    <row r="90" spans="1:6" x14ac:dyDescent="0.25">
      <c r="A90" s="36"/>
      <c r="B90" s="42"/>
      <c r="C90" s="42"/>
      <c r="D90" s="42"/>
      <c r="E90" s="42"/>
      <c r="F90" s="38"/>
    </row>
    <row r="91" spans="1:6" x14ac:dyDescent="0.25">
      <c r="A91" s="39"/>
      <c r="F91" s="17"/>
    </row>
    <row r="92" spans="1:6" x14ac:dyDescent="0.25">
      <c r="A92" s="39"/>
      <c r="C92" s="14"/>
      <c r="D92" s="45"/>
      <c r="F92" s="17"/>
    </row>
    <row r="93" spans="1:6" x14ac:dyDescent="0.25">
      <c r="A93" s="39"/>
      <c r="C93" s="14"/>
      <c r="D93" s="45"/>
      <c r="F93" s="17"/>
    </row>
    <row r="94" spans="1:6" x14ac:dyDescent="0.25">
      <c r="A94" s="39"/>
      <c r="B94" t="s">
        <v>77</v>
      </c>
      <c r="C94" t="s">
        <v>46</v>
      </c>
      <c r="D94" t="s">
        <v>47</v>
      </c>
      <c r="F94" s="17"/>
    </row>
    <row r="95" spans="1:6" x14ac:dyDescent="0.25">
      <c r="A95" s="39"/>
      <c r="B95" s="46" t="s">
        <v>78</v>
      </c>
      <c r="C95" s="14">
        <v>3.1416666704166669</v>
      </c>
      <c r="D95" s="45">
        <v>1.8014713698909525E-4</v>
      </c>
      <c r="F95" s="17"/>
    </row>
    <row r="96" spans="1:6" x14ac:dyDescent="0.25">
      <c r="A96" s="39"/>
      <c r="B96" s="46" t="s">
        <v>79</v>
      </c>
      <c r="C96" s="14">
        <v>5.4961821641250053</v>
      </c>
      <c r="D96" s="45">
        <v>1.6501501497368382E-4</v>
      </c>
      <c r="F96" s="17"/>
    </row>
    <row r="97" spans="1:6" x14ac:dyDescent="0.25">
      <c r="A97" s="39"/>
      <c r="B97" s="46" t="s">
        <v>80</v>
      </c>
      <c r="C97" s="14">
        <v>58.407481223316765</v>
      </c>
      <c r="D97" s="45">
        <v>1.6221108909174263E-4</v>
      </c>
      <c r="F97" s="17"/>
    </row>
    <row r="98" spans="1:6" x14ac:dyDescent="0.25">
      <c r="A98" s="39"/>
      <c r="C98" s="14"/>
      <c r="F98" s="17"/>
    </row>
    <row r="99" spans="1:6" x14ac:dyDescent="0.25">
      <c r="A99" s="39"/>
      <c r="C99" s="14"/>
      <c r="D99" s="45"/>
      <c r="F99" s="17"/>
    </row>
    <row r="100" spans="1:6" x14ac:dyDescent="0.25">
      <c r="A100" s="39"/>
      <c r="C100" s="14"/>
      <c r="D100" s="45"/>
      <c r="F100" s="17"/>
    </row>
    <row r="101" spans="1:6" x14ac:dyDescent="0.25">
      <c r="A101" s="39"/>
      <c r="C101" s="14"/>
      <c r="F101" s="17"/>
    </row>
    <row r="102" spans="1:6" x14ac:dyDescent="0.25">
      <c r="A102" s="39"/>
      <c r="C102" s="14"/>
      <c r="F102" s="17"/>
    </row>
    <row r="103" spans="1:6" x14ac:dyDescent="0.25">
      <c r="A103" s="39"/>
      <c r="F103" s="17"/>
    </row>
    <row r="104" spans="1:6" x14ac:dyDescent="0.25">
      <c r="A104" s="39"/>
      <c r="F104" s="17"/>
    </row>
    <row r="105" spans="1:6" x14ac:dyDescent="0.25">
      <c r="A105" s="39"/>
      <c r="D105" s="14"/>
      <c r="E105" s="45"/>
      <c r="F105" s="17"/>
    </row>
    <row r="106" spans="1:6" x14ac:dyDescent="0.25">
      <c r="A106" s="39"/>
      <c r="D106" s="14"/>
      <c r="E106" s="45"/>
      <c r="F106" s="17"/>
    </row>
    <row r="107" spans="1:6" x14ac:dyDescent="0.25">
      <c r="A107" s="39"/>
      <c r="D107" s="14"/>
      <c r="E107" s="45"/>
      <c r="F107" s="17"/>
    </row>
    <row r="108" spans="1:6" x14ac:dyDescent="0.25">
      <c r="A108" s="39"/>
      <c r="D108" s="14"/>
      <c r="E108" s="45"/>
      <c r="F108" s="17"/>
    </row>
    <row r="109" spans="1:6" x14ac:dyDescent="0.25">
      <c r="A109" s="39"/>
      <c r="D109" s="14"/>
      <c r="E109" s="45"/>
      <c r="F109" s="17"/>
    </row>
    <row r="110" spans="1:6" x14ac:dyDescent="0.25">
      <c r="A110" s="39"/>
      <c r="F110" s="17"/>
    </row>
    <row r="111" spans="1:6" x14ac:dyDescent="0.25">
      <c r="A111" s="39"/>
      <c r="D111" s="14"/>
      <c r="E111" s="45"/>
      <c r="F111" s="17"/>
    </row>
    <row r="112" spans="1:6" x14ac:dyDescent="0.25">
      <c r="A112" s="39"/>
      <c r="D112" s="14"/>
      <c r="E112" s="45"/>
      <c r="F112" s="17"/>
    </row>
    <row r="113" spans="1:6" x14ac:dyDescent="0.25">
      <c r="A113" s="39"/>
      <c r="D113" s="14"/>
      <c r="E113" s="45"/>
      <c r="F113" s="17"/>
    </row>
    <row r="114" spans="1:6" x14ac:dyDescent="0.25">
      <c r="A114" s="39"/>
      <c r="D114" s="14"/>
      <c r="E114" s="45"/>
      <c r="F114" s="17"/>
    </row>
    <row r="115" spans="1:6" x14ac:dyDescent="0.25">
      <c r="A115" s="39"/>
      <c r="F115" s="17"/>
    </row>
    <row r="116" spans="1:6" x14ac:dyDescent="0.25">
      <c r="A116" s="40"/>
      <c r="B116" s="26"/>
      <c r="C116" s="26"/>
      <c r="D116" s="26"/>
      <c r="E116" s="26"/>
      <c r="F116" s="28"/>
    </row>
    <row r="117" spans="1:6" x14ac:dyDescent="0.25">
      <c r="A117" s="36"/>
      <c r="B117" s="42"/>
      <c r="C117" s="42"/>
      <c r="D117" s="42"/>
      <c r="E117" s="42"/>
      <c r="F117" s="38"/>
    </row>
    <row r="118" spans="1:6" x14ac:dyDescent="0.25">
      <c r="A118" s="39"/>
      <c r="F118" s="17"/>
    </row>
    <row r="119" spans="1:6" x14ac:dyDescent="0.25">
      <c r="A119" s="39"/>
      <c r="F119" s="17"/>
    </row>
    <row r="120" spans="1:6" x14ac:dyDescent="0.25">
      <c r="A120" s="39"/>
      <c r="B120" s="19" t="s">
        <v>41</v>
      </c>
      <c r="C120" s="19" t="s">
        <v>46</v>
      </c>
      <c r="D120" s="19" t="s">
        <v>49</v>
      </c>
      <c r="F120" s="17"/>
    </row>
    <row r="121" spans="1:6" x14ac:dyDescent="0.25">
      <c r="A121" s="39"/>
      <c r="B121" s="29" t="s">
        <v>11</v>
      </c>
      <c r="C121" s="48">
        <v>22.946630308890473</v>
      </c>
      <c r="D121" s="48">
        <v>0.16822858798852539</v>
      </c>
      <c r="F121" s="17"/>
    </row>
    <row r="122" spans="1:6" x14ac:dyDescent="0.25">
      <c r="A122" s="39"/>
      <c r="B122" s="16" t="s">
        <v>16</v>
      </c>
      <c r="C122" s="14">
        <v>28.666138310643763</v>
      </c>
      <c r="D122" s="14">
        <v>0.19153404524487005</v>
      </c>
      <c r="F122" s="17"/>
    </row>
    <row r="123" spans="1:6" x14ac:dyDescent="0.25">
      <c r="A123" s="39"/>
      <c r="B123" s="16" t="s">
        <v>12</v>
      </c>
      <c r="C123" s="14">
        <v>18.407338244006937</v>
      </c>
      <c r="D123" s="14">
        <v>0.14817978851472677</v>
      </c>
      <c r="F123" s="17"/>
    </row>
    <row r="124" spans="1:6" x14ac:dyDescent="0.25">
      <c r="A124" s="39"/>
      <c r="B124" s="29" t="s">
        <v>13</v>
      </c>
      <c r="C124" s="48">
        <v>40.606658825700265</v>
      </c>
      <c r="D124" s="48">
        <v>0.23873259414120604</v>
      </c>
      <c r="F124" s="17"/>
    </row>
    <row r="125" spans="1:6" x14ac:dyDescent="0.25">
      <c r="A125" s="39"/>
      <c r="B125" s="16" t="s">
        <v>16</v>
      </c>
      <c r="C125" s="14">
        <v>48.329580314293118</v>
      </c>
      <c r="D125" s="14">
        <v>0.26818502826219798</v>
      </c>
      <c r="F125" s="17"/>
    </row>
    <row r="126" spans="1:6" x14ac:dyDescent="0.25">
      <c r="A126" s="39"/>
      <c r="B126" s="16" t="s">
        <v>12</v>
      </c>
      <c r="C126" s="14">
        <v>34.297793384314545</v>
      </c>
      <c r="D126" s="14">
        <v>0.21563680047798203</v>
      </c>
      <c r="F126" s="17"/>
    </row>
    <row r="127" spans="1:6" x14ac:dyDescent="0.25">
      <c r="A127" s="39"/>
      <c r="B127" s="29" t="s">
        <v>14</v>
      </c>
      <c r="C127" s="48">
        <v>46.817139147831462</v>
      </c>
      <c r="D127" s="48">
        <v>0.28976647460688187</v>
      </c>
      <c r="F127" s="17"/>
    </row>
    <row r="128" spans="1:6" x14ac:dyDescent="0.25">
      <c r="A128" s="39"/>
      <c r="B128" s="16" t="s">
        <v>16</v>
      </c>
      <c r="C128" s="14">
        <v>57.772754610429899</v>
      </c>
      <c r="D128" s="14">
        <v>0.31046210208344677</v>
      </c>
      <c r="F128" s="17"/>
    </row>
    <row r="129" spans="1:6" x14ac:dyDescent="0.25">
      <c r="A129" s="39"/>
      <c r="B129" s="16" t="s">
        <v>12</v>
      </c>
      <c r="C129" s="14">
        <v>37.904096059615838</v>
      </c>
      <c r="D129" s="14">
        <v>0.26826713344190667</v>
      </c>
      <c r="F129" s="17"/>
    </row>
    <row r="130" spans="1:6" x14ac:dyDescent="0.25">
      <c r="A130" s="39"/>
      <c r="B130" s="29" t="s">
        <v>15</v>
      </c>
      <c r="C130" s="48">
        <v>67.616514096916859</v>
      </c>
      <c r="D130" s="48">
        <v>0.31620546902573066</v>
      </c>
      <c r="F130" s="17"/>
    </row>
    <row r="131" spans="1:6" x14ac:dyDescent="0.25">
      <c r="A131" s="39"/>
      <c r="B131" s="16" t="s">
        <v>16</v>
      </c>
      <c r="C131" s="14">
        <v>77.977790311848949</v>
      </c>
      <c r="D131" s="14">
        <v>0.36896680602004495</v>
      </c>
      <c r="F131" s="17"/>
    </row>
    <row r="132" spans="1:6" x14ac:dyDescent="0.25">
      <c r="A132" s="39"/>
      <c r="B132" s="16" t="s">
        <v>12</v>
      </c>
      <c r="C132" s="14">
        <v>56.183381721819387</v>
      </c>
      <c r="D132" s="14">
        <v>0.25603138220576849</v>
      </c>
      <c r="F132" s="17"/>
    </row>
    <row r="133" spans="1:6" x14ac:dyDescent="0.25">
      <c r="A133" s="39"/>
      <c r="F133" s="17"/>
    </row>
    <row r="134" spans="1:6" x14ac:dyDescent="0.25">
      <c r="A134" s="39"/>
      <c r="F134" s="17"/>
    </row>
    <row r="135" spans="1:6" x14ac:dyDescent="0.25">
      <c r="A135" s="39"/>
      <c r="B135" s="19" t="s">
        <v>41</v>
      </c>
      <c r="C135" s="19" t="s">
        <v>46</v>
      </c>
      <c r="D135" s="19" t="s">
        <v>49</v>
      </c>
      <c r="F135" s="17"/>
    </row>
    <row r="136" spans="1:6" x14ac:dyDescent="0.25">
      <c r="A136" s="39"/>
      <c r="B136" s="50" t="s">
        <v>11</v>
      </c>
      <c r="C136" s="49">
        <v>22.946630308890473</v>
      </c>
      <c r="D136" s="49">
        <v>0.16822858798852539</v>
      </c>
      <c r="F136" s="17"/>
    </row>
    <row r="137" spans="1:6" x14ac:dyDescent="0.25">
      <c r="A137" s="39"/>
      <c r="B137" s="50" t="s">
        <v>13</v>
      </c>
      <c r="C137" s="49">
        <v>40.606658825700265</v>
      </c>
      <c r="D137" s="49">
        <v>0.23873259414120604</v>
      </c>
      <c r="F137" s="17"/>
    </row>
    <row r="138" spans="1:6" x14ac:dyDescent="0.25">
      <c r="A138" s="39"/>
      <c r="B138" s="50" t="s">
        <v>14</v>
      </c>
      <c r="C138" s="49">
        <v>46.817139147831462</v>
      </c>
      <c r="D138" s="49">
        <v>0.28976647460688187</v>
      </c>
      <c r="F138" s="17"/>
    </row>
    <row r="139" spans="1:6" x14ac:dyDescent="0.25">
      <c r="A139" s="39"/>
      <c r="B139" s="50" t="s">
        <v>15</v>
      </c>
      <c r="C139" s="49">
        <v>67.616514096916859</v>
      </c>
      <c r="D139" s="49">
        <v>0.31620546902573066</v>
      </c>
      <c r="F139" s="17"/>
    </row>
    <row r="140" spans="1:6" x14ac:dyDescent="0.25">
      <c r="A140" s="39"/>
      <c r="F140" s="17"/>
    </row>
    <row r="141" spans="1:6" x14ac:dyDescent="0.25">
      <c r="A141" s="39"/>
      <c r="F141" s="17"/>
    </row>
    <row r="142" spans="1:6" x14ac:dyDescent="0.25">
      <c r="A142" s="39"/>
      <c r="F142" s="17"/>
    </row>
    <row r="143" spans="1:6" x14ac:dyDescent="0.25">
      <c r="A143" s="39"/>
      <c r="B143" s="51" t="s">
        <v>41</v>
      </c>
      <c r="C143" s="51" t="s">
        <v>81</v>
      </c>
      <c r="D143" s="19" t="s">
        <v>46</v>
      </c>
      <c r="E143" s="19" t="s">
        <v>49</v>
      </c>
      <c r="F143" s="17"/>
    </row>
    <row r="144" spans="1:6" x14ac:dyDescent="0.25">
      <c r="A144" s="39"/>
      <c r="B144" s="50" t="s">
        <v>11</v>
      </c>
      <c r="C144" t="s">
        <v>16</v>
      </c>
      <c r="D144" s="14">
        <v>28.666138310643763</v>
      </c>
      <c r="E144" s="14">
        <v>0.19153404524487005</v>
      </c>
      <c r="F144" s="17"/>
    </row>
    <row r="145" spans="1:6" x14ac:dyDescent="0.25">
      <c r="A145" s="39"/>
      <c r="B145" s="50" t="s">
        <v>11</v>
      </c>
      <c r="C145" t="s">
        <v>12</v>
      </c>
      <c r="D145" s="14">
        <v>18.407338244006937</v>
      </c>
      <c r="E145" s="14">
        <v>0.14817978851472677</v>
      </c>
      <c r="F145" s="17"/>
    </row>
    <row r="146" spans="1:6" x14ac:dyDescent="0.25">
      <c r="A146" s="39"/>
      <c r="B146" s="50" t="s">
        <v>13</v>
      </c>
      <c r="C146" t="s">
        <v>16</v>
      </c>
      <c r="D146" s="14">
        <v>48.329580314293118</v>
      </c>
      <c r="E146" s="14">
        <v>0.26818502826219798</v>
      </c>
      <c r="F146" s="17"/>
    </row>
    <row r="147" spans="1:6" x14ac:dyDescent="0.25">
      <c r="A147" s="39"/>
      <c r="B147" s="50" t="s">
        <v>13</v>
      </c>
      <c r="C147" t="s">
        <v>12</v>
      </c>
      <c r="D147" s="14">
        <v>34.297793384314545</v>
      </c>
      <c r="E147" s="14">
        <v>0.21563680047798203</v>
      </c>
      <c r="F147" s="17"/>
    </row>
    <row r="148" spans="1:6" x14ac:dyDescent="0.25">
      <c r="A148" s="39"/>
      <c r="B148" s="50" t="s">
        <v>14</v>
      </c>
      <c r="C148" t="s">
        <v>16</v>
      </c>
      <c r="D148" s="14">
        <v>57.772754610429899</v>
      </c>
      <c r="E148" s="14">
        <v>0.31046210208344677</v>
      </c>
      <c r="F148" s="17"/>
    </row>
    <row r="149" spans="1:6" x14ac:dyDescent="0.25">
      <c r="A149" s="39"/>
      <c r="B149" s="50" t="s">
        <v>14</v>
      </c>
      <c r="C149" t="s">
        <v>12</v>
      </c>
      <c r="D149" s="14">
        <v>37.904096059615838</v>
      </c>
      <c r="E149" s="14">
        <v>0.26826713344190667</v>
      </c>
      <c r="F149" s="17"/>
    </row>
    <row r="150" spans="1:6" x14ac:dyDescent="0.25">
      <c r="A150" s="39"/>
      <c r="B150" s="50" t="s">
        <v>15</v>
      </c>
      <c r="C150" t="s">
        <v>16</v>
      </c>
      <c r="D150" s="14">
        <v>77.977790311848949</v>
      </c>
      <c r="E150" s="14">
        <v>0.36896680602004495</v>
      </c>
      <c r="F150" s="17"/>
    </row>
    <row r="151" spans="1:6" x14ac:dyDescent="0.25">
      <c r="A151" s="39"/>
      <c r="B151" s="50" t="s">
        <v>15</v>
      </c>
      <c r="C151" t="s">
        <v>12</v>
      </c>
      <c r="D151" s="14">
        <v>56.183381721819387</v>
      </c>
      <c r="E151" s="14">
        <v>0.25603138220576849</v>
      </c>
      <c r="F151" s="17"/>
    </row>
    <row r="152" spans="1:6" x14ac:dyDescent="0.25">
      <c r="A152" s="39"/>
      <c r="F152" s="17"/>
    </row>
    <row r="153" spans="1:6" x14ac:dyDescent="0.25">
      <c r="A153" s="39"/>
      <c r="F153" s="17"/>
    </row>
    <row r="154" spans="1:6" x14ac:dyDescent="0.25">
      <c r="A154" s="39"/>
      <c r="F154" s="17"/>
    </row>
    <row r="155" spans="1:6" x14ac:dyDescent="0.25">
      <c r="A155" s="39"/>
      <c r="F155" s="17"/>
    </row>
    <row r="156" spans="1:6" x14ac:dyDescent="0.25">
      <c r="A156" s="39"/>
      <c r="F156" s="17"/>
    </row>
    <row r="157" spans="1:6" x14ac:dyDescent="0.25">
      <c r="A157" s="39"/>
      <c r="F157" s="17"/>
    </row>
    <row r="158" spans="1:6" x14ac:dyDescent="0.25">
      <c r="A158" s="39"/>
      <c r="F158" s="17"/>
    </row>
    <row r="159" spans="1:6" x14ac:dyDescent="0.25">
      <c r="A159" s="39"/>
      <c r="F159" s="17"/>
    </row>
    <row r="160" spans="1:6" x14ac:dyDescent="0.25">
      <c r="A160" s="39"/>
      <c r="F160" s="17"/>
    </row>
    <row r="161" spans="1:6" x14ac:dyDescent="0.25">
      <c r="A161" s="39"/>
      <c r="F161" s="17"/>
    </row>
    <row r="162" spans="1:6" x14ac:dyDescent="0.25">
      <c r="A162" s="39"/>
      <c r="F162" s="17"/>
    </row>
    <row r="163" spans="1:6" x14ac:dyDescent="0.25">
      <c r="A163" s="39"/>
      <c r="F163" s="17"/>
    </row>
    <row r="164" spans="1:6" x14ac:dyDescent="0.25">
      <c r="A164" s="39"/>
      <c r="F164" s="17"/>
    </row>
    <row r="165" spans="1:6" x14ac:dyDescent="0.25">
      <c r="A165" s="39"/>
      <c r="F165" s="17"/>
    </row>
    <row r="166" spans="1:6" x14ac:dyDescent="0.25">
      <c r="A166" s="39"/>
      <c r="F166" s="17"/>
    </row>
    <row r="167" spans="1:6" x14ac:dyDescent="0.25">
      <c r="A167" s="39"/>
      <c r="F167" s="17"/>
    </row>
    <row r="168" spans="1:6" x14ac:dyDescent="0.25">
      <c r="A168" s="39"/>
      <c r="F168" s="17"/>
    </row>
    <row r="169" spans="1:6" x14ac:dyDescent="0.25">
      <c r="A169" s="39"/>
      <c r="F169" s="17"/>
    </row>
    <row r="170" spans="1:6" x14ac:dyDescent="0.25">
      <c r="A170" s="40"/>
      <c r="B170" s="26"/>
      <c r="C170" s="26"/>
      <c r="D170" s="26"/>
      <c r="E170" s="26"/>
      <c r="F170" s="28"/>
    </row>
  </sheetData>
  <pageMargins left="0.7" right="0.7" top="0.75" bottom="0.75" header="0.3" footer="0.3"/>
  <pageSetup orientation="portrait" horizontalDpi="360"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3451-E644-4BE8-9C56-618A134FCE6A}">
  <dimension ref="B4:D6"/>
  <sheetViews>
    <sheetView workbookViewId="0">
      <selection activeCell="C5" sqref="C5"/>
    </sheetView>
  </sheetViews>
  <sheetFormatPr defaultRowHeight="15" x14ac:dyDescent="0.25"/>
  <cols>
    <col min="2" max="2" width="45" customWidth="1"/>
    <col min="3" max="3" width="11" customWidth="1"/>
    <col min="4" max="4" width="64.42578125" customWidth="1"/>
  </cols>
  <sheetData>
    <row r="4" spans="2:4" x14ac:dyDescent="0.25">
      <c r="B4" s="2" t="s">
        <v>24</v>
      </c>
      <c r="C4" s="2" t="s">
        <v>26</v>
      </c>
      <c r="D4" s="11" t="s">
        <v>28</v>
      </c>
    </row>
    <row r="5" spans="2:4" ht="102.75" customHeight="1" x14ac:dyDescent="0.25">
      <c r="B5" s="12" t="s">
        <v>25</v>
      </c>
      <c r="C5" s="3">
        <f>CORREL('Converted Raw Data'!G2:G1144,'Converted Raw Data'!H2:H1144)</f>
        <v>0.94851413615400026</v>
      </c>
      <c r="D5" s="10" t="s">
        <v>29</v>
      </c>
    </row>
    <row r="6" spans="2:4" ht="108" customHeight="1" x14ac:dyDescent="0.25">
      <c r="B6" s="12" t="s">
        <v>27</v>
      </c>
      <c r="C6" s="3">
        <f>CORREL('Converted Raw Data'!G2:G1144,'Converted Raw Data'!J2:J1144)</f>
        <v>0.81283760315949838</v>
      </c>
      <c r="D6" s="6" t="s">
        <v>30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vt:lpstr>
      <vt:lpstr>KAG_conversion_data_raw</vt:lpstr>
      <vt:lpstr>Converted Raw Data</vt:lpstr>
      <vt:lpstr>Steps</vt:lpstr>
      <vt:lpstr>Pivot_for_General_Analysis</vt:lpstr>
      <vt:lpstr>Pivot_for_Dashborad</vt:lpstr>
      <vt:lpstr>Insights_for_PDF_Report</vt:lpstr>
      <vt:lpstr>Calculations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Karippara</dc:creator>
  <cp:lastModifiedBy>Vivek Karippara</cp:lastModifiedBy>
  <dcterms:created xsi:type="dcterms:W3CDTF">2025-09-07T14:17:08Z</dcterms:created>
  <dcterms:modified xsi:type="dcterms:W3CDTF">2025-09-09T15:41:45Z</dcterms:modified>
</cp:coreProperties>
</file>